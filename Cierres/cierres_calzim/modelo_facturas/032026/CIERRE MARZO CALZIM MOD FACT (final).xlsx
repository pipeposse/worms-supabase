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3. Marzo\Modelo Facturas\"/>
    </mc:Choice>
  </mc:AlternateContent>
  <xr:revisionPtr revIDLastSave="0" documentId="13_ncr:1_{70E1D60E-E46C-4FF0-9DDA-538711696F0C}" xr6:coauthVersionLast="47" xr6:coauthVersionMax="47" xr10:uidLastSave="{00000000-0000-0000-0000-000000000000}"/>
  <bookViews>
    <workbookView xWindow="-108" yWindow="-108" windowWidth="23256" windowHeight="12456" tabRatio="933" firstSheet="2" activeTab="2" xr2:uid="{00000000-000D-0000-FFFF-FFFF00000000}"/>
  </bookViews>
  <sheets>
    <sheet name="costos_ampliados" sheetId="66" state="hidden" r:id="rId1"/>
    <sheet name="facturacion" sheetId="64" state="hidden" r:id="rId2"/>
    <sheet name="Vista_RUBRO" sheetId="53" r:id="rId3"/>
    <sheet name="costos" sheetId="65" state="hidden" r:id="rId4"/>
    <sheet name="BBDD_PROVEEDORES_FINAL" sheetId="68" state="hidden" r:id="rId5"/>
    <sheet name="union_gastos" sheetId="74" r:id="rId6"/>
    <sheet name="concepto_id" sheetId="75" r:id="rId7"/>
    <sheet name="facturas_ingresos" sheetId="77" state="hidden" r:id="rId8"/>
    <sheet name="venta_nico" sheetId="78" r:id="rId9"/>
    <sheet name="rubros" sheetId="76" r:id="rId10"/>
    <sheet name="nutri&amp;rrhh" sheetId="73" state="hidden" r:id="rId11"/>
    <sheet name="gastos_facturas" sheetId="71" r:id="rId12"/>
    <sheet name="BD Gastos_DICIEMBRE" sheetId="1" state="hidden" r:id="rId13"/>
    <sheet name="id_rubro" sheetId="69" state="hidden" r:id="rId14"/>
  </sheets>
  <definedNames>
    <definedName name="_xlnm._FilterDatabase" localSheetId="12" hidden="1">'BD Gastos_DICIEMBRE'!$A$1:$AB$13</definedName>
    <definedName name="_xlnm._FilterDatabase" localSheetId="13" hidden="1">id_rubro!$A$1:$B$21</definedName>
    <definedName name="ExternalData_1" localSheetId="4" hidden="1">BBDD_PROVEEDORES_FINAL!$A$1:$Z$1544</definedName>
    <definedName name="ExternalData_1" localSheetId="6" hidden="1">'concepto_id'!$A$1:$H$93</definedName>
    <definedName name="ExternalData_1" localSheetId="3" hidden="1">costos!$A$1:$J$157</definedName>
    <definedName name="ExternalData_1" localSheetId="1" hidden="1">facturacion!$A$1:$J$32</definedName>
    <definedName name="ExternalData_1" localSheetId="11" hidden="1">gastos_facturas!$A$1:$M$106</definedName>
    <definedName name="ExternalData_1" localSheetId="9" hidden="1">rubros!$A$1:$B$12</definedName>
    <definedName name="ExternalData_2" localSheetId="7" hidden="1">facturas_ingresos!$A$1:$T$47</definedName>
    <definedName name="ExternalData_2" localSheetId="10" hidden="1">'nutri&amp;rrhh'!$A$1:$M$5</definedName>
    <definedName name="ExternalData_3" localSheetId="5" hidden="1">union_gastos!$A$1:$N$110</definedName>
    <definedName name="_xlnm.Print_Area" localSheetId="12">'BD Gastos_DICIEMBRE'!#REF!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cepto_id_f24b410a-e3c0-41a1-8a92-7a01613504a6" name="concepto_id" connection="Query - concepto_id"/>
          <x15:modelTable id="rubros_unicos_b37275da-1632-4df0-9519-e1d292ff3795" name="rubros_unicos" connection="Query - rubros_unic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9" i="74" l="1"/>
  <c r="O88" i="74"/>
  <c r="O76" i="74"/>
  <c r="O79" i="74"/>
  <c r="O27" i="74"/>
  <c r="O68" i="74"/>
  <c r="O65" i="74"/>
  <c r="O73" i="74"/>
  <c r="O45" i="74"/>
  <c r="O62" i="74"/>
  <c r="O28" i="74"/>
  <c r="O98" i="74"/>
  <c r="P98" i="74" s="1"/>
  <c r="O43" i="74"/>
  <c r="O6" i="74"/>
  <c r="O44" i="74"/>
  <c r="O80" i="74"/>
  <c r="O106" i="74"/>
  <c r="O92" i="74"/>
  <c r="O108" i="74"/>
  <c r="O25" i="74"/>
  <c r="O101" i="74"/>
  <c r="O85" i="74"/>
  <c r="O33" i="74"/>
  <c r="O41" i="74"/>
  <c r="P41" i="74" s="1"/>
  <c r="O109" i="74"/>
  <c r="O19" i="74"/>
  <c r="O20" i="74"/>
  <c r="O5" i="74"/>
  <c r="O102" i="74"/>
  <c r="O38" i="74"/>
  <c r="O72" i="74"/>
  <c r="O26" i="74"/>
  <c r="O36" i="74"/>
  <c r="O67" i="74"/>
  <c r="O24" i="74"/>
  <c r="O103" i="74"/>
  <c r="P103" i="74" s="1"/>
  <c r="O59" i="74"/>
  <c r="P59" i="74" s="1"/>
  <c r="O40" i="74"/>
  <c r="O83" i="74"/>
  <c r="P83" i="74" s="1"/>
  <c r="O84" i="74"/>
  <c r="O94" i="74"/>
  <c r="O39" i="74"/>
  <c r="O63" i="74"/>
  <c r="O77" i="74"/>
  <c r="O21" i="74"/>
  <c r="O58" i="74"/>
  <c r="O11" i="74"/>
  <c r="O51" i="74"/>
  <c r="P51" i="74" s="1"/>
  <c r="O46" i="74"/>
  <c r="P46" i="74" s="1"/>
  <c r="O75" i="74"/>
  <c r="P75" i="74" s="1"/>
  <c r="O42" i="74"/>
  <c r="O64" i="74"/>
  <c r="P64" i="74" s="1"/>
  <c r="O8" i="74"/>
  <c r="O13" i="74"/>
  <c r="O23" i="74"/>
  <c r="O34" i="74"/>
  <c r="O104" i="74"/>
  <c r="O105" i="74"/>
  <c r="O48" i="74"/>
  <c r="O14" i="74"/>
  <c r="P14" i="74" s="1"/>
  <c r="O22" i="74"/>
  <c r="P22" i="74" s="1"/>
  <c r="O32" i="74"/>
  <c r="P32" i="74" s="1"/>
  <c r="O53" i="74"/>
  <c r="P53" i="74" s="1"/>
  <c r="O81" i="74"/>
  <c r="P81" i="74" s="1"/>
  <c r="O12" i="74"/>
  <c r="O15" i="74"/>
  <c r="O10" i="74"/>
  <c r="O37" i="74"/>
  <c r="O54" i="74"/>
  <c r="O93" i="74"/>
  <c r="O82" i="74"/>
  <c r="O61" i="74"/>
  <c r="P61" i="74" s="1"/>
  <c r="O66" i="74"/>
  <c r="P66" i="74" s="1"/>
  <c r="O52" i="74"/>
  <c r="O7" i="74"/>
  <c r="P7" i="74" s="1"/>
  <c r="O89" i="74"/>
  <c r="P89" i="74" s="1"/>
  <c r="O18" i="74"/>
  <c r="O87" i="74"/>
  <c r="O47" i="74"/>
  <c r="P47" i="74" s="1"/>
  <c r="O4" i="74"/>
  <c r="O95" i="74"/>
  <c r="O57" i="74"/>
  <c r="O71" i="74"/>
  <c r="O90" i="74"/>
  <c r="P90" i="74" s="1"/>
  <c r="O70" i="74"/>
  <c r="P70" i="74" s="1"/>
  <c r="O29" i="74"/>
  <c r="P29" i="74" s="1"/>
  <c r="O100" i="74"/>
  <c r="O74" i="74"/>
  <c r="P74" i="74" s="1"/>
  <c r="O35" i="74"/>
  <c r="P35" i="74" s="1"/>
  <c r="O17" i="74"/>
  <c r="P17" i="74" s="1"/>
  <c r="O49" i="74"/>
  <c r="O97" i="74"/>
  <c r="P97" i="74" s="1"/>
  <c r="O107" i="74"/>
  <c r="O69" i="74"/>
  <c r="O55" i="74"/>
  <c r="O86" i="74"/>
  <c r="P86" i="74" s="1"/>
  <c r="O91" i="74"/>
  <c r="P91" i="74" s="1"/>
  <c r="O56" i="74"/>
  <c r="P56" i="74" s="1"/>
  <c r="O78" i="74"/>
  <c r="P78" i="74" s="1"/>
  <c r="O16" i="74"/>
  <c r="P16" i="74" s="1"/>
  <c r="O30" i="74"/>
  <c r="P30" i="74" s="1"/>
  <c r="O31" i="74"/>
  <c r="P31" i="74" s="1"/>
  <c r="O96" i="74"/>
  <c r="O9" i="74"/>
  <c r="O60" i="74"/>
  <c r="O3" i="74"/>
  <c r="O2" i="74"/>
  <c r="O50" i="74"/>
  <c r="P50" i="74" s="1"/>
  <c r="O110" i="74"/>
  <c r="P110" i="74" s="1"/>
  <c r="P99" i="74"/>
  <c r="P88" i="74"/>
  <c r="P76" i="74"/>
  <c r="P79" i="74"/>
  <c r="P27" i="74"/>
  <c r="P68" i="74"/>
  <c r="P65" i="74"/>
  <c r="P73" i="74"/>
  <c r="P45" i="74"/>
  <c r="P62" i="74"/>
  <c r="P28" i="74"/>
  <c r="P43" i="74"/>
  <c r="P6" i="74"/>
  <c r="P44" i="74"/>
  <c r="P80" i="74"/>
  <c r="P106" i="74"/>
  <c r="P92" i="74"/>
  <c r="P108" i="74"/>
  <c r="P25" i="74"/>
  <c r="P101" i="74"/>
  <c r="P85" i="74"/>
  <c r="P33" i="74"/>
  <c r="P109" i="74"/>
  <c r="P19" i="74"/>
  <c r="P20" i="74"/>
  <c r="P5" i="74"/>
  <c r="P102" i="74"/>
  <c r="P38" i="74"/>
  <c r="P72" i="74"/>
  <c r="P26" i="74"/>
  <c r="P36" i="74"/>
  <c r="P67" i="74"/>
  <c r="P24" i="74"/>
  <c r="P40" i="74"/>
  <c r="P84" i="74"/>
  <c r="P94" i="74"/>
  <c r="P39" i="74"/>
  <c r="P63" i="74"/>
  <c r="P77" i="74"/>
  <c r="P21" i="74"/>
  <c r="P58" i="74"/>
  <c r="P11" i="74"/>
  <c r="P42" i="74"/>
  <c r="P8" i="74"/>
  <c r="P13" i="74"/>
  <c r="P23" i="74"/>
  <c r="P34" i="74"/>
  <c r="P104" i="74"/>
  <c r="P105" i="74"/>
  <c r="P48" i="74"/>
  <c r="P12" i="74"/>
  <c r="P15" i="74"/>
  <c r="P10" i="74"/>
  <c r="P37" i="74"/>
  <c r="P54" i="74"/>
  <c r="P93" i="74"/>
  <c r="P82" i="74"/>
  <c r="P52" i="74"/>
  <c r="P18" i="74"/>
  <c r="P87" i="74"/>
  <c r="P4" i="74"/>
  <c r="P95" i="74"/>
  <c r="P57" i="74"/>
  <c r="P71" i="74"/>
  <c r="P100" i="74"/>
  <c r="P49" i="74"/>
  <c r="P107" i="74"/>
  <c r="P69" i="74"/>
  <c r="P55" i="74"/>
  <c r="P96" i="74"/>
  <c r="P9" i="74"/>
  <c r="P60" i="74"/>
  <c r="P3" i="74"/>
  <c r="P2" i="74"/>
  <c r="D13" i="53" l="1"/>
  <c r="F2" i="78" l="1"/>
  <c r="F3" i="78" l="1"/>
  <c r="C3" i="53" l="1"/>
  <c r="D24" i="53" s="1"/>
  <c r="C7" i="53"/>
  <c r="C6" i="53"/>
  <c r="D22" i="53" l="1"/>
  <c r="D12" i="53"/>
  <c r="D14" i="53"/>
  <c r="D15" i="53"/>
  <c r="D16" i="53"/>
  <c r="D17" i="53"/>
  <c r="D18" i="53"/>
  <c r="D19" i="53"/>
  <c r="D20" i="53"/>
  <c r="D21" i="53"/>
  <c r="AB2" i="1"/>
  <c r="AB3" i="1"/>
  <c r="AB4" i="1"/>
  <c r="AB5" i="1"/>
  <c r="AB6" i="1"/>
  <c r="AB7" i="1"/>
  <c r="AB8" i="1"/>
  <c r="AB9" i="1"/>
  <c r="AB10" i="1"/>
  <c r="AB11" i="1"/>
  <c r="AB12" i="1"/>
  <c r="AB13" i="1"/>
  <c r="AA2" i="1"/>
  <c r="AA3" i="1"/>
  <c r="AA4" i="1"/>
  <c r="AA5" i="1"/>
  <c r="AA6" i="1"/>
  <c r="AA7" i="1"/>
  <c r="AA8" i="1"/>
  <c r="AA9" i="1"/>
  <c r="AA10" i="1"/>
  <c r="AA11" i="1"/>
  <c r="AA12" i="1"/>
  <c r="AA13" i="1"/>
  <c r="Z2" i="1"/>
  <c r="Z3" i="1"/>
  <c r="Z4" i="1"/>
  <c r="Z5" i="1"/>
  <c r="Z6" i="1"/>
  <c r="Z7" i="1"/>
  <c r="Z8" i="1"/>
  <c r="Z9" i="1"/>
  <c r="Z10" i="1"/>
  <c r="Z11" i="1"/>
  <c r="Z12" i="1"/>
  <c r="Z13" i="1"/>
  <c r="D11" i="53" l="1"/>
  <c r="D32" i="53"/>
  <c r="D31" i="53"/>
  <c r="V8" i="1"/>
  <c r="X9" i="1"/>
  <c r="Y9" i="1" s="1"/>
  <c r="X10" i="1"/>
  <c r="X11" i="1"/>
  <c r="Y11" i="1" s="1"/>
  <c r="X12" i="1"/>
  <c r="Y12" i="1" s="1"/>
  <c r="X13" i="1"/>
  <c r="Y13" i="1" s="1"/>
  <c r="S13" i="1"/>
  <c r="S10" i="1"/>
  <c r="S11" i="1"/>
  <c r="S12" i="1"/>
  <c r="S9" i="1"/>
  <c r="C4" i="53" l="1"/>
  <c r="D29" i="53"/>
  <c r="D27" i="53" s="1"/>
  <c r="E22" i="53"/>
  <c r="Y10" i="1"/>
  <c r="X2" i="1"/>
  <c r="Y2" i="1" s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S6" i="1" l="1"/>
  <c r="V6" i="1" s="1"/>
  <c r="S4" i="1" l="1"/>
  <c r="V4" i="1" s="1"/>
  <c r="D4" i="1" l="1"/>
  <c r="S5" i="1" l="1"/>
  <c r="V5" i="1" s="1"/>
  <c r="S7" i="1"/>
  <c r="V7" i="1" s="1"/>
  <c r="U8" i="1" l="1"/>
  <c r="S3" i="1"/>
  <c r="V3" i="1" s="1"/>
  <c r="D3" i="1"/>
  <c r="S2" i="1"/>
  <c r="V2" i="1" s="1"/>
  <c r="D2" i="1" l="1"/>
  <c r="E21" i="53" l="1"/>
  <c r="E12" i="53"/>
  <c r="E14" i="53" l="1"/>
  <c r="E15" i="53"/>
  <c r="E20" i="53"/>
  <c r="E13" i="53"/>
  <c r="E19" i="53"/>
  <c r="E17" i="53"/>
  <c r="E16" i="53"/>
  <c r="E18" i="53"/>
  <c r="D26" i="53"/>
  <c r="D34" i="53" l="1"/>
  <c r="C5" i="53"/>
  <c r="C8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tc={D7491E7B-B23B-4D34-9968-7A3232ED1908}</author>
  </authors>
  <commentList>
    <comment ref="D12" authorId="0" shapeId="0" xr:uid="{D7491E7B-B23B-4D34-9968-7A3232ED1908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5692B-0D73-4ACC-9934-40DBFD9B7F88}" keepAlive="1" name="ModelConnection_ExternalData_1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C7E99F3-3400-4A22-BB1B-EF0C036BEA5A}" keepAlive="1" name="ModelConnection_ExternalData_11" description="Data Model" type="5" refreshedVersion="8" minRefreshableVersion="5" saveData="1">
    <dbPr connection="Data Model Connection" command="rubros_unico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1C8DD7A-C83C-4B4F-B57D-3156FCD84C9C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c1037889-33d8-4c7e-b153-f5c8553d7606">
          <x15:oledbPr connection="Provider=Microsoft.Mashup.OleDb.1;Data Source=$Workbook$;Location=concepto_id;Extended Properties=&quot;&quot;">
            <x15:dbTables>
              <x15:dbTable name="concepto_id"/>
            </x15:dbTables>
          </x15:oledbPr>
        </x15:connection>
      </ext>
    </extLst>
  </connection>
  <connection id="4" xr16:uid="{E6B7CC8A-2003-4939-A6C2-E0D322201142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5" xr16:uid="{797F0411-7EF3-4148-9879-70435461F04A}" keepAlive="1" name="Query - nutri&amp;rrhh" description="Connection to the 'nutri&amp;rrhh' query in the workbook." type="5" refreshedVersion="8" background="1" saveData="1">
    <dbPr connection="Provider=Microsoft.Mashup.OleDb.1;Data Source=$Workbook$;Location=nutri&amp;rrhh;Extended Properties=&quot;&quot;" command="SELECT * FROM [nutri&amp;rrhh]"/>
  </connection>
  <connection id="6" xr16:uid="{1FA081DB-2220-4EBF-B371-83BB902425FE}" keepAlive="1" name="Query - produccion" description="Connection to the 'produccion' query in the workbook." type="5" refreshedVersion="8" background="1" saveData="1">
    <dbPr connection="Provider=Microsoft.Mashup.OleDb.1;Data Source=$Workbook$;Location=produccion;Extended Properties=&quot;&quot;" command="SELECT * FROM [produccion]"/>
  </connection>
  <connection id="7" xr16:uid="{9FC3BBEE-FFDE-4EA2-AA12-7F45F762745A}" name="Query - rubros_unicos" description="Connection to the 'rubros_unicos' query in the workbook." type="100" refreshedVersion="8" minRefreshableVersion="5">
    <extLst>
      <ext xmlns:x15="http://schemas.microsoft.com/office/spreadsheetml/2010/11/main" uri="{DE250136-89BD-433C-8126-D09CA5730AF9}">
        <x15:connection id="64198666-b0ea-4288-92b9-445cab157156">
          <x15:oledbPr connection="Provider=Microsoft.Mashup.OleDb.1;Data Source=$Workbook$;Location=rubros_unicos;Extended Properties=&quot;&quot;">
            <x15:dbTables>
              <x15:dbTable name="rubros_unicos"/>
            </x15:dbTables>
          </x15:oledbPr>
        </x15:connection>
      </ext>
    </extLst>
  </connection>
  <connection id="8" xr16:uid="{12CB0797-77EC-4324-A947-BE1813167BBB}" keepAlive="1" name="Query - union_gastos" description="Connection to the 'union_gastos' query in the workbook." type="5" refreshedVersion="8" background="1" saveData="1">
    <dbPr connection="Provider=Microsoft.Mashup.OleDb.1;Data Source=$Workbook$;Location=union_gastos;Extended Properties=&quot;&quot;" command="SELECT * FROM [union_gastos]"/>
  </connection>
  <connection id="9" xr16:uid="{AD67CE77-4E4A-4122-B23D-B1A33DB55A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<sst xmlns="http://schemas.openxmlformats.org/spreadsheetml/2006/main" count="28885" uniqueCount="4058">
  <si>
    <t>AREA</t>
  </si>
  <si>
    <t>UN</t>
  </si>
  <si>
    <t>PRODUCTO</t>
  </si>
  <si>
    <t>FECHA CARGA</t>
  </si>
  <si>
    <t>DESCRIPCION</t>
  </si>
  <si>
    <t>UM</t>
  </si>
  <si>
    <t>Q</t>
  </si>
  <si>
    <t>PROVEEDOR</t>
  </si>
  <si>
    <t>CANAL</t>
  </si>
  <si>
    <t>MONEDA</t>
  </si>
  <si>
    <t>CONCEPTO</t>
  </si>
  <si>
    <t>OPEX</t>
  </si>
  <si>
    <t>CAPEX</t>
  </si>
  <si>
    <t>RUBRO</t>
  </si>
  <si>
    <t>ARS</t>
  </si>
  <si>
    <t>IVA</t>
  </si>
  <si>
    <t>SUBTOTAL</t>
  </si>
  <si>
    <t>TOTAL</t>
  </si>
  <si>
    <t>T.C</t>
  </si>
  <si>
    <t>COMENTARIO</t>
  </si>
  <si>
    <t>DIRECTO</t>
  </si>
  <si>
    <t>INDIRECTO</t>
  </si>
  <si>
    <t>VARIABLE</t>
  </si>
  <si>
    <t>HABERES</t>
  </si>
  <si>
    <t>VENTAS</t>
  </si>
  <si>
    <t>Argelec Centro S.R.L.</t>
  </si>
  <si>
    <t>Richetti, Adrian Leonardo</t>
  </si>
  <si>
    <t>La Delfina Sociedad Anonima Comercial Industrial Financiera Y Agropecuaria</t>
  </si>
  <si>
    <t>Bordalt Ivan Y Carpinetti Barbara Ss</t>
  </si>
  <si>
    <t>Grupo Nodo Gestion Ambiental S.R.L.</t>
  </si>
  <si>
    <t>Estudio De Profesionales Sa</t>
  </si>
  <si>
    <t>Alvarez, Alejandro Dario</t>
  </si>
  <si>
    <t>Union Emergencias Regionales S A        Acion</t>
  </si>
  <si>
    <t>P</t>
  </si>
  <si>
    <t>Unidad(es)</t>
  </si>
  <si>
    <t>La Quinta Eventos S.R.L.</t>
  </si>
  <si>
    <t>FIJO</t>
  </si>
  <si>
    <t>Alvarez, Maria Milagros</t>
  </si>
  <si>
    <t>Speed Business S. A.</t>
  </si>
  <si>
    <t>NA</t>
  </si>
  <si>
    <t>id_factura</t>
  </si>
  <si>
    <t># ID GASTO</t>
  </si>
  <si>
    <t>TIPO 1 (DIRECTO/INDIRECTO)</t>
  </si>
  <si>
    <t>TIPO 2 (FIJO/VARIABLE)</t>
  </si>
  <si>
    <t>Bongiovanni, Juan Pablo</t>
  </si>
  <si>
    <t>Pierucci, Marcelo Nello</t>
  </si>
  <si>
    <t>Pascual Materiales S. R. L.</t>
  </si>
  <si>
    <t>Forconi, Marcos Roman</t>
  </si>
  <si>
    <t>ARCA</t>
  </si>
  <si>
    <t>Agroceres Pic Argentina S A</t>
  </si>
  <si>
    <t>Genetica (C)</t>
  </si>
  <si>
    <t>Gastos Operativos (C)</t>
  </si>
  <si>
    <t>Comercial Uritorco S. R. L.</t>
  </si>
  <si>
    <t>Reparaciones y repuestos (C)</t>
  </si>
  <si>
    <t>Drovet S A</t>
  </si>
  <si>
    <t>Sanidad (C)</t>
  </si>
  <si>
    <t>SS de terceros (C)</t>
  </si>
  <si>
    <t>Mantenimiento (C)</t>
  </si>
  <si>
    <t>Trt S.A.</t>
  </si>
  <si>
    <t>Esperanza Distribuciones Srl</t>
  </si>
  <si>
    <t>Arrieta, Fernando Gabriel</t>
  </si>
  <si>
    <t>Fletes (C)</t>
  </si>
  <si>
    <t>Mil Propiedades Srl.</t>
  </si>
  <si>
    <t>Chiminello, Vanina</t>
  </si>
  <si>
    <t>Matteo, Marcelo Mario</t>
  </si>
  <si>
    <t>Bater S.R.L.</t>
  </si>
  <si>
    <t>Establecimiento Do#A Teresa S R L</t>
  </si>
  <si>
    <t>Rojas, Juan Manuel</t>
  </si>
  <si>
    <t>Afe Sociedad Civil</t>
  </si>
  <si>
    <t>Honorario Contador (C)</t>
  </si>
  <si>
    <t>Pick Sas</t>
  </si>
  <si>
    <t>PORCINOS</t>
  </si>
  <si>
    <t>Nutrición</t>
  </si>
  <si>
    <t>remu</t>
  </si>
  <si>
    <t>Personal</t>
  </si>
  <si>
    <t>Topigs Norsvin Argentina S.R.L.</t>
  </si>
  <si>
    <t>Servicio Nacional De Sanidad Y Calidad Agroalimentaria Senasa</t>
  </si>
  <si>
    <t>Federacion Patronal Seguros S.A.</t>
  </si>
  <si>
    <t>Donda, Ruben Estelio</t>
  </si>
  <si>
    <t>TOTAL CALZIM</t>
  </si>
  <si>
    <t>nico_1</t>
  </si>
  <si>
    <t>Nutran</t>
  </si>
  <si>
    <t>kg</t>
  </si>
  <si>
    <t>nico_2</t>
  </si>
  <si>
    <t>Alimento</t>
  </si>
  <si>
    <t>calculo_alimentos_2</t>
  </si>
  <si>
    <t>Vetifarma S A</t>
  </si>
  <si>
    <t>Alojamiento Capurro</t>
  </si>
  <si>
    <t>Dosia AGPIC337 IU ROY I</t>
  </si>
  <si>
    <t>Nutran S.R.L.</t>
  </si>
  <si>
    <t>Sueldos a pagar</t>
  </si>
  <si>
    <t>Nutrisan Granja S.R.L.</t>
  </si>
  <si>
    <t>Mantenimiento (C)
lamparas infrared 250w</t>
  </si>
  <si>
    <t xml:space="preserve">METROS CUBICOS DE HORMIGON ELABORADO Hº21  </t>
  </si>
  <si>
    <t>Banco De Galicia Y Buenos Aires S A U</t>
  </si>
  <si>
    <t>Fason(C)</t>
  </si>
  <si>
    <t>Comercial Uritorco S. R. L.-</t>
  </si>
  <si>
    <t>ASESORAMIENTO TECNICO VETERINARIO</t>
  </si>
  <si>
    <t>Eliceche, Adrian Alberto</t>
  </si>
  <si>
    <t>Honorarios profesionales correspondiente a los contratos nro 86493 y nro 86498</t>
  </si>
  <si>
    <t>Lasa Rosario S.R.L.</t>
  </si>
  <si>
    <t>Fernandez, Jose Fernando</t>
  </si>
  <si>
    <t xml:space="preserve">Honorarios Veterinario (C)
asesoramiento profesional </t>
  </si>
  <si>
    <t>Empresa Provincial De La Energia De Santa Fe</t>
  </si>
  <si>
    <t>Alimento para Animales (C)</t>
  </si>
  <si>
    <t>FA-C 00001-00000011</t>
  </si>
  <si>
    <t>por servicios realizados</t>
  </si>
  <si>
    <t>Testimonio Compañia De Seguros  Sa</t>
  </si>
  <si>
    <t>FA-A 00001-00000308</t>
  </si>
  <si>
    <t>abono mensual</t>
  </si>
  <si>
    <t>Cesaretti, Fernando Rene</t>
  </si>
  <si>
    <t>seguridad</t>
  </si>
  <si>
    <t xml:space="preserve">Honorario Contador </t>
  </si>
  <si>
    <t>DEUDA</t>
  </si>
  <si>
    <t>c2_2</t>
  </si>
  <si>
    <t xml:space="preserve">Mariano santos </t>
  </si>
  <si>
    <t>c2_3</t>
  </si>
  <si>
    <t xml:space="preserve">Capurro Nicolas </t>
  </si>
  <si>
    <t>sueldo 2</t>
  </si>
  <si>
    <t>viaticos</t>
  </si>
  <si>
    <t>c2_1</t>
  </si>
  <si>
    <t xml:space="preserve">alquiler </t>
  </si>
  <si>
    <t>UTILDAD OPERATIVA</t>
  </si>
  <si>
    <t>planilla de andres</t>
  </si>
  <si>
    <t>RESULTADO NETO</t>
  </si>
  <si>
    <t>Asiento</t>
  </si>
  <si>
    <t>Partner</t>
  </si>
  <si>
    <t>Provincia de entrega</t>
  </si>
  <si>
    <t>Fecha de factura</t>
  </si>
  <si>
    <t>Producto</t>
  </si>
  <si>
    <t>Apunte contable/Líneas analíticas/Cuenta analítica</t>
  </si>
  <si>
    <t>Cantidad producto</t>
  </si>
  <si>
    <t>Precio unitario</t>
  </si>
  <si>
    <t>Total libre de impuestos</t>
  </si>
  <si>
    <t>Total (CC)</t>
  </si>
  <si>
    <t>LCDP-A 00009-00002010</t>
  </si>
  <si>
    <t>Gapre S R L</t>
  </si>
  <si>
    <t>Santa Fe (AR)</t>
  </si>
  <si>
    <t>CERDAS</t>
  </si>
  <si>
    <t>LCDP-A 00009-00002009</t>
  </si>
  <si>
    <t>LCDP-A 00009-00002008</t>
  </si>
  <si>
    <t>LCDP-A 00002-00000172</t>
  </si>
  <si>
    <t>Gaspari, Leonardo Sergio</t>
  </si>
  <si>
    <t>LCDP-A 00009-00002006</t>
  </si>
  <si>
    <t>LCDP-A 00009-00002007</t>
  </si>
  <si>
    <t>LCDP-A 00009-00002003</t>
  </si>
  <si>
    <t>LCDP-A 00009-00002002</t>
  </si>
  <si>
    <t>LCDP-A 00009-00002001</t>
  </si>
  <si>
    <t>LCDP-A 00002-00000169</t>
  </si>
  <si>
    <t>LCDP-A 00009-00002000</t>
  </si>
  <si>
    <t>LCDP-A 00002-00000170</t>
  </si>
  <si>
    <t>LCDP-A 00009-00001999</t>
  </si>
  <si>
    <t>LCDP-A 00009-00001997</t>
  </si>
  <si>
    <t>LCDP-A 00009-00001998</t>
  </si>
  <si>
    <t>LCDP-A 00009-00001996</t>
  </si>
  <si>
    <t>LCDP-A 00009-00001995</t>
  </si>
  <si>
    <t>LCDP-A 00009-00001993</t>
  </si>
  <si>
    <t>LCDP-A 00009-00001994</t>
  </si>
  <si>
    <t>LCDP-A 00009-00001991</t>
  </si>
  <si>
    <t>LCDP-A 00009-00001992</t>
  </si>
  <si>
    <t>LCDP-A 00002-00000166</t>
  </si>
  <si>
    <t>LCDP-A 00009-00001990</t>
  </si>
  <si>
    <t>LCDP-A 00002-00000165</t>
  </si>
  <si>
    <t>LCDP-A 00009-00001987</t>
  </si>
  <si>
    <t>LCDP-A 00009-00001989</t>
  </si>
  <si>
    <t>LCDP-A 00009-00001988</t>
  </si>
  <si>
    <t>LCDP-A 00009-00001984</t>
  </si>
  <si>
    <t>LCDP-A 00009-00001986</t>
  </si>
  <si>
    <t>LCDP-A 00009-00001982</t>
  </si>
  <si>
    <t>LCDP-A 00009-00001981</t>
  </si>
  <si>
    <t>nico_3</t>
  </si>
  <si>
    <t>fason_calculo_alimentos_1</t>
  </si>
  <si>
    <t>embolsado_calculo_alimentos_3</t>
  </si>
  <si>
    <t>Estado de factura</t>
  </si>
  <si>
    <t>FA-C 00001-00000366</t>
  </si>
  <si>
    <t>Barrera, Adrian Jesus</t>
  </si>
  <si>
    <t>Abierto</t>
  </si>
  <si>
    <t>FA-A 00008-00137653</t>
  </si>
  <si>
    <t>Ciudad Autónoma de Buenos Aires (AR)</t>
  </si>
  <si>
    <t>OC/2025/0128</t>
  </si>
  <si>
    <t>OC/2025/0130</t>
  </si>
  <si>
    <t>OC/2025/0129</t>
  </si>
  <si>
    <t>OC/2025/0126</t>
  </si>
  <si>
    <t>FA-A 00001-00006197</t>
  </si>
  <si>
    <t>FA-A 00001-00006198</t>
  </si>
  <si>
    <t>OC/2025/0127</t>
  </si>
  <si>
    <t>FA-A 00001-00000311</t>
  </si>
  <si>
    <t>OC/2025/0131</t>
  </si>
  <si>
    <t>FA-A 00011-00027677</t>
  </si>
  <si>
    <t>FA-C 00001-00000305</t>
  </si>
  <si>
    <t>FA-C 00001-00000290</t>
  </si>
  <si>
    <t>OC/2025/0125</t>
  </si>
  <si>
    <t>OC/2025/0124</t>
  </si>
  <si>
    <t>FA-A 00003-00000285</t>
  </si>
  <si>
    <t>OC/2025/0123</t>
  </si>
  <si>
    <t>NC-A 00011-00010896 (Reversión de: FA-A 00011-00050785)</t>
  </si>
  <si>
    <t>Rosario Agro Industrial Srl</t>
  </si>
  <si>
    <t>FA-A 00001-00000309</t>
  </si>
  <si>
    <t>FA-A 00001-00006140</t>
  </si>
  <si>
    <t>FA-A 00001-00000639</t>
  </si>
  <si>
    <t>FA-A 00026-00489583</t>
  </si>
  <si>
    <t>OC/2025/0122</t>
  </si>
  <si>
    <t>FA-A 00001-00006079</t>
  </si>
  <si>
    <t>FA-A 00001-00000306</t>
  </si>
  <si>
    <t>FA-A 00009-00021213</t>
  </si>
  <si>
    <t>FA-A 00008-00137202</t>
  </si>
  <si>
    <t>FA-A 00008-00137230</t>
  </si>
  <si>
    <t>OC/2025/0118</t>
  </si>
  <si>
    <t>Martinez, Marcelo Gregorio</t>
  </si>
  <si>
    <t>FA-A 00002-00009757</t>
  </si>
  <si>
    <t>OC/2025/0119</t>
  </si>
  <si>
    <t>Administracion Provincial De Impuestos</t>
  </si>
  <si>
    <t>SERVICIOS (C)</t>
  </si>
  <si>
    <t>OC/2025/0121</t>
  </si>
  <si>
    <t>OC/2025/0120</t>
  </si>
  <si>
    <t>FA-A 00004-00074070</t>
  </si>
  <si>
    <t>Buenos Aires (AR)</t>
  </si>
  <si>
    <t>FA-A 00004-00074069</t>
  </si>
  <si>
    <t>FA-A 00026-00488575</t>
  </si>
  <si>
    <t>FA-A 00005-00002354</t>
  </si>
  <si>
    <t>FA-A 00001-00000300</t>
  </si>
  <si>
    <t>FA-A 00032-00100698</t>
  </si>
  <si>
    <t>FA-A 00330-00174670</t>
  </si>
  <si>
    <t>FA-A 00008-00136952</t>
  </si>
  <si>
    <t>FA-A 00005-00003378</t>
  </si>
  <si>
    <t>Viandas (C)</t>
  </si>
  <si>
    <t>FA-A 00002-00001742</t>
  </si>
  <si>
    <t>Honorarios  (C)</t>
  </si>
  <si>
    <t>FA-A 00012-00530282</t>
  </si>
  <si>
    <t>FA-A 00001-00006023</t>
  </si>
  <si>
    <t>OC/2025/0117</t>
  </si>
  <si>
    <t>FA-A 00009-00021154</t>
  </si>
  <si>
    <t>OC/2025/0116</t>
  </si>
  <si>
    <t>FA-A 00002-00009746</t>
  </si>
  <si>
    <t>FA-A 00008-00136751</t>
  </si>
  <si>
    <t>OC/2025/0115</t>
  </si>
  <si>
    <t>FA-A 00004-00073996</t>
  </si>
  <si>
    <t>OC/2025/0113</t>
  </si>
  <si>
    <t>OC/2025/0112</t>
  </si>
  <si>
    <t>OC/2025/0114</t>
  </si>
  <si>
    <t>OC/2025/0111</t>
  </si>
  <si>
    <t>OC/2025/0110</t>
  </si>
  <si>
    <t>FA-A 00001-00000292</t>
  </si>
  <si>
    <t>OC/2025/0109</t>
  </si>
  <si>
    <t>FA-A 00002-00003941</t>
  </si>
  <si>
    <t>Articulos de limpieza (C)</t>
  </si>
  <si>
    <t>FA-A 00001-00005926</t>
  </si>
  <si>
    <t>FA-A 00008-00136293</t>
  </si>
  <si>
    <t>FA-A 00330-00172625</t>
  </si>
  <si>
    <t>OC/2025/0107</t>
  </si>
  <si>
    <t>OC/2025/0108</t>
  </si>
  <si>
    <t>FA-A 00330-00172589</t>
  </si>
  <si>
    <t>FA-A 00004-00019973</t>
  </si>
  <si>
    <t>FA-A 00009-00210769</t>
  </si>
  <si>
    <t>FA-A 00008-00136322</t>
  </si>
  <si>
    <t>FA-A 00005-00089191</t>
  </si>
  <si>
    <t>Alquiler (C)</t>
  </si>
  <si>
    <t>FA-A 00004-00019972</t>
  </si>
  <si>
    <t>FA-A 00003-00000046</t>
  </si>
  <si>
    <t>Honorarios Veterinario (C)</t>
  </si>
  <si>
    <t>FA-A 00002-00009721</t>
  </si>
  <si>
    <t>OC/2025/0106</t>
  </si>
  <si>
    <t>FA-A 00001-00000303</t>
  </si>
  <si>
    <t>Mantenimiento e Instalaciones (C)</t>
  </si>
  <si>
    <t>OC/2025/0104</t>
  </si>
  <si>
    <t>OC/2025/0105</t>
  </si>
  <si>
    <t>FA-C 00003-00001726</t>
  </si>
  <si>
    <t>NC-A 00002-00000274 (Reversión de: FA-A 00002-00007631)</t>
  </si>
  <si>
    <t>FA-A 00008-00136043</t>
  </si>
  <si>
    <t>OC/2025/0103</t>
  </si>
  <si>
    <t>FA-C 00001-00000012</t>
  </si>
  <si>
    <t>FA-A 00002-00006667</t>
  </si>
  <si>
    <t>OC/2025/0102</t>
  </si>
  <si>
    <t>FA-A 00003-00000251</t>
  </si>
  <si>
    <t>FA-A 00005-00003342</t>
  </si>
  <si>
    <t>OC/2025/0101</t>
  </si>
  <si>
    <t>FA-A 00009-00021003</t>
  </si>
  <si>
    <t>FA-A 00001-00000322</t>
  </si>
  <si>
    <t>FA-A 00002-00009698</t>
  </si>
  <si>
    <t>FA-A 00001-00000667</t>
  </si>
  <si>
    <t>FA-C 00002-00000208</t>
  </si>
  <si>
    <t>Honorarios Ingenieros (C)</t>
  </si>
  <si>
    <t>FA-A 00005-00014752</t>
  </si>
  <si>
    <t>Gastos Medicos (C)</t>
  </si>
  <si>
    <t>FA-A 00002-00001445</t>
  </si>
  <si>
    <t>FA-A 00002-00024073</t>
  </si>
  <si>
    <t>Servicios de residuos (C)</t>
  </si>
  <si>
    <t>FA-A 00002-00000670</t>
  </si>
  <si>
    <t>OC/2025/0100</t>
  </si>
  <si>
    <t>Desmedt, Sebastian Emilio</t>
  </si>
  <si>
    <t>Vagnoni</t>
  </si>
  <si>
    <t xml:space="preserve">Rollos </t>
  </si>
  <si>
    <t>Actividades</t>
  </si>
  <si>
    <t>Estado</t>
  </si>
  <si>
    <t>Estado de pago</t>
  </si>
  <si>
    <t>Fecha de Factura/Recibo</t>
  </si>
  <si>
    <t>Fecha de vencimiento</t>
  </si>
  <si>
    <t>Importe sin impuestos con signo</t>
  </si>
  <si>
    <t>Nombre de la empresa a mostrar en la factura</t>
  </si>
  <si>
    <t>Número</t>
  </si>
  <si>
    <t>Referencia</t>
  </si>
  <si>
    <t>Total con signo</t>
  </si>
  <si>
    <t>Total en divisa con signo</t>
  </si>
  <si>
    <t>Importe adeudado</t>
  </si>
  <si>
    <t>Líneas de factura/Etiquetas</t>
  </si>
  <si>
    <t>Líneas de factura/Etiqueta</t>
  </si>
  <si>
    <t>Líneas de factura/Cantidad</t>
  </si>
  <si>
    <t>Líneas de factura/Precio unitario</t>
  </si>
  <si>
    <t>Líneas de factura/Unidad de medida</t>
  </si>
  <si>
    <t>Apuntes contables/Líneas analíticas/Cuenta analítica</t>
  </si>
  <si>
    <t>Origen</t>
  </si>
  <si>
    <t>Publicado</t>
  </si>
  <si>
    <t>No pagadas</t>
  </si>
  <si>
    <t xml:space="preserve">OC 0001-00001152: Gastos Operativos (C)
Bidones de agua de 20 litros </t>
  </si>
  <si>
    <t>OC 0001-00001152</t>
  </si>
  <si>
    <t>DOSIS AGpic337 Roy</t>
  </si>
  <si>
    <t>Pagado</t>
  </si>
  <si>
    <t>ALBERTENGO GUIDO Pablos (ACUERDO)</t>
  </si>
  <si>
    <t>Albertengo Juan Ignacio(ACUERDO)</t>
  </si>
  <si>
    <t>Cristian Franco Emiliano Nicolas (ACUERDO)</t>
  </si>
  <si>
    <t>Cristian Franco Martin Andrés (ACUERDO)</t>
  </si>
  <si>
    <t>Cristian Joaquin Duran (ACUERDO)</t>
  </si>
  <si>
    <t>Cristian Leonardo Celaya (ACUERDO)</t>
  </si>
  <si>
    <t>FA-A 00002-00009786</t>
  </si>
  <si>
    <t>OC 0001-00000960: Fason(C)</t>
  </si>
  <si>
    <t>OC 0001-00000960</t>
  </si>
  <si>
    <t>ALAMBRE RECOCIDO NEGRO 17=1.42XR ROLLO</t>
  </si>
  <si>
    <t>ALAMBRE RECOCDIO NEGRO17=1.42X R ROLLO= 1KG</t>
  </si>
  <si>
    <t>AEROSOL AZUL 350ML.USO GENERAL TEK BOND</t>
  </si>
  <si>
    <t>AEROSOL ROJO 350ML.ACRILICA TEK BOND</t>
  </si>
  <si>
    <t>bolsas de cemento
(hidroponia)</t>
  </si>
  <si>
    <t>bolsas de cemento(recrea)</t>
  </si>
  <si>
    <t>envió de mercaderia</t>
  </si>
  <si>
    <t>diferencia aumento de septiembre</t>
  </si>
  <si>
    <t>Servicio mes de septiembre 2025</t>
  </si>
  <si>
    <t xml:space="preserve">abuelas cash 
gps plus genético </t>
  </si>
  <si>
    <t>OC 0001-00001004</t>
  </si>
  <si>
    <t>gastos adm, de cheques</t>
  </si>
  <si>
    <t xml:space="preserve">Flete, fecha : 04/08/2025 Calzim / Máximo paz kms:70 tipo: simple DTE: 29964925-29968915-CABEZAS: 85 CHOFER:GARFAGNOLI MATIAS
</t>
  </si>
  <si>
    <t xml:space="preserve">Flete-Fecha:07/08/2025 ARROYO SECO/MAXIMO PAZ KM: 70 TIPO:SOBLE dte:2199819957-2199820408-Cabezas:0 </t>
  </si>
  <si>
    <t xml:space="preserve">Flete: Fceha_21/08/2025 Arroyo Seco /Maximo Paz kms:70 tipo:Simple DTE: 300861393 </t>
  </si>
  <si>
    <t>LETE-fECHA:05/08/2025 Arroyo SEco /Máximo Paz kms: tipo: simple. Dte_2299721302-2299721426-2299721671</t>
  </si>
  <si>
    <t>Flete -Fecha:14/08/2025 Arroyo Seco/Maximo Paz kms: 70 Tipo: Doble DTE:300309143--cABEZAS:0 CHOFER: SCUOTRI OMAR</t>
  </si>
  <si>
    <t>fLETE-fECHA:19/08/2025 aRROYO sECO/mAXIMO pAZ kms.70 tipo :chasis Dte:300795205</t>
  </si>
  <si>
    <t>Flete-Fecha:11/08/2025 Arroyo Seco/Maximo Paz KMs: 70 Tipo : Simple Dte: 2300127943-2300127606 cabezas:0 chofer ; scuotri Omar</t>
  </si>
  <si>
    <t>Flete: Fecha:18/08/2025 Arroyo Seco/Maximo Paz Kms:70 Tipo: SIMPLEDTE:2300618057-2300617670-CABEZAS:0 CHOFER</t>
  </si>
  <si>
    <t>bulon whitwortk 5/16 x 1cincada
taco metalico</t>
  </si>
  <si>
    <t xml:space="preserve">vaso magnetico hexag, disc diam segmentado(mantenimiento) </t>
  </si>
  <si>
    <t xml:space="preserve">Cemento AVELLANEDA X 25KG DE MAYORISTA (RECRIA) </t>
  </si>
  <si>
    <t>bolson de arena, piedras 6/19 x bolson, hieroo 10 por barra x 12mts, cemento avellaneda x 25 kg mayorista, servicio grua (hidroponía)</t>
  </si>
  <si>
    <t>OC 0001-00000985</t>
  </si>
  <si>
    <t>SS de terceros (C)
ALBAÑIL</t>
  </si>
  <si>
    <t>DOSIS AG1010 IU ABUELO VISTA</t>
  </si>
  <si>
    <t xml:space="preserve">DOSIS agpic337 ROY 1
</t>
  </si>
  <si>
    <t>DOSIS agpic337IU roy I</t>
  </si>
  <si>
    <t>Tiamulina 10%</t>
  </si>
  <si>
    <t>STARFEED LACTANCIA 4% REPRO</t>
  </si>
  <si>
    <t>STARFEED WEANING FASE 4 (6%)</t>
  </si>
  <si>
    <t>tiamulina 10%</t>
  </si>
  <si>
    <t>MAXIMIX cerdas repc/fitasas</t>
  </si>
  <si>
    <t>CLORTETRACICLINA 20%</t>
  </si>
  <si>
    <t xml:space="preserve">MYCOBINDER </t>
  </si>
  <si>
    <t>ENERGY PROTEIN DRINK</t>
  </si>
  <si>
    <t>FLORFENICOL 2%</t>
  </si>
  <si>
    <t>ACIDO CITRICO</t>
  </si>
  <si>
    <t xml:space="preserve">STARFEED FINISHING DESARROLLO </t>
  </si>
  <si>
    <t>STARFEED FINISHING TERMINACION</t>
  </si>
  <si>
    <t>STARFEED FASE 1</t>
  </si>
  <si>
    <t>STARFEED FASE 2 M</t>
  </si>
  <si>
    <t>Fason(C)
PREMIX CERDO DESARROLLO</t>
  </si>
  <si>
    <t>Fason(C)
PREMIX CERDO TERMINADOR MXX</t>
  </si>
  <si>
    <t xml:space="preserve">Fason(C)
PREMIX LACTANCIA </t>
  </si>
  <si>
    <t>Fason(C)
PREMIX FASE 4</t>
  </si>
  <si>
    <t>Fason(C)
PREMIX GESTACION JAULA</t>
  </si>
  <si>
    <t>Fason(C)
TERMINADOR 2</t>
  </si>
  <si>
    <t xml:space="preserve">taco metálico mr 10, alambre recorrido negro 17=1,42x r rollos, pluviómetro pvc 156
</t>
  </si>
  <si>
    <t>132 block m20 (hidroponía)</t>
  </si>
  <si>
    <t xml:space="preserve">desengrasante ramaj-gel
raticida ultra blocks 1 kg 
</t>
  </si>
  <si>
    <t>Sanidad (C) gripork x 50ds</t>
  </si>
  <si>
    <t>Sanidad (C)
hipra suis glasser x 50 ds</t>
  </si>
  <si>
    <t>Sanidad (C)
servicio cadena frio</t>
  </si>
  <si>
    <t>Pagado Parcialmente</t>
  </si>
  <si>
    <t xml:space="preserve">kobra curabic
tulatromax
oxitocina
roborante
ventabiotic
aguja
toallita desinfectaste 
guantes de tactos 
</t>
  </si>
  <si>
    <t>DOSIS agpic337 ROY 1</t>
  </si>
  <si>
    <t>BOL,SON DE ARENA (hidroponía pozo)</t>
  </si>
  <si>
    <t>overcox, overferr, metaxona, ,, , hoja para bisturi , hilo lino ,guante latex , guante latex desc,</t>
  </si>
  <si>
    <t>viandas primera quincena agosto</t>
  </si>
  <si>
    <t>candado sekur arco mediano nª 50</t>
  </si>
  <si>
    <t>Fason(C)
PREMIX CACHORRA 150 A 210 MXX</t>
  </si>
  <si>
    <t>Fason(C)
SERVICIO EMBOLSADO</t>
  </si>
  <si>
    <t>Fason(C)
PREMIX FASE 3 STA</t>
  </si>
  <si>
    <t xml:space="preserve">Fason(C)
PREMIX FASE 4 STA </t>
  </si>
  <si>
    <t>Fason(C)
PREMIX GESTACIONAL JAULA</t>
  </si>
  <si>
    <t>Fason(C)
PREMIX CERDO TERMINADOR 2 EXP</t>
  </si>
  <si>
    <t>STARFEED FASE 1 M</t>
  </si>
  <si>
    <t>MAXIMIX CERDAS REP C/FITASAS</t>
  </si>
  <si>
    <t>MAXIMIX CTO Y TERM</t>
  </si>
  <si>
    <t>MAXIMIX CTOY Y TERM C/ FITASAS</t>
  </si>
  <si>
    <t>cabomadera, escoba invencible samantha, secador 50 cm</t>
  </si>
  <si>
    <t>TUBO 3.2 X 4 MT, BOL,SON DE ARENA, PIEDRA6/19 BOLSON, CEMENTO RAPIDO, CERESITA HIDROFUGO,ADHESIVO PVC 
(Recria)</t>
  </si>
  <si>
    <t>Benjamin Garces Jorge</t>
  </si>
  <si>
    <t>Porcilis pcv 100 ML x 50 DS</t>
  </si>
  <si>
    <t>PORCILIS Myco Silencer Once x 50 ds</t>
  </si>
  <si>
    <t>Sanidad (C)
porcilis coliclos 50 ml x 25 ds</t>
  </si>
  <si>
    <t xml:space="preserve">Coglapix x  50 ds, servicio cadena frio 
</t>
  </si>
  <si>
    <t>dosis ag1010 IU abuelo vista</t>
  </si>
  <si>
    <t>dosis AGPIC337 IU ROY I</t>
  </si>
  <si>
    <t>Dosis agpic337 Roy</t>
  </si>
  <si>
    <t>alquiler mes de agosto</t>
  </si>
  <si>
    <t xml:space="preserve">royalty lechón destetado macho </t>
  </si>
  <si>
    <t>ROYALY LECHON DESTETADO MACHO</t>
  </si>
  <si>
    <t xml:space="preserve">wd
electrodos
ficha macho 
ficha hembra
aerosol 
</t>
  </si>
  <si>
    <t xml:space="preserve">Reparaciones y repuestos (C)
Cartucho </t>
  </si>
  <si>
    <t>Sorribes Luis Dario</t>
  </si>
  <si>
    <t>De la Vitta, Patricio</t>
  </si>
  <si>
    <t>Ramirez Alejandro</t>
  </si>
  <si>
    <t>Dosis agpic337 roy</t>
  </si>
  <si>
    <t>Alquiler de baño químico, serv de 1 desagote y limpieza Semana Arroyo seco, Periodo de Julio .</t>
  </si>
  <si>
    <t>viandas segunda quincena julio</t>
  </si>
  <si>
    <t xml:space="preserve">flete 24/07/25 Arroyo Seco-Maximo Paz
</t>
  </si>
  <si>
    <t xml:space="preserve">flete 31/07/25 Arroyo Seco-Maximo Paz
</t>
  </si>
  <si>
    <t xml:space="preserve">lote 22/07/25 Arroyo Seco-Máximo Paz
</t>
  </si>
  <si>
    <t xml:space="preserve">flete 28/07 Arroyo Seco-Maximo Paz
</t>
  </si>
  <si>
    <t xml:space="preserve">flete 29/07 Arroyo Seco-Maximo Paz
</t>
  </si>
  <si>
    <t>Alquiler mod std c/aa desde 21/08 a 20/9, Arroyo Seco</t>
  </si>
  <si>
    <t>Servicios de higiene y seguridad en el trabajo, y para la gestión ambiental en el cumplimiento de la normativa vigente para la provincia de santa fe - mes 07/2025</t>
  </si>
  <si>
    <t>SS de terceros (C)
logistica</t>
  </si>
  <si>
    <t>COBERTURA DE EMERGENCIAS MES DE agosto  2025</t>
  </si>
  <si>
    <t>servicio correspondiente al mes de julio 2025</t>
  </si>
  <si>
    <t>Teléfono</t>
  </si>
  <si>
    <t>ACTIVO</t>
  </si>
  <si>
    <t>30684082627</t>
  </si>
  <si>
    <t>vetifarma@vetifarma.com.ar</t>
  </si>
  <si>
    <t>+54 9 221 617-6065</t>
  </si>
  <si>
    <t>30707140514</t>
  </si>
  <si>
    <t>nutransrl@gmail.com</t>
  </si>
  <si>
    <t>+54 9 3469 69-3367</t>
  </si>
  <si>
    <t>30716107309</t>
  </si>
  <si>
    <t>Agroindustrial Cosanic S.R.L.</t>
  </si>
  <si>
    <t>admin1.agroindustrial@grupocosanic.com</t>
  </si>
  <si>
    <t>+54 9 2266 46-4650</t>
  </si>
  <si>
    <t>30586988359</t>
  </si>
  <si>
    <t>+54 9 341 311-8981</t>
  </si>
  <si>
    <t>a_000006</t>
  </si>
  <si>
    <t>30663202657</t>
  </si>
  <si>
    <t>administracion@agroceres.com.</t>
  </si>
  <si>
    <t>+54 11 6658-6406</t>
  </si>
  <si>
    <t>23175073779</t>
  </si>
  <si>
    <t>+54 9 3402 65-9154</t>
  </si>
  <si>
    <t>a_000079</t>
  </si>
  <si>
    <t>Sueldos ok</t>
  </si>
  <si>
    <t>20305330516</t>
  </si>
  <si>
    <t>Colella, Santiago Nicolas</t>
  </si>
  <si>
    <t>30713986808</t>
  </si>
  <si>
    <t>+54 9 3402 50-5858</t>
  </si>
  <si>
    <t>30714259012</t>
  </si>
  <si>
    <t>SAN AGUSTIN CEREALES</t>
  </si>
  <si>
    <t>30545788167</t>
  </si>
  <si>
    <t>30710882564</t>
  </si>
  <si>
    <t>30709181714</t>
  </si>
  <si>
    <t>Jacycec S.R.L.</t>
  </si>
  <si>
    <t>30708982713</t>
  </si>
  <si>
    <t>Los Rolleros S. R. L.</t>
  </si>
  <si>
    <t>30619484807</t>
  </si>
  <si>
    <t>+54 9 3496 57-7789</t>
  </si>
  <si>
    <t>20247725238</t>
  </si>
  <si>
    <t>+54 9 341 687-3022</t>
  </si>
  <si>
    <t>27059351899</t>
  </si>
  <si>
    <t>Sacco, Alicia Iris</t>
  </si>
  <si>
    <t>30711239991</t>
  </si>
  <si>
    <t>Tfin Sa</t>
  </si>
  <si>
    <t>franciscoa@tfinancial.com.ar</t>
  </si>
  <si>
    <t>30622309730</t>
  </si>
  <si>
    <t>Rosario Insumos Agropecuarios Sa</t>
  </si>
  <si>
    <t>30685484303</t>
  </si>
  <si>
    <t>20241865070</t>
  </si>
  <si>
    <t>30717713431</t>
  </si>
  <si>
    <t>Don Vitto Wa-La S.A.S.</t>
  </si>
  <si>
    <t>20227667592</t>
  </si>
  <si>
    <t>D Angela, Sergio</t>
  </si>
  <si>
    <t>+54 9 341 505-5497</t>
  </si>
  <si>
    <t>30718209222</t>
  </si>
  <si>
    <t>+54 9 221 643-0789</t>
  </si>
  <si>
    <t>30716299852</t>
  </si>
  <si>
    <t>Special Commodity Srl</t>
  </si>
  <si>
    <t>30500049460</t>
  </si>
  <si>
    <t>Sancor Cooperativa De Seguros Limitada</t>
  </si>
  <si>
    <t>+54 3462 55-5654</t>
  </si>
  <si>
    <t>33715110909</t>
  </si>
  <si>
    <t>+54 9 341 657-5087</t>
  </si>
  <si>
    <t>a_000020</t>
  </si>
  <si>
    <t>20172586776</t>
  </si>
  <si>
    <t>30500001735</t>
  </si>
  <si>
    <t>20287965444</t>
  </si>
  <si>
    <t>Perez, Rodrigo Alejandro</t>
  </si>
  <si>
    <t>20173241985</t>
  </si>
  <si>
    <t>33707409369</t>
  </si>
  <si>
    <t>20123698372</t>
  </si>
  <si>
    <t>30670799758</t>
  </si>
  <si>
    <t>Grantec Sa</t>
  </si>
  <si>
    <t>+54 9 3442 55-3871</t>
  </si>
  <si>
    <t>20345257595</t>
  </si>
  <si>
    <t>Ventura, Agustin</t>
  </si>
  <si>
    <t>20233291073</t>
  </si>
  <si>
    <t>Bieule, Cesar</t>
  </si>
  <si>
    <t>30714462241</t>
  </si>
  <si>
    <t>Establecimiento Don Miguel Kobila S.R.L.</t>
  </si>
  <si>
    <t>20251250856</t>
  </si>
  <si>
    <t>+54 9 3402 54-1063</t>
  </si>
  <si>
    <t>27310444508</t>
  </si>
  <si>
    <t>Andreoli, Maria Laura</t>
  </si>
  <si>
    <t>30717027260</t>
  </si>
  <si>
    <t>El Laboral Srl</t>
  </si>
  <si>
    <t>+54 9 341 275-1524</t>
  </si>
  <si>
    <t>30712111131</t>
  </si>
  <si>
    <t>30708809914</t>
  </si>
  <si>
    <t>Argentina Essential Services Srl</t>
  </si>
  <si>
    <t>30715137395</t>
  </si>
  <si>
    <t>Electric Litoral S.R.L.</t>
  </si>
  <si>
    <t>+54 9 341 327-2802</t>
  </si>
  <si>
    <t>30715801740</t>
  </si>
  <si>
    <t>Danej S.A.</t>
  </si>
  <si>
    <t>a_000493</t>
  </si>
  <si>
    <t>T190111</t>
  </si>
  <si>
    <t>30718643992</t>
  </si>
  <si>
    <t>+54 9 341 307-4888</t>
  </si>
  <si>
    <t>30709282049</t>
  </si>
  <si>
    <t>Tecnogran S R L(C)</t>
  </si>
  <si>
    <t>20145093881</t>
  </si>
  <si>
    <t>+54 9 341 595-4372</t>
  </si>
  <si>
    <t>24271349846</t>
  </si>
  <si>
    <t>+54 9 236 430-1023</t>
  </si>
  <si>
    <t>30-53510190-2</t>
  </si>
  <si>
    <t>Molino Argentino S A I C A G E I</t>
  </si>
  <si>
    <t>a_000075</t>
  </si>
  <si>
    <t>ART a Pagar</t>
  </si>
  <si>
    <t>27134134580</t>
  </si>
  <si>
    <t>Ciarniello, Claudia Maria</t>
  </si>
  <si>
    <t>+54 9 3402 41-8806</t>
  </si>
  <si>
    <t>a_000543</t>
  </si>
  <si>
    <t>Plan AFIP S719696</t>
  </si>
  <si>
    <t>30715950525</t>
  </si>
  <si>
    <t>+54 9 341 560-0660</t>
  </si>
  <si>
    <t>30717384810</t>
  </si>
  <si>
    <t>Biotrader Sudamericana</t>
  </si>
  <si>
    <t>30715164457</t>
  </si>
  <si>
    <t>Traverso Juan Y Traverso Guido</t>
  </si>
  <si>
    <t>30-50853272-1</t>
  </si>
  <si>
    <t>+54 341 532-1444</t>
  </si>
  <si>
    <t>23230131139</t>
  </si>
  <si>
    <t>Grimaldi, Gerardo Daniel</t>
  </si>
  <si>
    <t>30718385292</t>
  </si>
  <si>
    <t>a_000273</t>
  </si>
  <si>
    <t>Ganancias Ret ART 79</t>
  </si>
  <si>
    <t>30715364731</t>
  </si>
  <si>
    <t>ibbclimpieza@gmail.com</t>
  </si>
  <si>
    <t>+54 9 3402 48-0840</t>
  </si>
  <si>
    <t>20339632392</t>
  </si>
  <si>
    <t>Biscayart, Santiago</t>
  </si>
  <si>
    <t>a_000298</t>
  </si>
  <si>
    <t>S827842</t>
  </si>
  <si>
    <t>30707097937</t>
  </si>
  <si>
    <t>H.S.E. Ingenieria  S R L</t>
  </si>
  <si>
    <t>+54 9 341 354-9683</t>
  </si>
  <si>
    <t>27210110718</t>
  </si>
  <si>
    <t>Silva, Nora Alejandra</t>
  </si>
  <si>
    <t>+54 9 341 309-3968</t>
  </si>
  <si>
    <t>30714896632</t>
  </si>
  <si>
    <t>20343814500</t>
  </si>
  <si>
    <t>Parla, Ivan Andres</t>
  </si>
  <si>
    <t>33716457929</t>
  </si>
  <si>
    <t>20372640104</t>
  </si>
  <si>
    <t>Ruzzi, Emiliano Ramon</t>
  </si>
  <si>
    <t>+54 9 3402 41-8235</t>
  </si>
  <si>
    <t>a_000497</t>
  </si>
  <si>
    <t>T312066</t>
  </si>
  <si>
    <t>30680892276</t>
  </si>
  <si>
    <t>+54 3402 56-0748</t>
  </si>
  <si>
    <t>a_001332</t>
  </si>
  <si>
    <t>Contribuciones Obra Social</t>
  </si>
  <si>
    <t>30717396479</t>
  </si>
  <si>
    <t>Bertex S. R. L.</t>
  </si>
  <si>
    <t>eugenio@mbertex.com</t>
  </si>
  <si>
    <t>+54 9 3402 41-8736</t>
  </si>
  <si>
    <t>a_000071</t>
  </si>
  <si>
    <t>Contribuciones Obra Social a pagar</t>
  </si>
  <si>
    <t>30628044623</t>
  </si>
  <si>
    <t>Pedro Lopez S A</t>
  </si>
  <si>
    <t>30717700402</t>
  </si>
  <si>
    <t>Nardi Emanuel Oscar Y Nardi Rodrigo Nahuel S. Cap I Secc Iv</t>
  </si>
  <si>
    <t>+54 9 341 582-8083</t>
  </si>
  <si>
    <t>23060699569</t>
  </si>
  <si>
    <t>Marcantoni, Ruben Enrique</t>
  </si>
  <si>
    <t>30640079378</t>
  </si>
  <si>
    <t>Gomerias Neumen S A</t>
  </si>
  <si>
    <t>20297925947</t>
  </si>
  <si>
    <t>+54 9 3402 52-1799</t>
  </si>
  <si>
    <t>20290013934</t>
  </si>
  <si>
    <t>Albertengo, Guido Pablo</t>
  </si>
  <si>
    <t>20305903184</t>
  </si>
  <si>
    <t>Guillermo Andres, Iocco</t>
  </si>
  <si>
    <t>a_000498</t>
  </si>
  <si>
    <t>T312079</t>
  </si>
  <si>
    <t>a_000278</t>
  </si>
  <si>
    <t>Plan AFIP N963638</t>
  </si>
  <si>
    <t>30711336911</t>
  </si>
  <si>
    <t>23280588709</t>
  </si>
  <si>
    <t>Albertengo, Juan Ignacio</t>
  </si>
  <si>
    <t>a_001481</t>
  </si>
  <si>
    <t>Plan AFIP R341057</t>
  </si>
  <si>
    <t>20-21417084-2</t>
  </si>
  <si>
    <t>leo-gaspari@hotmail.com</t>
  </si>
  <si>
    <t>+54 9 3462 51-6747</t>
  </si>
  <si>
    <t>20372610817</t>
  </si>
  <si>
    <t>+54 9 341 227-9805</t>
  </si>
  <si>
    <t>27283146540</t>
  </si>
  <si>
    <t>Martinez, Marcela Silvana</t>
  </si>
  <si>
    <t>a_000888</t>
  </si>
  <si>
    <t>Plan AFIP S289727</t>
  </si>
  <si>
    <t>20331201562</t>
  </si>
  <si>
    <t>Palmieri, Nicolas Rodrigo</t>
  </si>
  <si>
    <t>20164985718</t>
  </si>
  <si>
    <t>+54 9 341 366-6278</t>
  </si>
  <si>
    <t>a_000707</t>
  </si>
  <si>
    <t>Plan AFIP S774786</t>
  </si>
  <si>
    <t>a_000236</t>
  </si>
  <si>
    <t>Plan AFIP S118669</t>
  </si>
  <si>
    <t>a_001293</t>
  </si>
  <si>
    <t>Aportes Obra Social</t>
  </si>
  <si>
    <t>30717691144</t>
  </si>
  <si>
    <t>El Sosiego Agropecuaria S. R. L.</t>
  </si>
  <si>
    <t>20174967734</t>
  </si>
  <si>
    <t>Gallo, Norberto Juan</t>
  </si>
  <si>
    <t>a_000064</t>
  </si>
  <si>
    <t>Aportes Seg Social a pagar</t>
  </si>
  <si>
    <t>a_000302</t>
  </si>
  <si>
    <t>a_000412</t>
  </si>
  <si>
    <t>Plan AFIP S396818</t>
  </si>
  <si>
    <t>33711055989</t>
  </si>
  <si>
    <t>Tonin Hrnos. Srl</t>
  </si>
  <si>
    <t>30674989659</t>
  </si>
  <si>
    <t>Areneras Sodini S R L</t>
  </si>
  <si>
    <t>a_000264</t>
  </si>
  <si>
    <t>Plan AFIP S118654</t>
  </si>
  <si>
    <t>23219240104</t>
  </si>
  <si>
    <t>Rotmistrovsky, Lidia Yanina</t>
  </si>
  <si>
    <t>rotmi@escribaniarotmi.com.ar</t>
  </si>
  <si>
    <t>30709107972</t>
  </si>
  <si>
    <t>30562317887</t>
  </si>
  <si>
    <t>Alfredo Criolani E Hijos S A</t>
  </si>
  <si>
    <t>daniel.brunetti@criolani.com.ar</t>
  </si>
  <si>
    <t>+54 9 341 376-5831</t>
  </si>
  <si>
    <t>20220955029</t>
  </si>
  <si>
    <t>Ponari, Francisco Antonio</t>
  </si>
  <si>
    <t>30717325296</t>
  </si>
  <si>
    <t>Finlatina S. A.</t>
  </si>
  <si>
    <t>30686244330</t>
  </si>
  <si>
    <t>30710687974</t>
  </si>
  <si>
    <t>Don Ardelio S.R.L.</t>
  </si>
  <si>
    <t>30710464045</t>
  </si>
  <si>
    <t>Extrutex S.R.L.</t>
  </si>
  <si>
    <t>34579842611</t>
  </si>
  <si>
    <t>Arroyito Maquinarias S R L</t>
  </si>
  <si>
    <t>+54 341 446-7770</t>
  </si>
  <si>
    <t>20297015509</t>
  </si>
  <si>
    <t>Silenzi, Cristian Emmanuel</t>
  </si>
  <si>
    <t>20402770008</t>
  </si>
  <si>
    <t>Donati, Facundo Uriel</t>
  </si>
  <si>
    <t>+54 3402 50-7094</t>
  </si>
  <si>
    <t>30717822109</t>
  </si>
  <si>
    <t>Fm Company S. R. L.</t>
  </si>
  <si>
    <t>+54 3402 55-4511</t>
  </si>
  <si>
    <t>27167703424</t>
  </si>
  <si>
    <t>Forciniti, Maria Alejandra</t>
  </si>
  <si>
    <t>+54 9 341 613-2974</t>
  </si>
  <si>
    <t>30712546871</t>
  </si>
  <si>
    <t>Ultralogistica Servicios  SRL</t>
  </si>
  <si>
    <t>+54 9 336 441-2642</t>
  </si>
  <si>
    <t>23139445929</t>
  </si>
  <si>
    <t>Cane, Fernando Daniel</t>
  </si>
  <si>
    <t>27303629047</t>
  </si>
  <si>
    <t>Herrera, Victor Hugo</t>
  </si>
  <si>
    <t>+54 341 649-6936</t>
  </si>
  <si>
    <t>20134637359</t>
  </si>
  <si>
    <t>Ambrogi, Raul</t>
  </si>
  <si>
    <t>30714323551</t>
  </si>
  <si>
    <t>Epp Y Mas S.A.</t>
  </si>
  <si>
    <t>+54 9 11 6120-2175</t>
  </si>
  <si>
    <t>27329684615</t>
  </si>
  <si>
    <t>Andreoli, Marianela</t>
  </si>
  <si>
    <t>mandreoli@edprofesionales.com.ar</t>
  </si>
  <si>
    <t>20205987011</t>
  </si>
  <si>
    <t>Sauan, Jorge Walter</t>
  </si>
  <si>
    <t>20377748531</t>
  </si>
  <si>
    <t>20223371435</t>
  </si>
  <si>
    <t>Sarradell, Javier Eduardo</t>
  </si>
  <si>
    <t>27373356773</t>
  </si>
  <si>
    <t>Carnavale, Maria Fernanda</t>
  </si>
  <si>
    <t>a_000382</t>
  </si>
  <si>
    <t>Plan AFIP S366581</t>
  </si>
  <si>
    <t>30625210824</t>
  </si>
  <si>
    <t>Oxitodo S. A.</t>
  </si>
  <si>
    <t>+54 9 341 667-7408</t>
  </si>
  <si>
    <t>20134135418</t>
  </si>
  <si>
    <t>Cina, Angel Ruben</t>
  </si>
  <si>
    <t>+54 9 3402 54-5673</t>
  </si>
  <si>
    <t>30714201537</t>
  </si>
  <si>
    <t>Morichetti Leonel Alexis Y Morichetti Diego Sebastian S.H.</t>
  </si>
  <si>
    <t>27182911904</t>
  </si>
  <si>
    <t>Cortinas, Maria Alejandra</t>
  </si>
  <si>
    <t>20290017379</t>
  </si>
  <si>
    <t>Strupeni, Federico Lisandro</t>
  </si>
  <si>
    <t>20219589949</t>
  </si>
  <si>
    <t>Luque, Adrian Pablo</t>
  </si>
  <si>
    <t>+54 9 341 202-1330</t>
  </si>
  <si>
    <t>20075951605</t>
  </si>
  <si>
    <t>Breuer Moreno, Ernesto Jorge</t>
  </si>
  <si>
    <t>30714215074</t>
  </si>
  <si>
    <t>27315164678</t>
  </si>
  <si>
    <t>Del Grande, Marina Carla</t>
  </si>
  <si>
    <t>20146755519</t>
  </si>
  <si>
    <t>Ripamonti, Fernando</t>
  </si>
  <si>
    <t>30707772367</t>
  </si>
  <si>
    <t>Nuevo Premium S.A.</t>
  </si>
  <si>
    <t>+54 9 341 202-2421</t>
  </si>
  <si>
    <t>30716241323</t>
  </si>
  <si>
    <t>Was Transporteylogistica Sas</t>
  </si>
  <si>
    <t>+54 341 250-0202</t>
  </si>
  <si>
    <t>30685437011</t>
  </si>
  <si>
    <t>Blas Oscar Martinucci E Hijos S A</t>
  </si>
  <si>
    <t>+54 9 341 668-0705</t>
  </si>
  <si>
    <t>a_000606</t>
  </si>
  <si>
    <t>Plan AFIP S100245</t>
  </si>
  <si>
    <t>30708058013</t>
  </si>
  <si>
    <t>Bertolio Valeria E Y Bertolio Luciana I</t>
  </si>
  <si>
    <t>+54 341 639-9970</t>
  </si>
  <si>
    <t>a_001185</t>
  </si>
  <si>
    <t>Plan AFIP S132047</t>
  </si>
  <si>
    <t>23331201049</t>
  </si>
  <si>
    <t>Cancian, Federico Jose</t>
  </si>
  <si>
    <t>20300740430</t>
  </si>
  <si>
    <t>Thomson, Federico Guillermo</t>
  </si>
  <si>
    <t>27397537078</t>
  </si>
  <si>
    <t>joseantonioalvarez10@gmail.com</t>
  </si>
  <si>
    <t>+54 9 3402 52-0437</t>
  </si>
  <si>
    <t>30688384547</t>
  </si>
  <si>
    <t>30676833907</t>
  </si>
  <si>
    <t>Laboratorio Litoral  Sa</t>
  </si>
  <si>
    <t>administracion@laboratoriolitoral.com</t>
  </si>
  <si>
    <t>+54 9 341 684-7167</t>
  </si>
  <si>
    <t>33711486289</t>
  </si>
  <si>
    <t>Astrolaboral Srl</t>
  </si>
  <si>
    <t>30500881069</t>
  </si>
  <si>
    <t>Sylwan S A</t>
  </si>
  <si>
    <t>bombas@sylwan.com.ar</t>
  </si>
  <si>
    <t>+54 9 341 358-1061</t>
  </si>
  <si>
    <t>a_001181</t>
  </si>
  <si>
    <t>Plan AFIP P650183</t>
  </si>
  <si>
    <t>20218438548</t>
  </si>
  <si>
    <t>hierrosricchetti@yahoo.com.ar</t>
  </si>
  <si>
    <t>20237408080</t>
  </si>
  <si>
    <t>Fuca, Mauro Dario</t>
  </si>
  <si>
    <t>+54 341 308-6333</t>
  </si>
  <si>
    <t>23181814349</t>
  </si>
  <si>
    <t>20305902846</t>
  </si>
  <si>
    <t>Giacomino, Cesar Julian</t>
  </si>
  <si>
    <t>30655200173</t>
  </si>
  <si>
    <t>30711915695</t>
  </si>
  <si>
    <t>Señalar Srl</t>
  </si>
  <si>
    <t>33716368179</t>
  </si>
  <si>
    <t>Hernandez Repuestos S.R.L.</t>
  </si>
  <si>
    <t>+54 341 272-1978</t>
  </si>
  <si>
    <t>30717804798</t>
  </si>
  <si>
    <t>We - Vet S.R.L.</t>
  </si>
  <si>
    <t>20170989032</t>
  </si>
  <si>
    <t>Charani, Carlos Alberto</t>
  </si>
  <si>
    <t>20274021005</t>
  </si>
  <si>
    <t>Cano, Juan Pablo</t>
  </si>
  <si>
    <t>a_000616</t>
  </si>
  <si>
    <t>T312046</t>
  </si>
  <si>
    <t>30686978350</t>
  </si>
  <si>
    <t>+54 9 3400 65-9073</t>
  </si>
  <si>
    <t>20272135577</t>
  </si>
  <si>
    <t>+54 341 284-8602</t>
  </si>
  <si>
    <t>30578071977</t>
  </si>
  <si>
    <t>+54 9 341 508-3188</t>
  </si>
  <si>
    <t>20307879159</t>
  </si>
  <si>
    <t>Calderon, Alejandro Pablo</t>
  </si>
  <si>
    <t>electropartesac@gmail.com</t>
  </si>
  <si>
    <t>+54 9 341 599-3009</t>
  </si>
  <si>
    <t>30717500837</t>
  </si>
  <si>
    <t>Simoes Alves Carlos, Conti Alejandro Guillermo, Ros Omar Daniel Y Bolaño Brenda Gisela S. Cap I Secc Iv</t>
  </si>
  <si>
    <t>30-70145632-3</t>
  </si>
  <si>
    <t>Septima Region S A</t>
  </si>
  <si>
    <t>info@septimaregion.com.ar</t>
  </si>
  <si>
    <t>+54 9 341 666-3657</t>
  </si>
  <si>
    <t>20354498910</t>
  </si>
  <si>
    <t>Garcia Benavento, Alejandro Nicolas</t>
  </si>
  <si>
    <t>+54 9 341 334-0947</t>
  </si>
  <si>
    <t>30717633292</t>
  </si>
  <si>
    <t>Bca Distribuciones Sa</t>
  </si>
  <si>
    <t>+54 9 341 213-3261</t>
  </si>
  <si>
    <t>33707366589</t>
  </si>
  <si>
    <t>a_000705</t>
  </si>
  <si>
    <t>Plan AFIP N963760</t>
  </si>
  <si>
    <t>20275372723</t>
  </si>
  <si>
    <t>Herrera, Victor Hernan</t>
  </si>
  <si>
    <t>27280182082</t>
  </si>
  <si>
    <t>Abbiatti, Analia Paola</t>
  </si>
  <si>
    <t>bateriasfam@gmail.com</t>
  </si>
  <si>
    <t>+54 9 3402 44-4169</t>
  </si>
  <si>
    <t>23247914609</t>
  </si>
  <si>
    <t>Binaghi, Nicolas</t>
  </si>
  <si>
    <t>30717519600</t>
  </si>
  <si>
    <t>Trimerce Repuestos S. R. L.</t>
  </si>
  <si>
    <t>+54 9 341 606-5578</t>
  </si>
  <si>
    <t>23125270999</t>
  </si>
  <si>
    <t>Lozano, Diego Omar</t>
  </si>
  <si>
    <t>20357500088</t>
  </si>
  <si>
    <t>Athie, Nicolas Moises</t>
  </si>
  <si>
    <t>20244114939</t>
  </si>
  <si>
    <t>Del Greco, Alejandro Martin</t>
  </si>
  <si>
    <t>+54 9 3402 41-5513</t>
  </si>
  <si>
    <t>30690868454</t>
  </si>
  <si>
    <t>Mastrangelo Productos Electricos Sa</t>
  </si>
  <si>
    <t>arroyoseco@mastrangeloneored.com.ar</t>
  </si>
  <si>
    <t>+54 9 341 501-2866</t>
  </si>
  <si>
    <t>30717197603</t>
  </si>
  <si>
    <t>TRANSPORTE LOGISTICO ENTRERRIANO</t>
  </si>
  <si>
    <t>33715899189</t>
  </si>
  <si>
    <t>Llamas Laboratorios Y Servicios Sociedad De La Seccion Iv Lgs</t>
  </si>
  <si>
    <t>30701467899</t>
  </si>
  <si>
    <t>Burgoa Susana M E Ibarra Carlos A Socie Dad De Hecho</t>
  </si>
  <si>
    <t>30680325355</t>
  </si>
  <si>
    <t>Miel Ceta S R L</t>
  </si>
  <si>
    <t>30707869891</t>
  </si>
  <si>
    <t>Frenos Standard S.R.L.</t>
  </si>
  <si>
    <t>30500061711</t>
  </si>
  <si>
    <t>Rio Uruguay Cooperativa De Seguros Limitada</t>
  </si>
  <si>
    <t>20261326877</t>
  </si>
  <si>
    <t>Cardozo, Guillermo Federico</t>
  </si>
  <si>
    <t>30718182111</t>
  </si>
  <si>
    <t>Spipperi Pablo Sebastian Y Porto Paula Gabriela S. Cap I Secc Iv</t>
  </si>
  <si>
    <t>3402594153ELEMENBTOS</t>
  </si>
  <si>
    <t>20307875307</t>
  </si>
  <si>
    <t>Guineo, Pablo Fernando-</t>
  </si>
  <si>
    <t>+54 341 326-4320</t>
  </si>
  <si>
    <t>24366572011</t>
  </si>
  <si>
    <t>Marioni, Nicolas  Oscar</t>
  </si>
  <si>
    <t>30677434615</t>
  </si>
  <si>
    <t>Asociacion De Bomberos Voluntarios De Arroyo Seco</t>
  </si>
  <si>
    <t>30717025071</t>
  </si>
  <si>
    <t>Electromax S.R.L.</t>
  </si>
  <si>
    <t>+54 9 3402 41-5449</t>
  </si>
  <si>
    <t>20260022483</t>
  </si>
  <si>
    <t>Fattore, Leandro</t>
  </si>
  <si>
    <t>30686230895</t>
  </si>
  <si>
    <t>Arroyo Dual Srl</t>
  </si>
  <si>
    <t>30709320366</t>
  </si>
  <si>
    <t>Paar Industrial S.R.L.</t>
  </si>
  <si>
    <t>+54 9 341 211-3110</t>
  </si>
  <si>
    <t>a_000151</t>
  </si>
  <si>
    <t>SVO a Pagar</t>
  </si>
  <si>
    <t>30716100665</t>
  </si>
  <si>
    <t>Mercado Traspasos S.A.</t>
  </si>
  <si>
    <t>30716463229</t>
  </si>
  <si>
    <t>Calzim S.A.</t>
  </si>
  <si>
    <t>+54 9 3402 57-9611</t>
  </si>
  <si>
    <t>INACTIVO</t>
  </si>
  <si>
    <t>30590578971</t>
  </si>
  <si>
    <t>Exolgan Sociedad Anonima</t>
  </si>
  <si>
    <t>sac@exolgan.com</t>
  </si>
  <si>
    <t>+54 9 11 4477-4444</t>
  </si>
  <si>
    <t>a_000010</t>
  </si>
  <si>
    <t>Derechos de Exportación</t>
  </si>
  <si>
    <t>30717153312</t>
  </si>
  <si>
    <t>Gisela Paola Chiquini Y Nerina Noelia Chiquini - Sociedad Simple</t>
  </si>
  <si>
    <t>corralon.nuevohorizonte@gmail.com</t>
  </si>
  <si>
    <t>+54 9 3402 44-9144</t>
  </si>
  <si>
    <t>a_000014</t>
  </si>
  <si>
    <t>Ganancias Exportación</t>
  </si>
  <si>
    <t>a_000015</t>
  </si>
  <si>
    <t>Arancel SE Aduana</t>
  </si>
  <si>
    <t>20203582553</t>
  </si>
  <si>
    <t>Brugnara, Alejandro Oscar</t>
  </si>
  <si>
    <t>+54 9 3464 63-9469</t>
  </si>
  <si>
    <t>30618867400</t>
  </si>
  <si>
    <t>Centrofer Sociedad De Responsabilidad Limitada</t>
  </si>
  <si>
    <t>Empresa Provincial De La Energia De Santa Fe (W)</t>
  </si>
  <si>
    <t>rigonzalez@epe.santafe.gov.ar</t>
  </si>
  <si>
    <t>+54 3400 53-6112</t>
  </si>
  <si>
    <t>30708574836</t>
  </si>
  <si>
    <t>Correo Oficial De La Republica Argentina Sociedad Anonima</t>
  </si>
  <si>
    <t>30712013962</t>
  </si>
  <si>
    <t>Worms Argentina S.A</t>
  </si>
  <si>
    <t>30713675004</t>
  </si>
  <si>
    <t>Candioti S.R.L.-</t>
  </si>
  <si>
    <t>20105782625</t>
  </si>
  <si>
    <t>Alvarez, Jose Antonio</t>
  </si>
  <si>
    <t>30515459789</t>
  </si>
  <si>
    <t>Cooperativa Agricola Ganadera  Aaron Castellanos Ltda De  Esperanza</t>
  </si>
  <si>
    <t>+54 341 599-6970</t>
  </si>
  <si>
    <t>30709375772</t>
  </si>
  <si>
    <t>Tiba Argentina S.A.</t>
  </si>
  <si>
    <t>+54 9 11 2392-2740</t>
  </si>
  <si>
    <t>20360097073</t>
  </si>
  <si>
    <t>In' Aebnit, Nahuel</t>
  </si>
  <si>
    <t>30715192477</t>
  </si>
  <si>
    <t>Carbo Servicios Generales Sociedad De Responsabilidad Limitada</t>
  </si>
  <si>
    <t>30663197599</t>
  </si>
  <si>
    <t>Campo Austral Sa</t>
  </si>
  <si>
    <t>+54 9 11 3071-4691</t>
  </si>
  <si>
    <t>30707902090</t>
  </si>
  <si>
    <t>Meri-Mar S.R.L.</t>
  </si>
  <si>
    <t>+54 9 341 400-2719</t>
  </si>
  <si>
    <t>30717655385</t>
  </si>
  <si>
    <t>Gomeria Donatti S. R. L.</t>
  </si>
  <si>
    <t>gomeriadonatti@hotmail.com</t>
  </si>
  <si>
    <t>+54 9 3402 41-7133</t>
  </si>
  <si>
    <t>30645668290</t>
  </si>
  <si>
    <t>Sanatorio Doctor Maiorano Soc Anonima</t>
  </si>
  <si>
    <t>20377970927</t>
  </si>
  <si>
    <t>Manzur, Agustin Daniel</t>
  </si>
  <si>
    <t>27338810194</t>
  </si>
  <si>
    <t>Mazzali, Carla Judit</t>
  </si>
  <si>
    <t>cmazzali@wormsargentina.com.ar</t>
  </si>
  <si>
    <t>30715238795</t>
  </si>
  <si>
    <t>Rosario Service Group S.A.</t>
  </si>
  <si>
    <t>Tecnogran S R L</t>
  </si>
  <si>
    <t>+54 9 341 548-4460</t>
  </si>
  <si>
    <t>20108158671</t>
  </si>
  <si>
    <t>Rovetto, Carlos Alberto</t>
  </si>
  <si>
    <t>administracion@elmagrito.com.ar</t>
  </si>
  <si>
    <t>+54 9 341 576-3784</t>
  </si>
  <si>
    <t>33716366109</t>
  </si>
  <si>
    <t>Petro R Y S Srl</t>
  </si>
  <si>
    <t>30712908501</t>
  </si>
  <si>
    <t>Masa &amp; Asociados S.R.L.</t>
  </si>
  <si>
    <t>20251765260</t>
  </si>
  <si>
    <t>Acosta, Roberto Maximiliano</t>
  </si>
  <si>
    <t>+54 9 3402 51-7331</t>
  </si>
  <si>
    <t>a_000074</t>
  </si>
  <si>
    <t>Maxi Laboranti Diversos</t>
  </si>
  <si>
    <t>20173241489</t>
  </si>
  <si>
    <t>Bongiovanni, Gustavo Raul</t>
  </si>
  <si>
    <t>30715479067</t>
  </si>
  <si>
    <t>Dlj Ingenieria S.R.L.</t>
  </si>
  <si>
    <t>30711459061</t>
  </si>
  <si>
    <t>La Guardia Ferretera Srl</t>
  </si>
  <si>
    <t>20284869916</t>
  </si>
  <si>
    <t>Azzoni, Lucas Maximiliano</t>
  </si>
  <si>
    <t>20303817337</t>
  </si>
  <si>
    <t>Sanchez, Maximiliano Jesus</t>
  </si>
  <si>
    <t>20294870955</t>
  </si>
  <si>
    <t>Urbaneja, Gerardo Miguel</t>
  </si>
  <si>
    <t>finanzas@geurban.com</t>
  </si>
  <si>
    <t>+54 341 585-6483</t>
  </si>
  <si>
    <t>30717689190</t>
  </si>
  <si>
    <t>Boiavi S. A.</t>
  </si>
  <si>
    <t>+54 9 341 571-9231</t>
  </si>
  <si>
    <t>30714527300</t>
  </si>
  <si>
    <t>Budas Kingdom S.R.L.</t>
  </si>
  <si>
    <t>27271150224</t>
  </si>
  <si>
    <t>Dovidio, Daniela</t>
  </si>
  <si>
    <t>30662970200</t>
  </si>
  <si>
    <t>Daniel Ricca Sa</t>
  </si>
  <si>
    <t>20201426287</t>
  </si>
  <si>
    <t>Ottone, Fernando Hugo</t>
  </si>
  <si>
    <t>30715769766</t>
  </si>
  <si>
    <t>Tradesur Srl</t>
  </si>
  <si>
    <t>30708264888</t>
  </si>
  <si>
    <t>Mapca S.A.</t>
  </si>
  <si>
    <t>+54 9 341 683-9459</t>
  </si>
  <si>
    <t>20104319670</t>
  </si>
  <si>
    <t>Galletti, Raul Ernesto</t>
  </si>
  <si>
    <t>27319619394</t>
  </si>
  <si>
    <t>Hourcade, Stephanie</t>
  </si>
  <si>
    <t>30715805037</t>
  </si>
  <si>
    <t>Justo A Tiempo Srl</t>
  </si>
  <si>
    <t>+54 9 341 369-6850</t>
  </si>
  <si>
    <t>20306004418</t>
  </si>
  <si>
    <t>Martinez, Leonel Eduardo</t>
  </si>
  <si>
    <t>20397537146</t>
  </si>
  <si>
    <t>Lopez, Jesus Rodrigo</t>
  </si>
  <si>
    <t>+54 9 341 362-8052</t>
  </si>
  <si>
    <t>30717024393</t>
  </si>
  <si>
    <t>Oca Log  Sa</t>
  </si>
  <si>
    <t>23175073329</t>
  </si>
  <si>
    <t>Pardel, Carlos Alberto</t>
  </si>
  <si>
    <t>20182445550</t>
  </si>
  <si>
    <t>Fernandez, Gerardo Marcelo</t>
  </si>
  <si>
    <t>a_000122</t>
  </si>
  <si>
    <t>Martín España</t>
  </si>
  <si>
    <t>20129063662</t>
  </si>
  <si>
    <t>Roldan, Luis Alberto</t>
  </si>
  <si>
    <t>2030532161-4</t>
  </si>
  <si>
    <t>Bazan, Osvaldo Ivan</t>
  </si>
  <si>
    <t>20207044068</t>
  </si>
  <si>
    <t>Boccanelli, Mario</t>
  </si>
  <si>
    <t>+54 9 341 338-8181</t>
  </si>
  <si>
    <t>a_000127</t>
  </si>
  <si>
    <t>Alycbur SA</t>
  </si>
  <si>
    <t>20276426959</t>
  </si>
  <si>
    <t>Alonso, Maximiliano</t>
  </si>
  <si>
    <t>+54 9 11 2327-4426</t>
  </si>
  <si>
    <t>30716365480</t>
  </si>
  <si>
    <t>Transporte Automotor El Loco Srl</t>
  </si>
  <si>
    <t>+54 9 11 6707-1929</t>
  </si>
  <si>
    <t>30714711314</t>
  </si>
  <si>
    <t>Agrotransporte Aldao S.A.</t>
  </si>
  <si>
    <t>30570245690</t>
  </si>
  <si>
    <t>Coteca S A</t>
  </si>
  <si>
    <t>+54 9 11 2340-6535</t>
  </si>
  <si>
    <t>30710654995</t>
  </si>
  <si>
    <t>De Campo Srl</t>
  </si>
  <si>
    <t>20271151803</t>
  </si>
  <si>
    <t>Giovacchini, Leonel Alberto</t>
  </si>
  <si>
    <t>+54 9 3402 53-4687</t>
  </si>
  <si>
    <t>30702652975</t>
  </si>
  <si>
    <t>Nss Sa</t>
  </si>
  <si>
    <t>Candioti S.R.L.</t>
  </si>
  <si>
    <t>+54 9 342 506-6101</t>
  </si>
  <si>
    <t>30711713650</t>
  </si>
  <si>
    <t>Nutrifarms S.R.L.</t>
  </si>
  <si>
    <t>27162367744</t>
  </si>
  <si>
    <t>Stegmann, Maria Josefina</t>
  </si>
  <si>
    <t>30714202789</t>
  </si>
  <si>
    <t>Trend Capital S.A.</t>
  </si>
  <si>
    <t>30710618557</t>
  </si>
  <si>
    <t>Ct Proyectos S.R.L.</t>
  </si>
  <si>
    <t>htorres@ecesa.com.ar</t>
  </si>
  <si>
    <t>+54 351 620-3737</t>
  </si>
  <si>
    <t>30714141267</t>
  </si>
  <si>
    <t>Industria Carnica La Amistad Srl</t>
  </si>
  <si>
    <t>30714528951</t>
  </si>
  <si>
    <t>Libertador Factoring S.A.</t>
  </si>
  <si>
    <t>20234379179</t>
  </si>
  <si>
    <t>Ortolani, Diego Osvaldo</t>
  </si>
  <si>
    <t>+54 9 3465 66-5387</t>
  </si>
  <si>
    <t>27313403438</t>
  </si>
  <si>
    <t>Desmedt, Mara Virginia</t>
  </si>
  <si>
    <t>+54 9 341 284-8602</t>
  </si>
  <si>
    <t>20274219778</t>
  </si>
  <si>
    <t>Gentili, Bruno</t>
  </si>
  <si>
    <t>refrigeracionrepo@hotmail.com</t>
  </si>
  <si>
    <t>+54 9 3462 57-1474</t>
  </si>
  <si>
    <t>20062477610</t>
  </si>
  <si>
    <t>Mammarella, Aldo Liborio</t>
  </si>
  <si>
    <t>30717150534</t>
  </si>
  <si>
    <t>Exportdeniv Internacional Sa</t>
  </si>
  <si>
    <t>luisina.salguero@ptpgroup.com.ar</t>
  </si>
  <si>
    <t>20357499500</t>
  </si>
  <si>
    <t>Gavron, Sergio Omar</t>
  </si>
  <si>
    <t>+54 9 3402 53-6025</t>
  </si>
  <si>
    <t>23169822794</t>
  </si>
  <si>
    <t>Peira, Claudia Maria</t>
  </si>
  <si>
    <t>27307923918</t>
  </si>
  <si>
    <t>Cueto, Daniela Soledad</t>
  </si>
  <si>
    <t>+54 9 341 334-6033</t>
  </si>
  <si>
    <t>30579451099</t>
  </si>
  <si>
    <t>Ferreteria Industrial Lopez Forciniti Sociedad Anonima</t>
  </si>
  <si>
    <t>ventas@lopezforciniti.com.ar</t>
  </si>
  <si>
    <t>+54 9 341 660-2635</t>
  </si>
  <si>
    <t>30516077790</t>
  </si>
  <si>
    <t>Tanoni Hnos S A</t>
  </si>
  <si>
    <t>23254799459</t>
  </si>
  <si>
    <t>Bernis, Carlos Oscar</t>
  </si>
  <si>
    <t>+54 2323 32-7193</t>
  </si>
  <si>
    <t>23289438289</t>
  </si>
  <si>
    <t>Laboranti, Maximiliano</t>
  </si>
  <si>
    <t>a_000179</t>
  </si>
  <si>
    <t>Sueldos</t>
  </si>
  <si>
    <t>30706334250</t>
  </si>
  <si>
    <t>Euro S A</t>
  </si>
  <si>
    <t>27238000306</t>
  </si>
  <si>
    <t>Carnero, Mariana</t>
  </si>
  <si>
    <t>30716753383</t>
  </si>
  <si>
    <t>Cesari Brunela Lujan Y Moncaglieri Facundo Jesus</t>
  </si>
  <si>
    <t>30715297740</t>
  </si>
  <si>
    <t>Las Aguadas Srl</t>
  </si>
  <si>
    <t>20378166382</t>
  </si>
  <si>
    <t>Plasencia, Lucas Sebastián</t>
  </si>
  <si>
    <t>30710599250</t>
  </si>
  <si>
    <t>Transporte Belen Srl</t>
  </si>
  <si>
    <t>+54 9 381 478-8895</t>
  </si>
  <si>
    <t>20203875631</t>
  </si>
  <si>
    <t>Baleani, Ariel Abel</t>
  </si>
  <si>
    <t>20162673522</t>
  </si>
  <si>
    <t>Baracco, Pedro Gustavo</t>
  </si>
  <si>
    <t>30680502656</t>
  </si>
  <si>
    <t>Basculas Gama S R L</t>
  </si>
  <si>
    <t>ventas@basculasgama.com.ar</t>
  </si>
  <si>
    <t>20214170796</t>
  </si>
  <si>
    <t>Calamari, Gustavo Nestor</t>
  </si>
  <si>
    <t>30717070581</t>
  </si>
  <si>
    <t>Energy Combustibles Srl</t>
  </si>
  <si>
    <t>30688331761</t>
  </si>
  <si>
    <t>Garantizar Sociedad De Garantia Reciproca</t>
  </si>
  <si>
    <t>20291299831</t>
  </si>
  <si>
    <t>Garcia Ozan, Emmanuel</t>
  </si>
  <si>
    <t>+54 9 11 6489-3262</t>
  </si>
  <si>
    <t>20206600064</t>
  </si>
  <si>
    <t>Longo, Juan</t>
  </si>
  <si>
    <t>a_000197</t>
  </si>
  <si>
    <t>Mercado Pago</t>
  </si>
  <si>
    <t>30678774495</t>
  </si>
  <si>
    <t>Operadora De Estaciones De Servicios Sa</t>
  </si>
  <si>
    <t>30501099933</t>
  </si>
  <si>
    <t>Porta Hnos Sa</t>
  </si>
  <si>
    <t>magali.diaz@porta.com.ar</t>
  </si>
  <si>
    <t>a_000202</t>
  </si>
  <si>
    <t>Anticipo Ganancias</t>
  </si>
  <si>
    <t>24316698014</t>
  </si>
  <si>
    <t>Capogrossi, Nicolas Mauricio</t>
  </si>
  <si>
    <t>20168805390</t>
  </si>
  <si>
    <t>Guineo, Adolfo Ceferino</t>
  </si>
  <si>
    <t>a_000207</t>
  </si>
  <si>
    <t>CM a Pagar</t>
  </si>
  <si>
    <t>27112976324</t>
  </si>
  <si>
    <t>Canepa, Silvia Noemi</t>
  </si>
  <si>
    <t>23163712369</t>
  </si>
  <si>
    <t>Ferrari, Roldolfo Alfredo</t>
  </si>
  <si>
    <t>+54 341 572-4761</t>
  </si>
  <si>
    <t>30676880360</t>
  </si>
  <si>
    <t>Petrolera Del Sur S R L</t>
  </si>
  <si>
    <t>+54 9 341 545-1086</t>
  </si>
  <si>
    <t>30711929815</t>
  </si>
  <si>
    <t>Asociacion Reconstructores Argentinos De Neumaticos-A.R.A.N.</t>
  </si>
  <si>
    <t>20334361471</t>
  </si>
  <si>
    <t>Berardi, Jose Alberto</t>
  </si>
  <si>
    <t>+54 9 341 687-9114</t>
  </si>
  <si>
    <t>30501190000</t>
  </si>
  <si>
    <t>Camilo Ferron Sociedad Anonima</t>
  </si>
  <si>
    <t>20265031766</t>
  </si>
  <si>
    <t>Davini, Sebastian Diego</t>
  </si>
  <si>
    <t>27175682347</t>
  </si>
  <si>
    <t>Dinelli, Zulma Patricia</t>
  </si>
  <si>
    <t>+54 9 341 215-2728</t>
  </si>
  <si>
    <t>27391227379</t>
  </si>
  <si>
    <t>Falcon, Margarita</t>
  </si>
  <si>
    <t>20243039208</t>
  </si>
  <si>
    <t>Franco, Hugo Orlando</t>
  </si>
  <si>
    <t>33715811389</t>
  </si>
  <si>
    <t>Fundacion Sistema B Argentina Para Promover Una Economia Sustentable</t>
  </si>
  <si>
    <t>+54 11 6691-7708</t>
  </si>
  <si>
    <t>24339616872</t>
  </si>
  <si>
    <t>Galli, Martina</t>
  </si>
  <si>
    <t>20215573932</t>
  </si>
  <si>
    <t>Stringaro, Leonardo Juan</t>
  </si>
  <si>
    <t>30715371479</t>
  </si>
  <si>
    <t>Transporte Overland S.R.L</t>
  </si>
  <si>
    <t>33715133089</t>
  </si>
  <si>
    <t>Astorga S.R.L.</t>
  </si>
  <si>
    <t>20258365063</t>
  </si>
  <si>
    <t>Benitez, Norberto Sebastian</t>
  </si>
  <si>
    <t>30-71061343-1</t>
  </si>
  <si>
    <t>Inacap - Instituto Argentino De Capacitacion Profesional Y Tecnologica Para El Comercio  -Asociacion Civil</t>
  </si>
  <si>
    <t>30712340599</t>
  </si>
  <si>
    <t>Las Tierras Sa</t>
  </si>
  <si>
    <t>30711813167</t>
  </si>
  <si>
    <t>Auto Sports S.A</t>
  </si>
  <si>
    <t>20234331699</t>
  </si>
  <si>
    <t>Bon, Leandro Noel</t>
  </si>
  <si>
    <t>30637182907</t>
  </si>
  <si>
    <t>Cañuelas Gas Sociedad Anonima</t>
  </si>
  <si>
    <t>30695344054</t>
  </si>
  <si>
    <t>gapresrl@gmail.com</t>
  </si>
  <si>
    <t>20205135031</t>
  </si>
  <si>
    <t>Fossaroli, Pedro Jose</t>
  </si>
  <si>
    <t>30676881731</t>
  </si>
  <si>
    <t>Frezza Maquinarias S R L</t>
  </si>
  <si>
    <t>20135535762</t>
  </si>
  <si>
    <t>Molinari, Fernando Ezequiel</t>
  </si>
  <si>
    <t>30716344408</t>
  </si>
  <si>
    <t>Plus D Energie S.A.</t>
  </si>
  <si>
    <t>30693637844</t>
  </si>
  <si>
    <t>San Cristobal Servicios Financieros S.A.</t>
  </si>
  <si>
    <t>20378296731</t>
  </si>
  <si>
    <t>Sanchez, Dario</t>
  </si>
  <si>
    <t>30642157902</t>
  </si>
  <si>
    <t>Schenone Jorge Y Freggiaro Hugo</t>
  </si>
  <si>
    <t>27335896772</t>
  </si>
  <si>
    <t>Schiavoni, Stefania Florencia</t>
  </si>
  <si>
    <t>30500000127</t>
  </si>
  <si>
    <t>Seguros Sura S.A</t>
  </si>
  <si>
    <t>30608553637</t>
  </si>
  <si>
    <t>Siso Sociedad De Responsabilidad Limitada</t>
  </si>
  <si>
    <t>30714094226</t>
  </si>
  <si>
    <t>Asociacion Mutual 23 De Setiembre</t>
  </si>
  <si>
    <t>20076574848</t>
  </si>
  <si>
    <t>Dragubitzky, Jose Luis</t>
  </si>
  <si>
    <t>+54 3492 60-8679</t>
  </si>
  <si>
    <t>30625524608</t>
  </si>
  <si>
    <t>Estevez Hnos Srl</t>
  </si>
  <si>
    <t>30709912212</t>
  </si>
  <si>
    <t>Manufacturas Plasticas Tensil Sa</t>
  </si>
  <si>
    <t>info@tensil.com.ar</t>
  </si>
  <si>
    <t>+54 9 11 5312-4111</t>
  </si>
  <si>
    <t>20201413193</t>
  </si>
  <si>
    <t>Maoloni, German Andres</t>
  </si>
  <si>
    <t>30716366991</t>
  </si>
  <si>
    <t>Materiales Y Volquetes Srl</t>
  </si>
  <si>
    <t>30710922086</t>
  </si>
  <si>
    <t>Mutual 23 De Julio</t>
  </si>
  <si>
    <t>20416552771</t>
  </si>
  <si>
    <t>Ricciardelli, Francisco Dario</t>
  </si>
  <si>
    <t>27301553094</t>
  </si>
  <si>
    <t>Curvale, Maria Laura</t>
  </si>
  <si>
    <t>20233040577</t>
  </si>
  <si>
    <t>D Alleva, Roque Fermin</t>
  </si>
  <si>
    <t>23259810639</t>
  </si>
  <si>
    <t>Di Marco, Marcelo Daniel</t>
  </si>
  <si>
    <t>+54 3402 54-1166</t>
  </si>
  <si>
    <t>30677242570</t>
  </si>
  <si>
    <t>Gmc Valores Sociedad Anonima</t>
  </si>
  <si>
    <t>20226832085</t>
  </si>
  <si>
    <t>Ognibene, Leonardo Omar</t>
  </si>
  <si>
    <t>+54 9 341 397-1044</t>
  </si>
  <si>
    <t>30718501020</t>
  </si>
  <si>
    <t>Stoffel Florencia Y Donato Guillermo Horacio S. Cap I Secc Iv</t>
  </si>
  <si>
    <t>+54 9 3492 60-8679</t>
  </si>
  <si>
    <t>20364436735</t>
  </si>
  <si>
    <t>Tonda, Gaston Daniel</t>
  </si>
  <si>
    <t>20125176632</t>
  </si>
  <si>
    <t>Valenti, Norberto Jose</t>
  </si>
  <si>
    <t>30715703447</t>
  </si>
  <si>
    <t>Aceros Coco S.A.</t>
  </si>
  <si>
    <t>info@aceroscoco-sa.com.ar</t>
  </si>
  <si>
    <t>+54 9 341 380-9394</t>
  </si>
  <si>
    <t>27239645238</t>
  </si>
  <si>
    <t>Chumpitaz Filipone, Karina</t>
  </si>
  <si>
    <t>a_000288</t>
  </si>
  <si>
    <t>Contribuciones Seg Social a pagar</t>
  </si>
  <si>
    <t>30709415871</t>
  </si>
  <si>
    <t>Estacion De Servicio Bombal Srl</t>
  </si>
  <si>
    <t>20172008985</t>
  </si>
  <si>
    <t>Ferrari, Thomas Miguel Maria</t>
  </si>
  <si>
    <t>20327433556</t>
  </si>
  <si>
    <t>Ivas, Hernan Gabriel</t>
  </si>
  <si>
    <t>20355851657</t>
  </si>
  <si>
    <t>Menendez, Facundo Rodrigo</t>
  </si>
  <si>
    <t>20259422524</t>
  </si>
  <si>
    <t>Merlat, Maximo</t>
  </si>
  <si>
    <t>30695542476</t>
  </si>
  <si>
    <t>Pan American Energy, S.L.,  Sucursal Argentina</t>
  </si>
  <si>
    <t>a_000296</t>
  </si>
  <si>
    <t>Plan AFIP S612178</t>
  </si>
  <si>
    <t>30636881461</t>
  </si>
  <si>
    <t>Poligoma S R L</t>
  </si>
  <si>
    <t>info@polyrep.com.ar</t>
  </si>
  <si>
    <t>+54 9 341 363-4462</t>
  </si>
  <si>
    <t>27301360997</t>
  </si>
  <si>
    <t>Traquinsky, Yanina Susana</t>
  </si>
  <si>
    <t>30708848960</t>
  </si>
  <si>
    <t>Truckstore S.A.</t>
  </si>
  <si>
    <t>30709087645</t>
  </si>
  <si>
    <t>Asociacion Mutual 18 De Julio</t>
  </si>
  <si>
    <t>20105631554</t>
  </si>
  <si>
    <t>Berardi, Alberto Jose</t>
  </si>
  <si>
    <t>30682116028</t>
  </si>
  <si>
    <t>Blue Star Cargo Srl</t>
  </si>
  <si>
    <t>20419325180</t>
  </si>
  <si>
    <t>Bustamante, Agustin</t>
  </si>
  <si>
    <t>30715929542</t>
  </si>
  <si>
    <t>Fondo Cooperacion Tecnica Y Financiera Ley 25.363</t>
  </si>
  <si>
    <t>33715179119</t>
  </si>
  <si>
    <t>Fondo De Cooperacion Tecnica Y Financiera - Cecba - Sl Y T - Ley 23.412</t>
  </si>
  <si>
    <t>20268366467</t>
  </si>
  <si>
    <t>Ianni, Juan Ignacio</t>
  </si>
  <si>
    <t>30710399383</t>
  </si>
  <si>
    <t>Logistikos Group Srl</t>
  </si>
  <si>
    <t>20119265372</t>
  </si>
  <si>
    <t>Motto, Aldo Leopoldo</t>
  </si>
  <si>
    <t>20225101230</t>
  </si>
  <si>
    <t>Rojas, Daniel Edgardo</t>
  </si>
  <si>
    <t>20135289885</t>
  </si>
  <si>
    <t>Rotondo, Omar Alberto</t>
  </si>
  <si>
    <t>30703592194</t>
  </si>
  <si>
    <t>Saint Germaine S A</t>
  </si>
  <si>
    <t>+54 9 341 593-0538</t>
  </si>
  <si>
    <t>20181134136</t>
  </si>
  <si>
    <t>Salas, Marcelo Gustavo</t>
  </si>
  <si>
    <t>20180644092</t>
  </si>
  <si>
    <t>Alfredo Gabriel Sergio Pequich</t>
  </si>
  <si>
    <t>+54 3402 53-4464</t>
  </si>
  <si>
    <t>20368936422</t>
  </si>
  <si>
    <t>D Urso Ramallo, Pablo Adrian</t>
  </si>
  <si>
    <t>+54 9 336 441-7404</t>
  </si>
  <si>
    <t>30555549659</t>
  </si>
  <si>
    <t>Diaser Sociedad Anonima</t>
  </si>
  <si>
    <t>20292164166</t>
  </si>
  <si>
    <t>Gerez, Matias Emanuel</t>
  </si>
  <si>
    <t>30716473224</t>
  </si>
  <si>
    <t>Hormigonera Del Parana S.R.L.</t>
  </si>
  <si>
    <t>20285786801</t>
  </si>
  <si>
    <t>Larese, Daniel Damian</t>
  </si>
  <si>
    <t>20372304619</t>
  </si>
  <si>
    <t>Ledesma, Angel Alcides</t>
  </si>
  <si>
    <t>27323317726</t>
  </si>
  <si>
    <t>Nozzi, Maria Victoria</t>
  </si>
  <si>
    <t>info@nozziinmobiliaria.com</t>
  </si>
  <si>
    <t>+54 9 3402 53-4464</t>
  </si>
  <si>
    <t>23278586154</t>
  </si>
  <si>
    <t>Pintos, Andrea Soledad</t>
  </si>
  <si>
    <t>a_000327</t>
  </si>
  <si>
    <t>Plan AFIP M625924</t>
  </si>
  <si>
    <t>a_000328</t>
  </si>
  <si>
    <t>Plan AFIP M664228</t>
  </si>
  <si>
    <t>a_000329</t>
  </si>
  <si>
    <t>Plan AFIP S410445</t>
  </si>
  <si>
    <t>30709866806</t>
  </si>
  <si>
    <t>Seproa S.R.L.</t>
  </si>
  <si>
    <t>27373992483</t>
  </si>
  <si>
    <t>Alvez, Yemina Yesica Yanel</t>
  </si>
  <si>
    <t>30604731018</t>
  </si>
  <si>
    <t>Banco Comafi Sociedad Anonima</t>
  </si>
  <si>
    <t>30714134589</t>
  </si>
  <si>
    <t>Casali Sebastian, Casali Fernando Y Casali Leandro Sociedad De Hecho</t>
  </si>
  <si>
    <t>transporteservicioscasali@outlook.com</t>
  </si>
  <si>
    <t>30592426044</t>
  </si>
  <si>
    <t>Chapas Oroño Sa</t>
  </si>
  <si>
    <t>30710589476</t>
  </si>
  <si>
    <t>Cl Soluciones Metalurgicas Srl</t>
  </si>
  <si>
    <t>30711541329</t>
  </si>
  <si>
    <t>Deso S.R.L.</t>
  </si>
  <si>
    <t>30717997421</t>
  </si>
  <si>
    <t>E Shaw S.A.</t>
  </si>
  <si>
    <t>30690867393</t>
  </si>
  <si>
    <t>Flexocolor S A</t>
  </si>
  <si>
    <t>30677446931</t>
  </si>
  <si>
    <t>Fm Asuncion 90 7</t>
  </si>
  <si>
    <t>30629577919</t>
  </si>
  <si>
    <t>Fundicion Mercurio Sociedad Anonima</t>
  </si>
  <si>
    <t>+54 341 500-4676</t>
  </si>
  <si>
    <t>30711527156</t>
  </si>
  <si>
    <t>Huxley S.A.</t>
  </si>
  <si>
    <t>+54 11 4303-2331</t>
  </si>
  <si>
    <t>27271150100</t>
  </si>
  <si>
    <t>Isola, Maria Jimena</t>
  </si>
  <si>
    <t>30714161292</t>
  </si>
  <si>
    <t>Macchi Textil S.R.L.</t>
  </si>
  <si>
    <t>ventas14@macchi.ar</t>
  </si>
  <si>
    <t>+54 9 3471 58-1117</t>
  </si>
  <si>
    <t>20367923157</t>
  </si>
  <si>
    <t>Martinez, Jose Luis</t>
  </si>
  <si>
    <t>20314058918</t>
  </si>
  <si>
    <t>Monti, Martin Gustavo</t>
  </si>
  <si>
    <t>30718164555</t>
  </si>
  <si>
    <t>Narducci Logistica S. R. L.</t>
  </si>
  <si>
    <t>transportitosrl@gmail.com</t>
  </si>
  <si>
    <t>+54 9 3402 49-6989</t>
  </si>
  <si>
    <t>a_000353</t>
  </si>
  <si>
    <t>Plan AFIP N769909</t>
  </si>
  <si>
    <t>a_000354</t>
  </si>
  <si>
    <t>Plan AFIP P659718</t>
  </si>
  <si>
    <t>a_000355</t>
  </si>
  <si>
    <t>Plan AFIP S780179</t>
  </si>
  <si>
    <t>27374523827</t>
  </si>
  <si>
    <t>Stoffel, Florencia</t>
  </si>
  <si>
    <t>30571277499</t>
  </si>
  <si>
    <t>Vazquez Hnos S.R.L.</t>
  </si>
  <si>
    <t>joseheis@ferreterasanluis.com.ar</t>
  </si>
  <si>
    <t>+54 341 501-2885</t>
  </si>
  <si>
    <t>30716734443</t>
  </si>
  <si>
    <t>Yanuly Srl En Formacion</t>
  </si>
  <si>
    <t>20271827211</t>
  </si>
  <si>
    <t>Amarilla Horacio Nicolas Ernesto</t>
  </si>
  <si>
    <t>+54 9 336 436-1266</t>
  </si>
  <si>
    <t>30707293167</t>
  </si>
  <si>
    <t>Aniceto Barrio Srl.</t>
  </si>
  <si>
    <t>30714118508</t>
  </si>
  <si>
    <t>Brakha S.A.</t>
  </si>
  <si>
    <t>20083743167</t>
  </si>
  <si>
    <t>Castellarin, Alberto Elias Antoni</t>
  </si>
  <si>
    <t>30716239353</t>
  </si>
  <si>
    <t>Cooperativa De Trabajo Gir Limitada</t>
  </si>
  <si>
    <t>27288597559</t>
  </si>
  <si>
    <t>Gasperi, Mariana Paola</t>
  </si>
  <si>
    <t>30690844741</t>
  </si>
  <si>
    <t>Giovagnoli S R L</t>
  </si>
  <si>
    <t>+54 9 341 636-2913</t>
  </si>
  <si>
    <t>30674945295</t>
  </si>
  <si>
    <t>I S V A  S.A</t>
  </si>
  <si>
    <t>27254146299</t>
  </si>
  <si>
    <t>Ivulich, Mariana Aixa</t>
  </si>
  <si>
    <t>30503861638</t>
  </si>
  <si>
    <t>La Piamontesa De Averaldo Giacosa Y Cia. S.A.</t>
  </si>
  <si>
    <t>30709495557</t>
  </si>
  <si>
    <t>Nimajo S R L</t>
  </si>
  <si>
    <t>20308318495</t>
  </si>
  <si>
    <t>Olivero, Ariel Rodrigo</t>
  </si>
  <si>
    <t>20260527461</t>
  </si>
  <si>
    <t>Pereyra, Enrique Ernesto</t>
  </si>
  <si>
    <t>20141806409</t>
  </si>
  <si>
    <t>Piacenza, Carlos Eduardo</t>
  </si>
  <si>
    <t>a_000378</t>
  </si>
  <si>
    <t>Plan AFIP M645045</t>
  </si>
  <si>
    <t>a_000379</t>
  </si>
  <si>
    <t>Plan AFIP M664223</t>
  </si>
  <si>
    <t>a_000380</t>
  </si>
  <si>
    <t>Plan AFIP M885874</t>
  </si>
  <si>
    <t>a_000381</t>
  </si>
  <si>
    <t>Plan AFIP O367198</t>
  </si>
  <si>
    <t>23354972964</t>
  </si>
  <si>
    <t>Taborcia, Rocio Ayelen</t>
  </si>
  <si>
    <t>30630730879</t>
  </si>
  <si>
    <t>Transatlantica S.A.  Bursatil</t>
  </si>
  <si>
    <t>30715104594</t>
  </si>
  <si>
    <t>Transporte Ana S.R.L.</t>
  </si>
  <si>
    <t>+54 9 3756 40-5716</t>
  </si>
  <si>
    <t>33715862609</t>
  </si>
  <si>
    <t>Tres Cuadras S.A.S.</t>
  </si>
  <si>
    <t>30710004648</t>
  </si>
  <si>
    <t>Zamboni E Hijo S.R.L.</t>
  </si>
  <si>
    <t>20282635055</t>
  </si>
  <si>
    <t>Abrego, Fernando Miguel</t>
  </si>
  <si>
    <t>+54 9 341 357-7873</t>
  </si>
  <si>
    <t>30574816870</t>
  </si>
  <si>
    <t>American Express Argentina S. A.</t>
  </si>
  <si>
    <t>30715060953</t>
  </si>
  <si>
    <t>Aval Ar Sociedad De Garantia Reciproca</t>
  </si>
  <si>
    <t>27334006528</t>
  </si>
  <si>
    <t>Coiutti, Leila Soledad</t>
  </si>
  <si>
    <t>20349923751</t>
  </si>
  <si>
    <t>Di Francisco, Maximiliano Ezequiel</t>
  </si>
  <si>
    <t>30539630004</t>
  </si>
  <si>
    <t>E Menchon S R L</t>
  </si>
  <si>
    <t>+54 341 689-3593</t>
  </si>
  <si>
    <t>20135684717</t>
  </si>
  <si>
    <t>Ferreri, Fernando Manuel</t>
  </si>
  <si>
    <t>a_000396</t>
  </si>
  <si>
    <t>GESTION DE COMERCIO EXTERIOR</t>
  </si>
  <si>
    <t>20465097141</t>
  </si>
  <si>
    <t>Haedo, Jeremias Gadiel</t>
  </si>
  <si>
    <t>+54 3571 31-9242</t>
  </si>
  <si>
    <t>30708049936</t>
  </si>
  <si>
    <t>Hapag-Lloyd Argentina S.R.L</t>
  </si>
  <si>
    <t>30701509737</t>
  </si>
  <si>
    <t>Indiv S.A.</t>
  </si>
  <si>
    <t>30707572619</t>
  </si>
  <si>
    <t>Industrias Quimicas B.G. Srl.</t>
  </si>
  <si>
    <t>20375771994</t>
  </si>
  <si>
    <t>Luque, Denis Pablo</t>
  </si>
  <si>
    <t>20240090830</t>
  </si>
  <si>
    <t>Martin, Gustavo Norberto</t>
  </si>
  <si>
    <t>30693184947</t>
  </si>
  <si>
    <t>Mediterranean Shipping Company S A</t>
  </si>
  <si>
    <t>27348415765</t>
  </si>
  <si>
    <t>Paleo, Martina</t>
  </si>
  <si>
    <t>a_000410</t>
  </si>
  <si>
    <t>Plan AFIP M625931</t>
  </si>
  <si>
    <t>a_000411</t>
  </si>
  <si>
    <t>Plan AFIP S152950</t>
  </si>
  <si>
    <t>a_000413</t>
  </si>
  <si>
    <t>Plan AFIP S585356</t>
  </si>
  <si>
    <t>20273180096</t>
  </si>
  <si>
    <t>Romera, Mauricio</t>
  </si>
  <si>
    <t>30597901581</t>
  </si>
  <si>
    <t>Rosental S.A.</t>
  </si>
  <si>
    <t>30710837852</t>
  </si>
  <si>
    <t>Servigar S.R.L.</t>
  </si>
  <si>
    <t>a_000417</t>
  </si>
  <si>
    <t>Tonfoni 2</t>
  </si>
  <si>
    <t>30708973838</t>
  </si>
  <si>
    <t>Venta Mat S.A.</t>
  </si>
  <si>
    <t>23274742704</t>
  </si>
  <si>
    <t>Viglione, Jezabel Selene</t>
  </si>
  <si>
    <t>+54 9 3402 54-9608</t>
  </si>
  <si>
    <t>30714498041</t>
  </si>
  <si>
    <t>B Y N Srl</t>
  </si>
  <si>
    <t>20314329571</t>
  </si>
  <si>
    <t>Barcelo, Rodrigo Nahuel</t>
  </si>
  <si>
    <t>30716742276</t>
  </si>
  <si>
    <t>Blm Servicios</t>
  </si>
  <si>
    <t>30667064437</t>
  </si>
  <si>
    <t>C I V E  Sociedad Anonima</t>
  </si>
  <si>
    <t>33506737449</t>
  </si>
  <si>
    <t>Cofco International Argentina S.A.</t>
  </si>
  <si>
    <t>30685908138</t>
  </si>
  <si>
    <t>Cooperativa De Credito Consumo Y Vivienda La Esmeralda Limitada</t>
  </si>
  <si>
    <t>20131875542</t>
  </si>
  <si>
    <t>Corro, Roberto Julian</t>
  </si>
  <si>
    <t>20316100997</t>
  </si>
  <si>
    <t>Czerweny, Martin</t>
  </si>
  <si>
    <t>30715660004</t>
  </si>
  <si>
    <t>Dinatec S.R.L.</t>
  </si>
  <si>
    <t>33718690019</t>
  </si>
  <si>
    <t>Fabricacion Metvi S.R.L.</t>
  </si>
  <si>
    <t>+54 9 11 6791-5541</t>
  </si>
  <si>
    <t>20392531344</t>
  </si>
  <si>
    <t>Federico Benitez</t>
  </si>
  <si>
    <t>20137205751</t>
  </si>
  <si>
    <t>Ferreyra, Adrian Marcelo</t>
  </si>
  <si>
    <t>30517128194</t>
  </si>
  <si>
    <t>Ferrosider Sa</t>
  </si>
  <si>
    <t>+54 341 395-3236</t>
  </si>
  <si>
    <t>30716808161</t>
  </si>
  <si>
    <t>G&amp;T Gestiones Comerciales S.A.</t>
  </si>
  <si>
    <t>30685469223</t>
  </si>
  <si>
    <t>Gabinando S R L</t>
  </si>
  <si>
    <t>20300071652</t>
  </si>
  <si>
    <t>Giuggia, Federico Andres</t>
  </si>
  <si>
    <t>30708948574</t>
  </si>
  <si>
    <t>Gnc De La Costa S.R.L.</t>
  </si>
  <si>
    <t>20268134906</t>
  </si>
  <si>
    <t>Latuada, Juan Manuel</t>
  </si>
  <si>
    <t>30715431633</t>
  </si>
  <si>
    <t>Mervak S.R.L.</t>
  </si>
  <si>
    <t>30709067253</t>
  </si>
  <si>
    <t>Parabrisas Centro S.R.L.</t>
  </si>
  <si>
    <t>30705050496</t>
  </si>
  <si>
    <t>Participar Sa</t>
  </si>
  <si>
    <t>a_000441</t>
  </si>
  <si>
    <t>Plan AFIP M762611</t>
  </si>
  <si>
    <t>a_000442</t>
  </si>
  <si>
    <t>Plan AFIP N225196</t>
  </si>
  <si>
    <t>a_000443</t>
  </si>
  <si>
    <t>Plan AFIP S470682</t>
  </si>
  <si>
    <t>30693883616</t>
  </si>
  <si>
    <t>Red De Servicios S R L</t>
  </si>
  <si>
    <t>27134134106</t>
  </si>
  <si>
    <t>Riccardi, Silvia Estela</t>
  </si>
  <si>
    <t>a_000446</t>
  </si>
  <si>
    <t>S813637</t>
  </si>
  <si>
    <t>a_000447</t>
  </si>
  <si>
    <t>S907008</t>
  </si>
  <si>
    <t>20137203813</t>
  </si>
  <si>
    <t>Traverso, Osvaldo Horacio</t>
  </si>
  <si>
    <t>30711118620</t>
  </si>
  <si>
    <t>Ultraschall S.A.</t>
  </si>
  <si>
    <t>20264073015</t>
  </si>
  <si>
    <t>Vila, Martiniano</t>
  </si>
  <si>
    <t>+54 9 351 767-8473</t>
  </si>
  <si>
    <t>23357028299</t>
  </si>
  <si>
    <t>Albert, Nicolas Alejandro</t>
  </si>
  <si>
    <t>20221282354</t>
  </si>
  <si>
    <t>Axenfeld, Eduardo Daniel</t>
  </si>
  <si>
    <t>27239647168</t>
  </si>
  <si>
    <t>Blasco, Maria Paula</t>
  </si>
  <si>
    <t>20261841909</t>
  </si>
  <si>
    <t>Brancolini, Martin Gabriel</t>
  </si>
  <si>
    <t>27204602390</t>
  </si>
  <si>
    <t>Candido, Carina Beatriz</t>
  </si>
  <si>
    <t>33715798749</t>
  </si>
  <si>
    <t>Carilen S.A.</t>
  </si>
  <si>
    <t>30590360763</t>
  </si>
  <si>
    <t>Cencosud S A</t>
  </si>
  <si>
    <t>30709572012</t>
  </si>
  <si>
    <t>Construcciones Industriales Y Portuarias S.A.</t>
  </si>
  <si>
    <t>30656515224</t>
  </si>
  <si>
    <t>Deposito Fiscal Buenos Aires Sa</t>
  </si>
  <si>
    <t>30714877506</t>
  </si>
  <si>
    <t>Dmg Recargas Y Cobranzas S.A.</t>
  </si>
  <si>
    <t>20382547846</t>
  </si>
  <si>
    <t>Drago, Francisco</t>
  </si>
  <si>
    <t>30716398508</t>
  </si>
  <si>
    <t>Exit Group S.R.L.</t>
  </si>
  <si>
    <t>27058121946</t>
  </si>
  <si>
    <t>Farias, Graciela Maria Irma</t>
  </si>
  <si>
    <t>20322511885</t>
  </si>
  <si>
    <t>Figueroa, Ernesto Abel</t>
  </si>
  <si>
    <t>30716856085</t>
  </si>
  <si>
    <t>Franklin As</t>
  </si>
  <si>
    <t>30715697404</t>
  </si>
  <si>
    <t>Galante Diego Y Galante Sebastian Soc Seccion Iv Lgs Simple</t>
  </si>
  <si>
    <t>20244028811</t>
  </si>
  <si>
    <t>Galante, Diego Hernan</t>
  </si>
  <si>
    <t>+54 3402 48-3686</t>
  </si>
  <si>
    <t>20180577042</t>
  </si>
  <si>
    <t>Garnero, Norberto Claudio</t>
  </si>
  <si>
    <t>20-26276923-3</t>
  </si>
  <si>
    <t>Melero, Roberto Leandro Carlos</t>
  </si>
  <si>
    <t>23419433039</t>
  </si>
  <si>
    <t>Patiño, Lisandro</t>
  </si>
  <si>
    <t>a_000474</t>
  </si>
  <si>
    <t>Plan AFIP M664232</t>
  </si>
  <si>
    <t>a_000475</t>
  </si>
  <si>
    <t>Plan AFIP N006554</t>
  </si>
  <si>
    <t>a_000476</t>
  </si>
  <si>
    <t>Plan AFIP S098161</t>
  </si>
  <si>
    <t>a_000477</t>
  </si>
  <si>
    <t>Plan AFIP S349500</t>
  </si>
  <si>
    <t>a_000478</t>
  </si>
  <si>
    <t>Plan AFIP S954958</t>
  </si>
  <si>
    <t>30714884499</t>
  </si>
  <si>
    <t>Procubico Srl</t>
  </si>
  <si>
    <t>20263209835</t>
  </si>
  <si>
    <t>Quiroz, Hector Fabian</t>
  </si>
  <si>
    <t>20364950242</t>
  </si>
  <si>
    <t>Rodriguez, Martin Maximiliano</t>
  </si>
  <si>
    <t>30717967468</t>
  </si>
  <si>
    <t>S Plus Shipping S.A.</t>
  </si>
  <si>
    <t>30701450902</t>
  </si>
  <si>
    <t>Salinera Australsasa S. A.</t>
  </si>
  <si>
    <t>27380856838</t>
  </si>
  <si>
    <t>Segundo, Antonella</t>
  </si>
  <si>
    <t>33657319789</t>
  </si>
  <si>
    <t>Servicios Pilar SA</t>
  </si>
  <si>
    <t>30708624981</t>
  </si>
  <si>
    <t>Servicios Ruta 21 S.R.L.</t>
  </si>
  <si>
    <t>20252431862</t>
  </si>
  <si>
    <t>Sibulovsky, Cesar Martin</t>
  </si>
  <si>
    <t>+54 3402 69-5527</t>
  </si>
  <si>
    <t>20236407374</t>
  </si>
  <si>
    <t>Soza, Ernesto Radames</t>
  </si>
  <si>
    <t>+54 341 641-9777</t>
  </si>
  <si>
    <t>30707789715</t>
  </si>
  <si>
    <t>Star Shipping Argentina Sociedad Anonima</t>
  </si>
  <si>
    <t>30717222977</t>
  </si>
  <si>
    <t>Sysemc Tecnologia Srl</t>
  </si>
  <si>
    <t>info@grupoit.com.ar</t>
  </si>
  <si>
    <t>+54 9 11 6828-1940</t>
  </si>
  <si>
    <t>a_000494</t>
  </si>
  <si>
    <t>T244401</t>
  </si>
  <si>
    <t>a_000495</t>
  </si>
  <si>
    <t>T286071</t>
  </si>
  <si>
    <t>a_000496</t>
  </si>
  <si>
    <t>T295428</t>
  </si>
  <si>
    <t>30640865055</t>
  </si>
  <si>
    <t>Tecce S R L</t>
  </si>
  <si>
    <t>30708196351</t>
  </si>
  <si>
    <t>Tecma Agropecuaria S.R.L.</t>
  </si>
  <si>
    <t>30597247644</t>
  </si>
  <si>
    <t>Ventilar Sociedad Anonima</t>
  </si>
  <si>
    <t>30711514259</t>
  </si>
  <si>
    <t>3K Pig Quality Sa</t>
  </si>
  <si>
    <t>30716532700</t>
  </si>
  <si>
    <t>Alicer Srl</t>
  </si>
  <si>
    <t>a_000504</t>
  </si>
  <si>
    <t>Anticipo Tributos Aduaneros</t>
  </si>
  <si>
    <t>30708085843</t>
  </si>
  <si>
    <t>Balanzas Hook Sa</t>
  </si>
  <si>
    <t>20176402289</t>
  </si>
  <si>
    <t>Bastias, Fabian Heraldo</t>
  </si>
  <si>
    <t>20266340002</t>
  </si>
  <si>
    <t>Belloni, Diego</t>
  </si>
  <si>
    <t>30598856091</t>
  </si>
  <si>
    <t>Boz Alberto Mario Y Vigliano Beatriz Petronila</t>
  </si>
  <si>
    <t>23334490629</t>
  </si>
  <si>
    <t>Capuzzi, Cristian Ezequiel</t>
  </si>
  <si>
    <t>30694354013</t>
  </si>
  <si>
    <t>Combe Power Sa</t>
  </si>
  <si>
    <t>30716414090</t>
  </si>
  <si>
    <t>Constructerra</t>
  </si>
  <si>
    <t>30700907038</t>
  </si>
  <si>
    <t>Dansa Sa</t>
  </si>
  <si>
    <t>30711265453</t>
  </si>
  <si>
    <t>Dlp Towers S.R.L.</t>
  </si>
  <si>
    <t>+54 11 3242-0911</t>
  </si>
  <si>
    <t>30643758306</t>
  </si>
  <si>
    <t>Ebinox S R L</t>
  </si>
  <si>
    <t>30500092242</t>
  </si>
  <si>
    <t>El Litoral Srl</t>
  </si>
  <si>
    <t>asistente-contable@laboratoriolitoral.com</t>
  </si>
  <si>
    <t>30716405741</t>
  </si>
  <si>
    <t>Esac Monte Buey Sa</t>
  </si>
  <si>
    <t>30547891119</t>
  </si>
  <si>
    <t>Establecimiento Frigorifico Azul S A</t>
  </si>
  <si>
    <t>30520586683</t>
  </si>
  <si>
    <t>Estacion De Servicios Raul Srl</t>
  </si>
  <si>
    <t>33717261599</t>
  </si>
  <si>
    <t>Expreso Mustang S. R. L.</t>
  </si>
  <si>
    <t>30708366400</t>
  </si>
  <si>
    <t>Farmquip Srl</t>
  </si>
  <si>
    <t>27245740307</t>
  </si>
  <si>
    <t>Francioni, Analia</t>
  </si>
  <si>
    <t>20291221956</t>
  </si>
  <si>
    <t>Garcia Bussi, Julio Gabriel Martin</t>
  </si>
  <si>
    <t>20180644629</t>
  </si>
  <si>
    <t>Gomez, Victor Hugo</t>
  </si>
  <si>
    <t>+54 3402 50-6501</t>
  </si>
  <si>
    <t>30596436435</t>
  </si>
  <si>
    <t>Impack S A</t>
  </si>
  <si>
    <t>30714030295</t>
  </si>
  <si>
    <t>Interluz  S.R.L.</t>
  </si>
  <si>
    <t>20421240265</t>
  </si>
  <si>
    <t>Jacobo, Elias Exequiel</t>
  </si>
  <si>
    <t>20232320843</t>
  </si>
  <si>
    <t>Kruszelnicki, Hector Ramon</t>
  </si>
  <si>
    <t>20215104002</t>
  </si>
  <si>
    <t>Lannutti, Alejandro Damian</t>
  </si>
  <si>
    <t>20226794698</t>
  </si>
  <si>
    <t>Leonetti, Roberto Carlos Esteb</t>
  </si>
  <si>
    <t>27250173941</t>
  </si>
  <si>
    <t>Liberatore, Vanesa Haydee</t>
  </si>
  <si>
    <t>30710252943</t>
  </si>
  <si>
    <t>MNT Servicios S.R.L</t>
  </si>
  <si>
    <t>+54 9 341 213-0313</t>
  </si>
  <si>
    <t>20222365741</t>
  </si>
  <si>
    <t>Magniesi, Daniel Omar</t>
  </si>
  <si>
    <t>30711203385</t>
  </si>
  <si>
    <t>Migul S.R.L.</t>
  </si>
  <si>
    <t>30677470123</t>
  </si>
  <si>
    <t>Neumaticos Verona S R L</t>
  </si>
  <si>
    <t>+54 9 341 611-5874</t>
  </si>
  <si>
    <t>30671999742</t>
  </si>
  <si>
    <t>Operadores De Comercio Exterior Srl</t>
  </si>
  <si>
    <t>20289056042</t>
  </si>
  <si>
    <t>Pasquale De Genaro, Lucas</t>
  </si>
  <si>
    <t>20083743957</t>
  </si>
  <si>
    <t>Pigini, Norberto Omar Marino</t>
  </si>
  <si>
    <t>+54 341 621-9743</t>
  </si>
  <si>
    <t>a_000541</t>
  </si>
  <si>
    <t>Plan AFIP N769940</t>
  </si>
  <si>
    <t>a_000542</t>
  </si>
  <si>
    <t>Plan AFIP O365001</t>
  </si>
  <si>
    <t>20307213967</t>
  </si>
  <si>
    <t>Ponzio, Leandro Raul</t>
  </si>
  <si>
    <t>30707993762</t>
  </si>
  <si>
    <t>Porcimonte S.A.</t>
  </si>
  <si>
    <t>27265720922</t>
  </si>
  <si>
    <t>Rabinovich, Fany Eugenia Cecilia</t>
  </si>
  <si>
    <t>30674756123</t>
  </si>
  <si>
    <t>Roma Combustibles S A</t>
  </si>
  <si>
    <t>30716620316</t>
  </si>
  <si>
    <t>Santa Fe Acrilicos Rosario Srl</t>
  </si>
  <si>
    <t>+54 341 438-9092</t>
  </si>
  <si>
    <t>30708419628</t>
  </si>
  <si>
    <t>Sd Controles Sociedad De Responsabilidad Limitada</t>
  </si>
  <si>
    <t>30642706787</t>
  </si>
  <si>
    <t>Soldini Stock Sa</t>
  </si>
  <si>
    <t>20104100474</t>
  </si>
  <si>
    <t>Sucesión de Scattareggia, Jorge Francisco</t>
  </si>
  <si>
    <t>20168183756</t>
  </si>
  <si>
    <t>Traverso, Juan Fabian</t>
  </si>
  <si>
    <t>30663987476</t>
  </si>
  <si>
    <t>Veglia Sociedad Anonima</t>
  </si>
  <si>
    <t>20287716126</t>
  </si>
  <si>
    <t>Vicente, Damian Jesus</t>
  </si>
  <si>
    <t>30708853557</t>
  </si>
  <si>
    <t>Xinoxia S.A.</t>
  </si>
  <si>
    <t>a_000558</t>
  </si>
  <si>
    <t>s419395</t>
  </si>
  <si>
    <t>27326775156</t>
  </si>
  <si>
    <t>Argañaraz Billinghurst, Agustina</t>
  </si>
  <si>
    <t>30716441608</t>
  </si>
  <si>
    <t>Asiastarway Corp S.A.</t>
  </si>
  <si>
    <t>30674846343</t>
  </si>
  <si>
    <t>Avanzar  S. A.</t>
  </si>
  <si>
    <t>20216906013</t>
  </si>
  <si>
    <t>Basso, Sergio Adrian</t>
  </si>
  <si>
    <t>27122302046</t>
  </si>
  <si>
    <t>Bee, Dianajorgelina</t>
  </si>
  <si>
    <t>20169431222</t>
  </si>
  <si>
    <t>Cadierno, Sergio Omar</t>
  </si>
  <si>
    <t>20291403361</t>
  </si>
  <si>
    <t>Capato, Maximiliano</t>
  </si>
  <si>
    <t>20234379284</t>
  </si>
  <si>
    <t>Cardinale, Diego Hernan</t>
  </si>
  <si>
    <t>20307040361</t>
  </si>
  <si>
    <t>Carrizo, Juan Mario</t>
  </si>
  <si>
    <t>20084854884</t>
  </si>
  <si>
    <t>Casabianca, Oscar Cesar Luis</t>
  </si>
  <si>
    <t>27137201807</t>
  </si>
  <si>
    <t>Cianci, Patricia Adriana</t>
  </si>
  <si>
    <t>30714525294</t>
  </si>
  <si>
    <t>Credibel S.A.</t>
  </si>
  <si>
    <t>20146209492</t>
  </si>
  <si>
    <t>Delescabe, Claudio Daniel</t>
  </si>
  <si>
    <t>+54 11 6946-5607</t>
  </si>
  <si>
    <t>30710971966</t>
  </si>
  <si>
    <t>Desvio Funke S.R.L.</t>
  </si>
  <si>
    <t>a_000578</t>
  </si>
  <si>
    <t>Faro Diversos</t>
  </si>
  <si>
    <t>30695593585</t>
  </si>
  <si>
    <t>Fiorito Factoring S A</t>
  </si>
  <si>
    <t>20229548108</t>
  </si>
  <si>
    <t>Forgues, Gustavo Roberto</t>
  </si>
  <si>
    <t>27239267322</t>
  </si>
  <si>
    <t>Galluccio, Maria Pia</t>
  </si>
  <si>
    <t>27416029151</t>
  </si>
  <si>
    <t>Graziani, Maria Soledad</t>
  </si>
  <si>
    <t>27252261716</t>
  </si>
  <si>
    <t>Herrero, Andrea Graciela</t>
  </si>
  <si>
    <t>20332208072</t>
  </si>
  <si>
    <t>Iachetti, Lucas</t>
  </si>
  <si>
    <t>33716192569</t>
  </si>
  <si>
    <t>Industrias Electromagneticas Voltohm S.A.</t>
  </si>
  <si>
    <t>30716419416</t>
  </si>
  <si>
    <t>Izajes Rosario S.R.L.</t>
  </si>
  <si>
    <t>33531122599</t>
  </si>
  <si>
    <t>La Camionera Mendocina Sociedad De Responsabilidad Limitada</t>
  </si>
  <si>
    <t>33715109439</t>
  </si>
  <si>
    <t>Linfis Sociedad De Responsabilidad Limitada</t>
  </si>
  <si>
    <t>20174248029</t>
  </si>
  <si>
    <t>Lisomini, German Ernesto</t>
  </si>
  <si>
    <t>33713144709</t>
  </si>
  <si>
    <t>Los Quirquinchos Combustibles S.A .</t>
  </si>
  <si>
    <t>20181937298</t>
  </si>
  <si>
    <t>Luraschi, Silvio Mariano</t>
  </si>
  <si>
    <t>27228966644</t>
  </si>
  <si>
    <t>Maini, Moira</t>
  </si>
  <si>
    <t>20264769788</t>
  </si>
  <si>
    <t>Mezzabotta, Walter Oscar</t>
  </si>
  <si>
    <t>30707269428</t>
  </si>
  <si>
    <t>Multifuncional  S A</t>
  </si>
  <si>
    <t>30713685808</t>
  </si>
  <si>
    <t>Nordicwater Argentina S.R.L.</t>
  </si>
  <si>
    <t>20225923044</t>
  </si>
  <si>
    <t>Olmedo, Mariano Hernan</t>
  </si>
  <si>
    <t>20179827256</t>
  </si>
  <si>
    <t>Orellana, Vicente Orlando</t>
  </si>
  <si>
    <t>20178708164</t>
  </si>
  <si>
    <t>Otegui, Jose Carlos</t>
  </si>
  <si>
    <t>20301066423</t>
  </si>
  <si>
    <t>Pagani, Juan Pablo</t>
  </si>
  <si>
    <t>24360710129</t>
  </si>
  <si>
    <t>Paleo, Marcelo</t>
  </si>
  <si>
    <t>20222834903</t>
  </si>
  <si>
    <t>Paludetto, Victor Elio</t>
  </si>
  <si>
    <t>20365239348</t>
  </si>
  <si>
    <t>Pascual, Facundo Daniel</t>
  </si>
  <si>
    <t>20304606992</t>
  </si>
  <si>
    <t>Pasquini, Guillermo Damian</t>
  </si>
  <si>
    <t>+54 9 11 2244-9865</t>
  </si>
  <si>
    <t>23222441099</t>
  </si>
  <si>
    <t>Perrin Turenne, Guillermo</t>
  </si>
  <si>
    <t>20283091342</t>
  </si>
  <si>
    <t>Posebon, Guillermo Pablo</t>
  </si>
  <si>
    <t>23215103919</t>
  </si>
  <si>
    <t>Ramacciotti, Matias Jose</t>
  </si>
  <si>
    <t>30708639830</t>
  </si>
  <si>
    <t>Rosario Pack S.R.L.</t>
  </si>
  <si>
    <t>30708145307</t>
  </si>
  <si>
    <t>Salafia Hnos. S.R.L.</t>
  </si>
  <si>
    <t>30690857746</t>
  </si>
  <si>
    <t>Santa Teresa Combustibles S R L</t>
  </si>
  <si>
    <t>20358748881</t>
  </si>
  <si>
    <t>Serenelli, Luciano Andres</t>
  </si>
  <si>
    <t>+54 3464 69-7401</t>
  </si>
  <si>
    <t>27375748555</t>
  </si>
  <si>
    <t>Stringaro, Camila</t>
  </si>
  <si>
    <t>30716286572</t>
  </si>
  <si>
    <t>Super Containers S.A.S.</t>
  </si>
  <si>
    <t>a_000615</t>
  </si>
  <si>
    <t>T295482</t>
  </si>
  <si>
    <t>a_000617</t>
  </si>
  <si>
    <t>T496887</t>
  </si>
  <si>
    <t>30715043056</t>
  </si>
  <si>
    <t>Tecnica Fisherton S.R.L.</t>
  </si>
  <si>
    <t>20276685113</t>
  </si>
  <si>
    <t>Tornabene, Ezequiel Jesus Javier</t>
  </si>
  <si>
    <t>20202696849</t>
  </si>
  <si>
    <t>Vanelli, Daniel Alberto</t>
  </si>
  <si>
    <t>20060731919</t>
  </si>
  <si>
    <t>Vicente, Hugo Antonio</t>
  </si>
  <si>
    <t>27185906863</t>
  </si>
  <si>
    <t>ARIDOS AEROPUERTO</t>
  </si>
  <si>
    <t>+54 9 341 368-8570</t>
  </si>
  <si>
    <t>30716713756</t>
  </si>
  <si>
    <t>AS Gestion de la informacion y metodos</t>
  </si>
  <si>
    <t>20308918514</t>
  </si>
  <si>
    <t>Alegre, Gonzalo</t>
  </si>
  <si>
    <t>30689654483</t>
  </si>
  <si>
    <t>B. A. Sani Sociedad Anonima</t>
  </si>
  <si>
    <t>20232031337</t>
  </si>
  <si>
    <t>Balbi, Nestor Valentin</t>
  </si>
  <si>
    <t>30591977683</t>
  </si>
  <si>
    <t>Baser Tel S A</t>
  </si>
  <si>
    <t>20282701937</t>
  </si>
  <si>
    <t>Benito, Guillermo Jose</t>
  </si>
  <si>
    <t>20320689156</t>
  </si>
  <si>
    <t>Bernardini, Eugenio</t>
  </si>
  <si>
    <t>20128007785</t>
  </si>
  <si>
    <t>Blazquez, Hugo Roberto</t>
  </si>
  <si>
    <t>23213676059</t>
  </si>
  <si>
    <t>Bonino, Marcos Ezequiel</t>
  </si>
  <si>
    <t>20121110157</t>
  </si>
  <si>
    <t>Bordoni, Daniel Alberto</t>
  </si>
  <si>
    <t>30717402673</t>
  </si>
  <si>
    <t>Bosco Fabbri Y Asociados S. R. L.</t>
  </si>
  <si>
    <t>20359836687</t>
  </si>
  <si>
    <t>Braga, Nicolas</t>
  </si>
  <si>
    <t>30717044858</t>
  </si>
  <si>
    <t>Bribal Agro S.R.L.</t>
  </si>
  <si>
    <t>30506777395</t>
  </si>
  <si>
    <t>British Airways P L C</t>
  </si>
  <si>
    <t>30711855552</t>
  </si>
  <si>
    <t>Bulonera Vivas S.R.L.</t>
  </si>
  <si>
    <t>20173872918</t>
  </si>
  <si>
    <t>Cagnina, Gabriel Dario</t>
  </si>
  <si>
    <t>20285682534</t>
  </si>
  <si>
    <t>Campana, Ariel Alberto</t>
  </si>
  <si>
    <t>30708190442</t>
  </si>
  <si>
    <t>Carnevale Roberto Y Rabitti Jose</t>
  </si>
  <si>
    <t>30711970815</t>
  </si>
  <si>
    <t>Casa Bonis S.R.L.</t>
  </si>
  <si>
    <t>30716360446</t>
  </si>
  <si>
    <t>Comex Global Trading Corp S.A.</t>
  </si>
  <si>
    <t>30709290726</t>
  </si>
  <si>
    <t>Cooperativa De Trabajo Micron 70 Limitada</t>
  </si>
  <si>
    <t>30710979312</t>
  </si>
  <si>
    <t>De Lera Bruno Y Franco Sh</t>
  </si>
  <si>
    <t>+54 3402 57-2532</t>
  </si>
  <si>
    <t>20333248051</t>
  </si>
  <si>
    <t>Diruscio, Gonzalo</t>
  </si>
  <si>
    <t>30710853718</t>
  </si>
  <si>
    <t>Distribuidora Motorpart Srl</t>
  </si>
  <si>
    <t>+54 341 600-0177</t>
  </si>
  <si>
    <t>30714113158</t>
  </si>
  <si>
    <t>Dosibom Srl</t>
  </si>
  <si>
    <t>30595579461</t>
  </si>
  <si>
    <t>Droquimar Srl</t>
  </si>
  <si>
    <t>20203564687</t>
  </si>
  <si>
    <t>Durquet, Miguel</t>
  </si>
  <si>
    <t>30710202199</t>
  </si>
  <si>
    <t>Ecu  Worldwide (Argentina) S.A.</t>
  </si>
  <si>
    <t>30716495597</t>
  </si>
  <si>
    <t>Efactory S.R.L.</t>
  </si>
  <si>
    <t>30711237875</t>
  </si>
  <si>
    <t>Elgafeed S.R.L.</t>
  </si>
  <si>
    <t>30716380277</t>
  </si>
  <si>
    <t>Energia Del Sur Srl</t>
  </si>
  <si>
    <t>30659276964</t>
  </si>
  <si>
    <t>Espasa S A</t>
  </si>
  <si>
    <t>20248449730</t>
  </si>
  <si>
    <t>Fabiani, Leandro Alberto</t>
  </si>
  <si>
    <t>30628181132</t>
  </si>
  <si>
    <t>Fernandez Nellys De E Hijos Sh</t>
  </si>
  <si>
    <t>20107799177</t>
  </si>
  <si>
    <t>Fernandez, Eduardo Alberto</t>
  </si>
  <si>
    <t>30716143267</t>
  </si>
  <si>
    <t>Formasem S.A.</t>
  </si>
  <si>
    <t>20119696241</t>
  </si>
  <si>
    <t>Furlan, Jose Luis</t>
  </si>
  <si>
    <t>+54 3402 44-7686</t>
  </si>
  <si>
    <t>20177981606</t>
  </si>
  <si>
    <t>Gabelich, Dardo Ruben</t>
  </si>
  <si>
    <t>30-70857541-7</t>
  </si>
  <si>
    <t>Ganadera Milenium S A</t>
  </si>
  <si>
    <t>20110136952</t>
  </si>
  <si>
    <t>Garcia, Antonio Mario</t>
  </si>
  <si>
    <t>20246175757</t>
  </si>
  <si>
    <t>Garofia, Luis Alfredo</t>
  </si>
  <si>
    <t>30663438464</t>
  </si>
  <si>
    <t>Gastecmor S A</t>
  </si>
  <si>
    <t>20214109124</t>
  </si>
  <si>
    <t>Giorgi, Mariano Ezequiel Domingo</t>
  </si>
  <si>
    <t>33709454639</t>
  </si>
  <si>
    <t>Hersol Combustibles S.A.</t>
  </si>
  <si>
    <t>33573283649</t>
  </si>
  <si>
    <t>Industrias Metalurgicas Dino Bartoli E Hijos S R L</t>
  </si>
  <si>
    <t>30715599267</t>
  </si>
  <si>
    <t>Inspeccion Vehicular Venado Tuerto S.A. Ut</t>
  </si>
  <si>
    <t>27137202048</t>
  </si>
  <si>
    <t>Juarez, Mirta Raquel Del Luj</t>
  </si>
  <si>
    <t>30710988516</t>
  </si>
  <si>
    <t>Karcher S.A.</t>
  </si>
  <si>
    <t>20266032510</t>
  </si>
  <si>
    <t>Klinec, Ivan Mirko</t>
  </si>
  <si>
    <t>20341399824</t>
  </si>
  <si>
    <t>L Abbate, Marcos Jose</t>
  </si>
  <si>
    <t>30710964277</t>
  </si>
  <si>
    <t>Lakaut S.A.</t>
  </si>
  <si>
    <t>20302089788</t>
  </si>
  <si>
    <t>Lencina, Damian  Exequiel</t>
  </si>
  <si>
    <t>20103771367</t>
  </si>
  <si>
    <t>Levy, Jose Fortunato</t>
  </si>
  <si>
    <t>+54 351 424-2067</t>
  </si>
  <si>
    <t>33559973489</t>
  </si>
  <si>
    <t>Leza Escriña Y Asociados Sociedad Anonima</t>
  </si>
  <si>
    <t>20324387871</t>
  </si>
  <si>
    <t>Lissarrague, Pablo Francisco</t>
  </si>
  <si>
    <t>30714869457</t>
  </si>
  <si>
    <t>Logcargo S.R.L.</t>
  </si>
  <si>
    <t>20107144855</t>
  </si>
  <si>
    <t>Lombardi, Ricardo Enrique</t>
  </si>
  <si>
    <t>20228816141</t>
  </si>
  <si>
    <t>Madeira, Mauricio Javier</t>
  </si>
  <si>
    <t>30717207285</t>
  </si>
  <si>
    <t>Malbec S.R.L.</t>
  </si>
  <si>
    <t>30708383089</t>
  </si>
  <si>
    <t>Marcelo Trento S.R.L.</t>
  </si>
  <si>
    <t>20-23786456-6</t>
  </si>
  <si>
    <t>Martinez, Ariel Hernan</t>
  </si>
  <si>
    <t>20381344224</t>
  </si>
  <si>
    <t>Massagli, Alan Leonel</t>
  </si>
  <si>
    <t>30708441453</t>
  </si>
  <si>
    <t>Mauro Diesel S.R.L.</t>
  </si>
  <si>
    <t>+54 9 341 371-7222</t>
  </si>
  <si>
    <t>20030929706</t>
  </si>
  <si>
    <t>Miloslavich, Mirko Esteban</t>
  </si>
  <si>
    <t>30652365961</t>
  </si>
  <si>
    <t>Misuracca Y Olmedo S R L</t>
  </si>
  <si>
    <t>27309780723</t>
  </si>
  <si>
    <t>Mitetiero, Veronica Analia</t>
  </si>
  <si>
    <t>20305171108</t>
  </si>
  <si>
    <t>Mollard, Martin  Enrique</t>
  </si>
  <si>
    <t>20232155699</t>
  </si>
  <si>
    <t>Monti, Adrian Alberto</t>
  </si>
  <si>
    <t>27045924381</t>
  </si>
  <si>
    <t>Moretti, Maria Ana</t>
  </si>
  <si>
    <t>27179805427</t>
  </si>
  <si>
    <t>Moyano, Maria Alejandra</t>
  </si>
  <si>
    <t>30715141376</t>
  </si>
  <si>
    <t>Mr Accesorios Industriales Srl</t>
  </si>
  <si>
    <t>30716576848</t>
  </si>
  <si>
    <t>Nordbox  S.R.L.</t>
  </si>
  <si>
    <t>30714946915</t>
  </si>
  <si>
    <t>One Lab Solutions S.A.</t>
  </si>
  <si>
    <t>info@onelab.com.ar</t>
  </si>
  <si>
    <t>+54 9 11 6468-3057</t>
  </si>
  <si>
    <t>20232198037</t>
  </si>
  <si>
    <t>Otegui, Javier Alejandro</t>
  </si>
  <si>
    <t>20182154572</t>
  </si>
  <si>
    <t>Oviedo, Juan Oscar</t>
  </si>
  <si>
    <t>30707455167</t>
  </si>
  <si>
    <t>Parabrisas Burza S.R.L.</t>
  </si>
  <si>
    <t>20215793088</t>
  </si>
  <si>
    <t>Parody, Ricardo Martin</t>
  </si>
  <si>
    <t>20111719420</t>
  </si>
  <si>
    <t>Pennella, Carlos Alberto</t>
  </si>
  <si>
    <t>20276483111</t>
  </si>
  <si>
    <t>Petrocelli, Carlos Andres</t>
  </si>
  <si>
    <t>30631926491</t>
  </si>
  <si>
    <t>Petropack S.A.</t>
  </si>
  <si>
    <t>a_000706</t>
  </si>
  <si>
    <t>Plan AFIP P633396</t>
  </si>
  <si>
    <t>30715762400</t>
  </si>
  <si>
    <t>Quinto Fedre S.A.</t>
  </si>
  <si>
    <t>20257508944</t>
  </si>
  <si>
    <t>Ravaioli, Luciano</t>
  </si>
  <si>
    <t>20322572809</t>
  </si>
  <si>
    <t>Reyna, Juan Pablo</t>
  </si>
  <si>
    <t>27170830739</t>
  </si>
  <si>
    <t>Rodriguez De La Cama, Maria Teresa</t>
  </si>
  <si>
    <t>30707685901</t>
  </si>
  <si>
    <t>Roman Servicios S.A.</t>
  </si>
  <si>
    <t>20377972652</t>
  </si>
  <si>
    <t>Salazar, Joaquin Santiago</t>
  </si>
  <si>
    <t>20356450907</t>
  </si>
  <si>
    <t>Santillan, Nicolas</t>
  </si>
  <si>
    <t>20340237553</t>
  </si>
  <si>
    <t>Servian Baez, Enzo Arnaldo</t>
  </si>
  <si>
    <t>30655225567</t>
  </si>
  <si>
    <t>Servicios Viales De Santa Fe S A</t>
  </si>
  <si>
    <t>30713219203</t>
  </si>
  <si>
    <t>Servitubos S.R.L.</t>
  </si>
  <si>
    <t>20-11270309-9</t>
  </si>
  <si>
    <t>Setticasi, Ruben</t>
  </si>
  <si>
    <t>30715375830</t>
  </si>
  <si>
    <t>Shremwood S.R.L.</t>
  </si>
  <si>
    <t>33715967699</t>
  </si>
  <si>
    <t>Smart One Srl</t>
  </si>
  <si>
    <t>30709951641</t>
  </si>
  <si>
    <t>Soyenergy S.A.</t>
  </si>
  <si>
    <t>30701494985</t>
  </si>
  <si>
    <t>Sudamericana Camiones Sa</t>
  </si>
  <si>
    <t>30710236255</t>
  </si>
  <si>
    <t>Suministr.Ar Sa</t>
  </si>
  <si>
    <t>30589621499</t>
  </si>
  <si>
    <t>Supermercados Mayoristas Makro Sa</t>
  </si>
  <si>
    <t>30709730009</t>
  </si>
  <si>
    <t>Tadi S.A.</t>
  </si>
  <si>
    <t>30709712337</t>
  </si>
  <si>
    <t>Trans-Parente Srl</t>
  </si>
  <si>
    <t>Worms Arg SA-Ej 2024</t>
  </si>
  <si>
    <t>+54 810-345-6638</t>
  </si>
  <si>
    <t>30631810582</t>
  </si>
  <si>
    <t>Wurth Argentina S.A.</t>
  </si>
  <si>
    <t>+54 9 11 6780-2127</t>
  </si>
  <si>
    <t>20210116517</t>
  </si>
  <si>
    <t>Zigon, Gabriel Alejandro</t>
  </si>
  <si>
    <t>20223488537</t>
  </si>
  <si>
    <t>Accattoli, Mauricio Antonio</t>
  </si>
  <si>
    <t>30711264449</t>
  </si>
  <si>
    <t>Adolfo Bulgheroni Srl</t>
  </si>
  <si>
    <t>30-69617058-0</t>
  </si>
  <si>
    <t>Aeropuertos Argentina 2000 S A</t>
  </si>
  <si>
    <t>30717132102</t>
  </si>
  <si>
    <t>Agroindustria Daireaux S.A.</t>
  </si>
  <si>
    <t>30698011145</t>
  </si>
  <si>
    <t>Andreani Logistica Sa</t>
  </si>
  <si>
    <t>30674661335</t>
  </si>
  <si>
    <t>Antonio  Di Tondo E Hijos  Soc. Anonima</t>
  </si>
  <si>
    <t>30710589271</t>
  </si>
  <si>
    <t>Anyway S.A</t>
  </si>
  <si>
    <t>30677503331</t>
  </si>
  <si>
    <t>Asociacion De Peritos Y Recibidores De Granos Y Oeaginosos</t>
  </si>
  <si>
    <t>27326690150</t>
  </si>
  <si>
    <t>Astesana Refosco, Virginia Celeste</t>
  </si>
  <si>
    <t>23329580059</t>
  </si>
  <si>
    <t>Babini, Agustin Leandro</t>
  </si>
  <si>
    <t>20263735804</t>
  </si>
  <si>
    <t>Bacalini, Mauro</t>
  </si>
  <si>
    <t>30516659463</t>
  </si>
  <si>
    <t>Balcarce Sociedad Anonima Comercial Industrial Financiera E Inmobiliaria</t>
  </si>
  <si>
    <t>27148308107</t>
  </si>
  <si>
    <t>Ballarini, Cristina Viviana</t>
  </si>
  <si>
    <t>30580189411</t>
  </si>
  <si>
    <t>Banco Itau Argentina S A</t>
  </si>
  <si>
    <t>20125216685</t>
  </si>
  <si>
    <t>Barrera, Abelardo Dionisio</t>
  </si>
  <si>
    <t>20372389509</t>
  </si>
  <si>
    <t>Barrionuevo, Juan Manuel</t>
  </si>
  <si>
    <t>30717270866</t>
  </si>
  <si>
    <t>Bff Abogados S. R. L.</t>
  </si>
  <si>
    <t>30711543275</t>
  </si>
  <si>
    <t>Bio Soya Sociedad Anonima</t>
  </si>
  <si>
    <t>20303799622</t>
  </si>
  <si>
    <t>Bossio, Nicolas Alejandro</t>
  </si>
  <si>
    <t>23383719119</t>
  </si>
  <si>
    <t>Bracaccini, Eduardo Luis</t>
  </si>
  <si>
    <t>27271150828</t>
  </si>
  <si>
    <t>Bricchi, Maria Soledad</t>
  </si>
  <si>
    <t>30622567519</t>
  </si>
  <si>
    <t>Bulonera Torcuato Srl</t>
  </si>
  <si>
    <t>30639935872</t>
  </si>
  <si>
    <t>Caminos Del Rio Uruguay S A De Construcciones Y Concesiones Viales</t>
  </si>
  <si>
    <t>20270894276</t>
  </si>
  <si>
    <t>Cantero, Fernando Ezequiel</t>
  </si>
  <si>
    <t>20284869304</t>
  </si>
  <si>
    <t>Canzonieri Abel</t>
  </si>
  <si>
    <t>27327797021</t>
  </si>
  <si>
    <t>Capomassi, Victoria</t>
  </si>
  <si>
    <t>20135028372</t>
  </si>
  <si>
    <t>Capone, Juan Daniel</t>
  </si>
  <si>
    <t>+54 9 341 357-7874</t>
  </si>
  <si>
    <t>30573183017</t>
  </si>
  <si>
    <t>Carboseal Sa</t>
  </si>
  <si>
    <t>20336100292</t>
  </si>
  <si>
    <t>Casas Cesar Leonel</t>
  </si>
  <si>
    <t>30709753661</t>
  </si>
  <si>
    <t>Casino Puerto Santa Fe S.A.</t>
  </si>
  <si>
    <t>30-70150577-4</t>
  </si>
  <si>
    <t>Ceramica Arroyo Seco S A</t>
  </si>
  <si>
    <t>30715143646</t>
  </si>
  <si>
    <t>Chada Brokers S.A.</t>
  </si>
  <si>
    <t>33716899379</t>
  </si>
  <si>
    <t>Cobro Sur</t>
  </si>
  <si>
    <t>23218101429</t>
  </si>
  <si>
    <t>Colaneri, Anibal Mauricio</t>
  </si>
  <si>
    <t>20301917350</t>
  </si>
  <si>
    <t>Collazos, Ricardo Enrique</t>
  </si>
  <si>
    <t>30714874477</t>
  </si>
  <si>
    <t>Combustibles Veinticinco S.R.L.</t>
  </si>
  <si>
    <t>30715487043</t>
  </si>
  <si>
    <t>Cooperativa De Trabajo La Cigarra Limitada</t>
  </si>
  <si>
    <t>30504928930</t>
  </si>
  <si>
    <t>Correas Auto Cord S A</t>
  </si>
  <si>
    <t>20060585289</t>
  </si>
  <si>
    <t>Costa, Raul Aquiles</t>
  </si>
  <si>
    <t>20061391895</t>
  </si>
  <si>
    <t>Crevacuore, Roberto Oscar</t>
  </si>
  <si>
    <t>30714508160</t>
  </si>
  <si>
    <t>DIGITAL STORE</t>
  </si>
  <si>
    <t>20130285822</t>
  </si>
  <si>
    <t>Davini, Ruben Oscar</t>
  </si>
  <si>
    <t>33582498739</t>
  </si>
  <si>
    <t>Dayplas S A</t>
  </si>
  <si>
    <t>30715842536</t>
  </si>
  <si>
    <t>Delirio S.R.L.</t>
  </si>
  <si>
    <t>23354690594</t>
  </si>
  <si>
    <t>Delpatto, Florencia Antonella</t>
  </si>
  <si>
    <t>30716619210</t>
  </si>
  <si>
    <t>Desactivados Tirolesa S.A.</t>
  </si>
  <si>
    <t>30709605735</t>
  </si>
  <si>
    <t>Destinos  A Medida S.R.L.</t>
  </si>
  <si>
    <t>23-31206169-4</t>
  </si>
  <si>
    <t>Diaz Nader, Ximena</t>
  </si>
  <si>
    <t>30709031984</t>
  </si>
  <si>
    <t>Dichiara Hnos. S.R.L.</t>
  </si>
  <si>
    <t>30709617121</t>
  </si>
  <si>
    <t>Don Blas S.R.L.</t>
  </si>
  <si>
    <t>33707264239</t>
  </si>
  <si>
    <t>E.L.Be S.R.L.</t>
  </si>
  <si>
    <t>30715666819</t>
  </si>
  <si>
    <t>Egs Group S.R.L.</t>
  </si>
  <si>
    <t>30715705830</t>
  </si>
  <si>
    <t>Electroland Tecnologia S.R.L. S. R. L.</t>
  </si>
  <si>
    <t>20366189123</t>
  </si>
  <si>
    <t>Elisei, Matias Gabriel</t>
  </si>
  <si>
    <t>20305903133</t>
  </si>
  <si>
    <t>Elisei, Sergio Luis</t>
  </si>
  <si>
    <t>30680179650</t>
  </si>
  <si>
    <t>Emeco Sa</t>
  </si>
  <si>
    <t>30696144245</t>
  </si>
  <si>
    <t>Estudio Schafer Biondi S R L</t>
  </si>
  <si>
    <t>33709580529</t>
  </si>
  <si>
    <t>Expreso Rodrigo S.R.L.</t>
  </si>
  <si>
    <t>30715099760</t>
  </si>
  <si>
    <t>Fabricación Metara Srl</t>
  </si>
  <si>
    <t>27408429841</t>
  </si>
  <si>
    <t>Falcon, Francisca</t>
  </si>
  <si>
    <t>30713186607</t>
  </si>
  <si>
    <t>Fideicomiso Desandando Caminos</t>
  </si>
  <si>
    <t>20343684038</t>
  </si>
  <si>
    <t>Fortuna Carlos Uriel</t>
  </si>
  <si>
    <t>+54 341 311-7287</t>
  </si>
  <si>
    <t>23317614209</t>
  </si>
  <si>
    <t>Frediani, Fernando Paolo</t>
  </si>
  <si>
    <t>30707688064</t>
  </si>
  <si>
    <t>Fullchem S.A.</t>
  </si>
  <si>
    <t>ventas@fullchem.com.ar</t>
  </si>
  <si>
    <t>30-70956524-5</t>
  </si>
  <si>
    <t>Fundacion Ciencias Agrarias</t>
  </si>
  <si>
    <t>30711855641</t>
  </si>
  <si>
    <t>Fyo Acopio S.A.</t>
  </si>
  <si>
    <t>27260731128</t>
  </si>
  <si>
    <t>Gaitan, Mariela Isabel</t>
  </si>
  <si>
    <t>20337912290</t>
  </si>
  <si>
    <t>Garcia, Nicolas Eugenio</t>
  </si>
  <si>
    <t>a_000813</t>
  </si>
  <si>
    <t>Gaspari Leonardo</t>
  </si>
  <si>
    <t>27205873118</t>
  </si>
  <si>
    <t>Gazzaniga, Silvana Maria</t>
  </si>
  <si>
    <t>30710390076</t>
  </si>
  <si>
    <t>General Roca  G.N.C.  Srl</t>
  </si>
  <si>
    <t>20184351081</t>
  </si>
  <si>
    <t>Geysels, Juan Manuel</t>
  </si>
  <si>
    <t>27263423947</t>
  </si>
  <si>
    <t>Giordano, Luciana Vanina</t>
  </si>
  <si>
    <t>30713628804</t>
  </si>
  <si>
    <t>Gnc Au Villa Maria S.R.L.</t>
  </si>
  <si>
    <t>20302796778</t>
  </si>
  <si>
    <t>Godoi Bodereau, Ignacio Javier</t>
  </si>
  <si>
    <t>20324695010</t>
  </si>
  <si>
    <t>Gomez, Federico Andres</t>
  </si>
  <si>
    <t>20379964290</t>
  </si>
  <si>
    <t>Gomez, Hernan Javier</t>
  </si>
  <si>
    <t>20177123480</t>
  </si>
  <si>
    <t>Gonzalez, Dario Alejandro</t>
  </si>
  <si>
    <t>30517485752</t>
  </si>
  <si>
    <t>H B S Metalurgica S A</t>
  </si>
  <si>
    <t>+54 9 11 2353-6164</t>
  </si>
  <si>
    <t>30711172307</t>
  </si>
  <si>
    <t>Hydraser S.A.</t>
  </si>
  <si>
    <t>+54 341 464-7006</t>
  </si>
  <si>
    <t>20162281829</t>
  </si>
  <si>
    <t>Ianni, Daniel Omar</t>
  </si>
  <si>
    <t>30617763466</t>
  </si>
  <si>
    <t>Industrias Metalurgicas Damiani Y D Alleva S R L</t>
  </si>
  <si>
    <t>34546687068</t>
  </si>
  <si>
    <t>Instituto Nacional De Tecnologia Industrial Centros De Investigacion</t>
  </si>
  <si>
    <t>20246872385</t>
  </si>
  <si>
    <t>Iza, Eduardo Alejandro</t>
  </si>
  <si>
    <t>20287955872</t>
  </si>
  <si>
    <t>Jara, Sebastian Pedro</t>
  </si>
  <si>
    <t>30684013609</t>
  </si>
  <si>
    <t>Jla  Argentina S A</t>
  </si>
  <si>
    <t>27149753678</t>
  </si>
  <si>
    <t>Juarez, Fernanda Griselda</t>
  </si>
  <si>
    <t>30716076411</t>
  </si>
  <si>
    <t>Kj Logistica S.R.L.</t>
  </si>
  <si>
    <t>30708084049</t>
  </si>
  <si>
    <t>La Exelencia S.R.L.</t>
  </si>
  <si>
    <t>33707603599</t>
  </si>
  <si>
    <t>La Malvina S.A.</t>
  </si>
  <si>
    <t>30712126066</t>
  </si>
  <si>
    <t>La Morena Srl</t>
  </si>
  <si>
    <t>33715702679</t>
  </si>
  <si>
    <t>Lalo Construcciones S.R.L.</t>
  </si>
  <si>
    <t>30501256419</t>
  </si>
  <si>
    <t>Libertun Hermanos Sociedad De Responsabilidad Limitada</t>
  </si>
  <si>
    <t>27345753651</t>
  </si>
  <si>
    <t>Lipka, Leticia</t>
  </si>
  <si>
    <t>20139590946</t>
  </si>
  <si>
    <t>Lobo, Manuel Joaquin</t>
  </si>
  <si>
    <t>30716738937</t>
  </si>
  <si>
    <t>Logicar S.A.S.</t>
  </si>
  <si>
    <t>33569651269</t>
  </si>
  <si>
    <t>Lubricantes San Lorenzo S R L</t>
  </si>
  <si>
    <t>30538044519</t>
  </si>
  <si>
    <t>Lubricom Soc Anon Comercial Agropecuaria Industrial Financiera Inmobiliaria</t>
  </si>
  <si>
    <t>20111255815</t>
  </si>
  <si>
    <t>Luciani, Osvaldo Angel</t>
  </si>
  <si>
    <t>30627062490</t>
  </si>
  <si>
    <t>Luis A Carrizo Y Cia Srl</t>
  </si>
  <si>
    <t>30708528982</t>
  </si>
  <si>
    <t>Lumetal S.A.</t>
  </si>
  <si>
    <t>+54 9 341 621-3269</t>
  </si>
  <si>
    <t>20350833464</t>
  </si>
  <si>
    <t>Maggi, Franco Emanuel</t>
  </si>
  <si>
    <t>20208535464</t>
  </si>
  <si>
    <t>Malatesta, Adrian Javier</t>
  </si>
  <si>
    <t>30712450327</t>
  </si>
  <si>
    <t>Mandola Hermanos S.A.</t>
  </si>
  <si>
    <t>20285666598</t>
  </si>
  <si>
    <t>Martin, Ernesto Luis</t>
  </si>
  <si>
    <t>27342089416</t>
  </si>
  <si>
    <t>Martini, Jesica Nerea</t>
  </si>
  <si>
    <t>30716268396</t>
  </si>
  <si>
    <t>Mascardi Plasticos S.A.U.</t>
  </si>
  <si>
    <t>23127887594</t>
  </si>
  <si>
    <t>Mascolo, Analia Rosana</t>
  </si>
  <si>
    <t>30624950468</t>
  </si>
  <si>
    <t>Medica Tec S R L</t>
  </si>
  <si>
    <t>30708932309</t>
  </si>
  <si>
    <t>Medicina Laboral Rp./ Salud S.A.</t>
  </si>
  <si>
    <t>20221812299</t>
  </si>
  <si>
    <t>Medina, Marcelo Sebastian</t>
  </si>
  <si>
    <t>30715855204</t>
  </si>
  <si>
    <t>Mega Escaleras S.R.L.</t>
  </si>
  <si>
    <t>ventas@megaescaleras.com.ar</t>
  </si>
  <si>
    <t>+54 9 11 2324-0500</t>
  </si>
  <si>
    <t>30-70308853-4</t>
  </si>
  <si>
    <t>Mercadolibre S.R.L.</t>
  </si>
  <si>
    <t>27104104830</t>
  </si>
  <si>
    <t>Mestres, Dina Lucia</t>
  </si>
  <si>
    <t>30702214064</t>
  </si>
  <si>
    <t>Metalcris S A</t>
  </si>
  <si>
    <t>20297925416</t>
  </si>
  <si>
    <t>Michelotti, Emiliano Manuel</t>
  </si>
  <si>
    <t>ventas@sanosmateriales.com.ar</t>
  </si>
  <si>
    <t>+54 9 341 617-5169</t>
  </si>
  <si>
    <t>20201440891</t>
  </si>
  <si>
    <t>Micucci, Andres Olivio</t>
  </si>
  <si>
    <t>20229327160</t>
  </si>
  <si>
    <t>Mugurusa, Raul Alejandro</t>
  </si>
  <si>
    <t>30715997319</t>
  </si>
  <si>
    <t>Navalelectric Sas</t>
  </si>
  <si>
    <t>30717311082</t>
  </si>
  <si>
    <t>Neumaticos Funes S. R. L.</t>
  </si>
  <si>
    <t>27208325006</t>
  </si>
  <si>
    <t>Neustadt, Mariana Judith</t>
  </si>
  <si>
    <t>20078916185</t>
  </si>
  <si>
    <t>Ojeda, Jorge Luis</t>
  </si>
  <si>
    <t>30707854851</t>
  </si>
  <si>
    <t>Onas Compañia Argentina De Petroleo S.A.</t>
  </si>
  <si>
    <t>33711238269</t>
  </si>
  <si>
    <t>Operaciones Agroportuarias S.A</t>
  </si>
  <si>
    <t>20341993998</t>
  </si>
  <si>
    <t>Orcsuk, Jose Luis</t>
  </si>
  <si>
    <t>27208033269</t>
  </si>
  <si>
    <t>Ortiz, Silvia Rosalia</t>
  </si>
  <si>
    <t>+54 9 3402 49-5993</t>
  </si>
  <si>
    <t>23175795669</t>
  </si>
  <si>
    <t>Pace, Roberto Daniel</t>
  </si>
  <si>
    <t>20181935724</t>
  </si>
  <si>
    <t>Pajon, Silvio German</t>
  </si>
  <si>
    <t>30712025448</t>
  </si>
  <si>
    <t>Parabens Trust S.A.</t>
  </si>
  <si>
    <t>30609355049</t>
  </si>
  <si>
    <t>Pascal S R L</t>
  </si>
  <si>
    <t>30595987527</t>
  </si>
  <si>
    <t>Patracas Sociedad Anonima</t>
  </si>
  <si>
    <t>20265031197</t>
  </si>
  <si>
    <t>Pensato, Fernando Elio</t>
  </si>
  <si>
    <t>20114458997</t>
  </si>
  <si>
    <t>Petitti, Daniel Hugo</t>
  </si>
  <si>
    <t>30709418811</t>
  </si>
  <si>
    <t>Petrococ S.R.L.</t>
  </si>
  <si>
    <t>30617877089</t>
  </si>
  <si>
    <t>Petrolera Norte Oil Co  Srl</t>
  </si>
  <si>
    <t>20137203201</t>
  </si>
  <si>
    <t>Pierucci, Daniel Eduardo</t>
  </si>
  <si>
    <t>23210111999</t>
  </si>
  <si>
    <t>Piotto, Mariano Andres</t>
  </si>
  <si>
    <t>20219472855</t>
  </si>
  <si>
    <t>Pisani, Walter Osvaldo</t>
  </si>
  <si>
    <t>+54 9 3400 66-5539</t>
  </si>
  <si>
    <t>a_000885</t>
  </si>
  <si>
    <t>Plan AFIP P650332</t>
  </si>
  <si>
    <t>a_000886</t>
  </si>
  <si>
    <t>a_000887</t>
  </si>
  <si>
    <t>Plan AFIP Q854692</t>
  </si>
  <si>
    <t>a_000889</t>
  </si>
  <si>
    <t>Plan AFIP S997612</t>
  </si>
  <si>
    <t>20163949718</t>
  </si>
  <si>
    <t>Polinori, Fernando Norberto Ramon</t>
  </si>
  <si>
    <t>20385339888</t>
  </si>
  <si>
    <t>Potes, Nicolas</t>
  </si>
  <si>
    <t>30710862733</t>
  </si>
  <si>
    <t>Process S.R.L.</t>
  </si>
  <si>
    <t>30693719328</t>
  </si>
  <si>
    <t>Promati S A</t>
  </si>
  <si>
    <t>+54 9 341 200-8884</t>
  </si>
  <si>
    <t>27274742556</t>
  </si>
  <si>
    <t>Raimundo Silvina Mercedes</t>
  </si>
  <si>
    <t>20272288144</t>
  </si>
  <si>
    <t>Ramseyer, Adrian Dardo</t>
  </si>
  <si>
    <t>30644758202</t>
  </si>
  <si>
    <t>Repuestos Pesados Sas</t>
  </si>
  <si>
    <t>23219348339</t>
  </si>
  <si>
    <t>Rivero, Carlos</t>
  </si>
  <si>
    <t>+54 9 3774 46-9540</t>
  </si>
  <si>
    <t>30714147273</t>
  </si>
  <si>
    <t>Rodados 94 S.R.L.</t>
  </si>
  <si>
    <t>27250824489</t>
  </si>
  <si>
    <t>Rodriguez, Ana Laura</t>
  </si>
  <si>
    <t>33-71557728-9</t>
  </si>
  <si>
    <t>Rutas De Las Misiones S.A.</t>
  </si>
  <si>
    <t>a_000901</t>
  </si>
  <si>
    <t>S224930</t>
  </si>
  <si>
    <t>30692426696</t>
  </si>
  <si>
    <t>San Javier Servicios Srl</t>
  </si>
  <si>
    <t>27242829994</t>
  </si>
  <si>
    <t>Sanchez, Carolina Marcela</t>
  </si>
  <si>
    <t>20250027282</t>
  </si>
  <si>
    <t>Sanchez, Juan Carlos</t>
  </si>
  <si>
    <t>23112286489</t>
  </si>
  <si>
    <t>Schonfield, Ramon Juan Oscar</t>
  </si>
  <si>
    <t>30718700368</t>
  </si>
  <si>
    <t>Scout Electronica S. Cap I Secc Iv</t>
  </si>
  <si>
    <t>30-70914857-1</t>
  </si>
  <si>
    <t>+54 341 353-8940</t>
  </si>
  <si>
    <t>30710276273</t>
  </si>
  <si>
    <t>Sedex Argentina Sa</t>
  </si>
  <si>
    <t>30717127567</t>
  </si>
  <si>
    <t>Seilop S.R.L</t>
  </si>
  <si>
    <t>a_000911</t>
  </si>
  <si>
    <t>Sergio Javier Salafrica</t>
  </si>
  <si>
    <t>30643403206</t>
  </si>
  <si>
    <t>Servicios Ecologicos Rosario Srl</t>
  </si>
  <si>
    <t>30715955918</t>
  </si>
  <si>
    <t>Setgal S.A.</t>
  </si>
  <si>
    <t>30715753541</t>
  </si>
  <si>
    <t>Shiga Motors S.A.</t>
  </si>
  <si>
    <t>30714128813</t>
  </si>
  <si>
    <t>Sitap Srl</t>
  </si>
  <si>
    <t>23253282169</t>
  </si>
  <si>
    <t>Stevenazzi, Alejandro</t>
  </si>
  <si>
    <t>30632976727</t>
  </si>
  <si>
    <t>T R A C Sa</t>
  </si>
  <si>
    <t>a_000918</t>
  </si>
  <si>
    <t>T090783</t>
  </si>
  <si>
    <t>a_000919</t>
  </si>
  <si>
    <t>T203687</t>
  </si>
  <si>
    <t>a_000920</t>
  </si>
  <si>
    <t>T281646</t>
  </si>
  <si>
    <t>a_000921</t>
  </si>
  <si>
    <t>T286264</t>
  </si>
  <si>
    <t>20336255172</t>
  </si>
  <si>
    <t>Tassi, Fabian Andres</t>
  </si>
  <si>
    <t>30709430439</t>
  </si>
  <si>
    <t>Tecno Part S.A.</t>
  </si>
  <si>
    <t>30697956200</t>
  </si>
  <si>
    <t>Teknal S A</t>
  </si>
  <si>
    <t>30627342396</t>
  </si>
  <si>
    <t>Temuco Srl</t>
  </si>
  <si>
    <t>+54 9 351 380-6629</t>
  </si>
  <si>
    <t>33714141029</t>
  </si>
  <si>
    <t>Texpro S.R.L.</t>
  </si>
  <si>
    <t>a_000928</t>
  </si>
  <si>
    <t>Tonda Gaston , Diversos</t>
  </si>
  <si>
    <t>20223000828</t>
  </si>
  <si>
    <t>Torelli, Rodolfo Enrique</t>
  </si>
  <si>
    <t>30710029039</t>
  </si>
  <si>
    <t>Vahume  Sa</t>
  </si>
  <si>
    <t>20333358256</t>
  </si>
  <si>
    <t>Vaisman, Benjamin</t>
  </si>
  <si>
    <t>20161549038</t>
  </si>
  <si>
    <t>Vannelli, Victor Hugo</t>
  </si>
  <si>
    <t>20470092956</t>
  </si>
  <si>
    <t>Vazquez Luca</t>
  </si>
  <si>
    <t>20103905541</t>
  </si>
  <si>
    <t>Zanchi, Lucio Emilio</t>
  </si>
  <si>
    <t>20222831122</t>
  </si>
  <si>
    <t>Zarate, Carlos Dario</t>
  </si>
  <si>
    <t>20237864035</t>
  </si>
  <si>
    <t>Zarate, Fernando Luis</t>
  </si>
  <si>
    <t>27368069332</t>
  </si>
  <si>
    <t>Zavalia Lagos, Marina</t>
  </si>
  <si>
    <t>20167149325</t>
  </si>
  <si>
    <t>Zuliani, Gustavo Angel</t>
  </si>
  <si>
    <t>27139848530</t>
  </si>
  <si>
    <t>Abad, Miriam Del Valle</t>
  </si>
  <si>
    <t>30710937628</t>
  </si>
  <si>
    <t>Agropecuaria  Quirno Costa S.A</t>
  </si>
  <si>
    <t>30715680285</t>
  </si>
  <si>
    <t>Agroveterinaria La Vitorina S.R.L.</t>
  </si>
  <si>
    <t>30707708391</t>
  </si>
  <si>
    <t>Alises Fanlo Y Asociados S.A.</t>
  </si>
  <si>
    <t>30712460985</t>
  </si>
  <si>
    <t>Alpha Fighiera S.R.L.</t>
  </si>
  <si>
    <t>20181069806</t>
  </si>
  <si>
    <t>Ambort, Marcelo Fabian</t>
  </si>
  <si>
    <t>20252245929</t>
  </si>
  <si>
    <t>Anrique, Sebastian Roberto</t>
  </si>
  <si>
    <t>30625618262</t>
  </si>
  <si>
    <t>Anselmi Hnos. S.R.L.</t>
  </si>
  <si>
    <t>23173873069</t>
  </si>
  <si>
    <t>Antinoro, Francisco Ernesto</t>
  </si>
  <si>
    <t>30540871090</t>
  </si>
  <si>
    <t>Antonio Ferraro S.A.</t>
  </si>
  <si>
    <t>a_000950</t>
  </si>
  <si>
    <t>Aranceles varios AFIP</t>
  </si>
  <si>
    <t>20320082979</t>
  </si>
  <si>
    <t>Arce, Cristian Martin</t>
  </si>
  <si>
    <t>30520329273</t>
  </si>
  <si>
    <t>Argelec Sociedad Anonima</t>
  </si>
  <si>
    <t>+54 341 378-4472</t>
  </si>
  <si>
    <t>30708557117</t>
  </si>
  <si>
    <t>Arloeyx Transportes Y Servicios Integrales Srl</t>
  </si>
  <si>
    <t>30645158381</t>
  </si>
  <si>
    <t>Asociacion Argentina De Grasas Y Aceites (A.S.A.G.A.)</t>
  </si>
  <si>
    <t>30659192647</t>
  </si>
  <si>
    <t>Asociacion Civil Universidad Del  Cema</t>
  </si>
  <si>
    <t>33695425479</t>
  </si>
  <si>
    <t>Azcua Nelson Benjamin Y Franco Maria Elena Sociedad De Hecho</t>
  </si>
  <si>
    <t>30714576921</t>
  </si>
  <si>
    <t>B Y T Metalurgica S.R.L.</t>
  </si>
  <si>
    <t>30-71133576-1</t>
  </si>
  <si>
    <t>Bajada España Srl</t>
  </si>
  <si>
    <t>20454852142</t>
  </si>
  <si>
    <t>Balestrini, Gino Valentin</t>
  </si>
  <si>
    <t>30708312254</t>
  </si>
  <si>
    <t>Ball Mor Srl</t>
  </si>
  <si>
    <t>30712331239</t>
  </si>
  <si>
    <t>Banco Bica Sociedad Anonima</t>
  </si>
  <si>
    <t>30543035064</t>
  </si>
  <si>
    <t>Barale S.A.</t>
  </si>
  <si>
    <t>27181226949</t>
  </si>
  <si>
    <t>Barrera, Dora Beatriz</t>
  </si>
  <si>
    <t>20147504056</t>
  </si>
  <si>
    <t>Bartolelli, Eduardo Mario</t>
  </si>
  <si>
    <t>30708592532</t>
  </si>
  <si>
    <t>Basso Independencia Sa</t>
  </si>
  <si>
    <t>30709627569</t>
  </si>
  <si>
    <t>Bec-Car S.A.</t>
  </si>
  <si>
    <t>27219826333</t>
  </si>
  <si>
    <t>Beker, Andrea</t>
  </si>
  <si>
    <t>30676703388</t>
  </si>
  <si>
    <t>Belgrano Junior Sa</t>
  </si>
  <si>
    <t>20259420696</t>
  </si>
  <si>
    <t>Beltramo, Andres</t>
  </si>
  <si>
    <t>20218083979</t>
  </si>
  <si>
    <t>Bertagnolli, Carlos Javier</t>
  </si>
  <si>
    <t>27203843920</t>
  </si>
  <si>
    <t>Bichler, Mariela</t>
  </si>
  <si>
    <t>23302931909</t>
  </si>
  <si>
    <t>Bilbao, Francisco</t>
  </si>
  <si>
    <t>30697652694</t>
  </si>
  <si>
    <t>Bistro S A</t>
  </si>
  <si>
    <t>30526414086</t>
  </si>
  <si>
    <t>Bolsa De Comercio De Rosario Asociacion Civil</t>
  </si>
  <si>
    <t>20169353086</t>
  </si>
  <si>
    <t>Bongarzone, Pablo Javier</t>
  </si>
  <si>
    <t>20254562492</t>
  </si>
  <si>
    <t>Bonvin, Juan Manuel</t>
  </si>
  <si>
    <t>20331231038</t>
  </si>
  <si>
    <t>Borda, Mario Alejandro</t>
  </si>
  <si>
    <t>20305321398</t>
  </si>
  <si>
    <t>Bordon, German</t>
  </si>
  <si>
    <t>20131695714</t>
  </si>
  <si>
    <t>Borsani, Jorge Ramon Pedro</t>
  </si>
  <si>
    <t>20271122218</t>
  </si>
  <si>
    <t>Bosco, Hilario Juan José</t>
  </si>
  <si>
    <t>a_000984</t>
  </si>
  <si>
    <t>Bozzo Nestor Diversos</t>
  </si>
  <si>
    <t>33573879169</t>
  </si>
  <si>
    <t>Bradas Srl</t>
  </si>
  <si>
    <t>30664675958</t>
  </si>
  <si>
    <t>Breit Norberto Oscar Y Breit Hugo Ricardo</t>
  </si>
  <si>
    <t>20116223016</t>
  </si>
  <si>
    <t>Bruno, Alejandro Emilio</t>
  </si>
  <si>
    <t>27260223270</t>
  </si>
  <si>
    <t>Bruno, Erica Juana</t>
  </si>
  <si>
    <t>27139316431</t>
  </si>
  <si>
    <t>Buffa, Elvira Beatriz</t>
  </si>
  <si>
    <t>20397549012</t>
  </si>
  <si>
    <t>Cabrera, Lucas Ernesto</t>
  </si>
  <si>
    <t>30711903964</t>
  </si>
  <si>
    <t>Canaria Hispana S.A. Union Transitoria De Empresas</t>
  </si>
  <si>
    <t>20243866384</t>
  </si>
  <si>
    <t>Cancellieri, Diego Andres</t>
  </si>
  <si>
    <t>20334591302</t>
  </si>
  <si>
    <t>Candal, Pablo Esteban</t>
  </si>
  <si>
    <t>27287152308</t>
  </si>
  <si>
    <t>Canullo, Maria De Los Angeles Romina</t>
  </si>
  <si>
    <t>30530489945</t>
  </si>
  <si>
    <t>Casa Alarcia S A C I F I A G</t>
  </si>
  <si>
    <t>20105782439</t>
  </si>
  <si>
    <t>Castricini, Luis Alberto</t>
  </si>
  <si>
    <t>20290471673</t>
  </si>
  <si>
    <t>Castro, Diego Andres</t>
  </si>
  <si>
    <t>a_000998</t>
  </si>
  <si>
    <t>Cavalli Rollos</t>
  </si>
  <si>
    <t>27177731531</t>
  </si>
  <si>
    <t>Ceschini, Daina Sandra</t>
  </si>
  <si>
    <t>30592845748</t>
  </si>
  <si>
    <t>Cetrogar Sa</t>
  </si>
  <si>
    <t>33712253229</t>
  </si>
  <si>
    <t>Chipped S.R.L.</t>
  </si>
  <si>
    <t>20280788660</t>
  </si>
  <si>
    <t>Ciarmela, Miguel Angel</t>
  </si>
  <si>
    <t>20276139747</t>
  </si>
  <si>
    <t>Cingolani, Gabriel Hernan</t>
  </si>
  <si>
    <t>30715852035</t>
  </si>
  <si>
    <t>Climatizadores San Nicolas Sociedad Anonima</t>
  </si>
  <si>
    <t>20274625202</t>
  </si>
  <si>
    <t>Coca Romeo Ezequiel</t>
  </si>
  <si>
    <t>30540109342</t>
  </si>
  <si>
    <t>Comercial Diego S R L</t>
  </si>
  <si>
    <t>30521963731</t>
  </si>
  <si>
    <t>Compañia Mercantil Agrosud Limitada Soc Anon Ind Com Y Fin</t>
  </si>
  <si>
    <t>33650690449</t>
  </si>
  <si>
    <t>Contigas S R L</t>
  </si>
  <si>
    <t>33717142689</t>
  </si>
  <si>
    <t>Coop De Trabajo La Favela Ltda</t>
  </si>
  <si>
    <t>33709242879</t>
  </si>
  <si>
    <t>Cooperativa Agricultores Del Sur Limitada</t>
  </si>
  <si>
    <t>27215103191</t>
  </si>
  <si>
    <t>Corriente, Maria Alejandra</t>
  </si>
  <si>
    <t>20271637846</t>
  </si>
  <si>
    <t>Costa, Andres Rogelio</t>
  </si>
  <si>
    <t>20260022653</t>
  </si>
  <si>
    <t>Costurella, Adrian Gustavo</t>
  </si>
  <si>
    <t>20060576336</t>
  </si>
  <si>
    <t>Cotugno, Jorge Omar</t>
  </si>
  <si>
    <t>30581270077</t>
  </si>
  <si>
    <t>Criper S A C I T A F I</t>
  </si>
  <si>
    <t>30708423277</t>
  </si>
  <si>
    <t>Cuatro Soles S.A.</t>
  </si>
  <si>
    <t>20373360385</t>
  </si>
  <si>
    <t>D Angelo, Fernando Joel</t>
  </si>
  <si>
    <t>20203296453</t>
  </si>
  <si>
    <t>Damianovich, Rogelio Pablo Danilo</t>
  </si>
  <si>
    <t>30691020882</t>
  </si>
  <si>
    <t>Dbt S A</t>
  </si>
  <si>
    <t>30715503421</t>
  </si>
  <si>
    <t>Debluc Srl</t>
  </si>
  <si>
    <t>30707212787</t>
  </si>
  <si>
    <t>Deposito La Esperanza S.A.</t>
  </si>
  <si>
    <t>30710804121</t>
  </si>
  <si>
    <t>Depositos Y Servicios S.A.</t>
  </si>
  <si>
    <t>27109874855</t>
  </si>
  <si>
    <t>Di Boscio, Silvia Beatriz</t>
  </si>
  <si>
    <t>23350446729</t>
  </si>
  <si>
    <t>Di Natale, Bruno</t>
  </si>
  <si>
    <t>30709581011</t>
  </si>
  <si>
    <t>Di Palma S.R.L.</t>
  </si>
  <si>
    <t>30711445982</t>
  </si>
  <si>
    <t>Dildiy S.A.</t>
  </si>
  <si>
    <t>20431933323</t>
  </si>
  <si>
    <t>Diniz Pereira, Elian Jonathan</t>
  </si>
  <si>
    <t>30708924748</t>
  </si>
  <si>
    <t>Don Gregorio Sociedad Anonima</t>
  </si>
  <si>
    <t>20213014715</t>
  </si>
  <si>
    <t>Duran, Rodrigo Javier Deogracias</t>
  </si>
  <si>
    <t>30707768785</t>
  </si>
  <si>
    <t>E-Buyplace S.A.</t>
  </si>
  <si>
    <t>30710340133</t>
  </si>
  <si>
    <t>ERGOSUD S.A.</t>
  </si>
  <si>
    <t>30668473241</t>
  </si>
  <si>
    <t>Echaniz Hermanos Sociedad Anonima</t>
  </si>
  <si>
    <t>55000002126</t>
  </si>
  <si>
    <t>Ecogreen</t>
  </si>
  <si>
    <t>20145791198</t>
  </si>
  <si>
    <t>Eguia, Jorge Raul</t>
  </si>
  <si>
    <t>30717210030</t>
  </si>
  <si>
    <t>El Almacen Ferretero S.R.L.</t>
  </si>
  <si>
    <t>30710783353</t>
  </si>
  <si>
    <t>Electrobombas Rosario S.R.L.</t>
  </si>
  <si>
    <t>30711785996</t>
  </si>
  <si>
    <t>Envases Tapaco Srl</t>
  </si>
  <si>
    <t>30715784501</t>
  </si>
  <si>
    <t>Eretz Sociedad Anonima</t>
  </si>
  <si>
    <t>30568794296</t>
  </si>
  <si>
    <t>Establecimientos Electromecanicos Magnum Srl</t>
  </si>
  <si>
    <t>30708369914</t>
  </si>
  <si>
    <t>Estacion 20 De Julio Sa</t>
  </si>
  <si>
    <t>30711140332</t>
  </si>
  <si>
    <t>Estacion De Servicio Ypf San Cristobal S.R.L.</t>
  </si>
  <si>
    <t>30622357492</t>
  </si>
  <si>
    <t>Estrella Srl</t>
  </si>
  <si>
    <t>30714103527</t>
  </si>
  <si>
    <t>Euroamerica Group S.A.</t>
  </si>
  <si>
    <t>a_001046</t>
  </si>
  <si>
    <t>FUCCA MAIZ</t>
  </si>
  <si>
    <t>30715908529</t>
  </si>
  <si>
    <t>Factor Humano Soluciones De Servicios De Salud Srl</t>
  </si>
  <si>
    <t>30709173673</t>
  </si>
  <si>
    <t>Famega Sa</t>
  </si>
  <si>
    <t>20129015277</t>
  </si>
  <si>
    <t>Fantin, Pedro Manuel</t>
  </si>
  <si>
    <t>30711520976</t>
  </si>
  <si>
    <t>Farm Tech Argentina S.A.</t>
  </si>
  <si>
    <t>30539026433</t>
  </si>
  <si>
    <t>Ferbodial Sociedad Anonima</t>
  </si>
  <si>
    <t>20066551602</t>
  </si>
  <si>
    <t>Fernandez, Carlos Alberto</t>
  </si>
  <si>
    <t>20244005080</t>
  </si>
  <si>
    <t>Fernandez, Diego Javier</t>
  </si>
  <si>
    <t>27352794746</t>
  </si>
  <si>
    <t>Fernandez, Maria Florencia</t>
  </si>
  <si>
    <t>30689138051</t>
  </si>
  <si>
    <t>Finlar S A</t>
  </si>
  <si>
    <t>27311052220</t>
  </si>
  <si>
    <t>Fleitas, Cristina Soledad</t>
  </si>
  <si>
    <t>20171708649</t>
  </si>
  <si>
    <t>Florentin, Carlos Miguel</t>
  </si>
  <si>
    <t>27330645356</t>
  </si>
  <si>
    <t>Flores, Cecilia Noemi</t>
  </si>
  <si>
    <t>20-32294394-7</t>
  </si>
  <si>
    <t>Fonseca, Miguel Angel</t>
  </si>
  <si>
    <t>20259447063</t>
  </si>
  <si>
    <t>Fontana, Leonardo Sebastian</t>
  </si>
  <si>
    <t>20312018730</t>
  </si>
  <si>
    <t>Fontana, Ruben Martin</t>
  </si>
  <si>
    <t>30622977652</t>
  </si>
  <si>
    <t>Franklin Santiago Boglich Srl</t>
  </si>
  <si>
    <t>20342047255</t>
  </si>
  <si>
    <t>Frare, Mario Emanuel</t>
  </si>
  <si>
    <t>20364436581</t>
  </si>
  <si>
    <t>Fruet, Matias Jesus</t>
  </si>
  <si>
    <t>33708819919</t>
  </si>
  <si>
    <t>G.N.P.  S.R.L.</t>
  </si>
  <si>
    <t>30714395196</t>
  </si>
  <si>
    <t>Galeno Seguros S.A.</t>
  </si>
  <si>
    <t>20368065723</t>
  </si>
  <si>
    <t>Gallastegui, Marcos</t>
  </si>
  <si>
    <t>20349761980</t>
  </si>
  <si>
    <t>Galli, Federico</t>
  </si>
  <si>
    <t>+54 9 3400 65-9091</t>
  </si>
  <si>
    <t>20109886913</t>
  </si>
  <si>
    <t>Garcia, Ricardo Hector</t>
  </si>
  <si>
    <t>20119871213</t>
  </si>
  <si>
    <t>Gatto, Horacio Antonio</t>
  </si>
  <si>
    <t>23164984869</t>
  </si>
  <si>
    <t>Gironacci, Flavio Damian</t>
  </si>
  <si>
    <t>27148534034</t>
  </si>
  <si>
    <t>Giuliante, Maria Ester</t>
  </si>
  <si>
    <t>30717482324</t>
  </si>
  <si>
    <t>Glg Servicios S. R. L.</t>
  </si>
  <si>
    <t>27375674675</t>
  </si>
  <si>
    <t>Gomez, Ana Florencia</t>
  </si>
  <si>
    <t>27175675731</t>
  </si>
  <si>
    <t>Gonzalez, Maria Cristina</t>
  </si>
  <si>
    <t>33715398449</t>
  </si>
  <si>
    <t>Greener Srl</t>
  </si>
  <si>
    <t>27297604754</t>
  </si>
  <si>
    <t>Gregoraschuk, Andrea Soledad</t>
  </si>
  <si>
    <t>30535812515</t>
  </si>
  <si>
    <t>Gruas Transportes S.R.L.</t>
  </si>
  <si>
    <t>30615357584</t>
  </si>
  <si>
    <t>Grupo Prialis S.R.L.</t>
  </si>
  <si>
    <t>20167940383</t>
  </si>
  <si>
    <t>Guerrero, Nestor Pedro</t>
  </si>
  <si>
    <t>30707577734</t>
  </si>
  <si>
    <t>H Y T C S.A</t>
  </si>
  <si>
    <t>20247551337</t>
  </si>
  <si>
    <t>Herrero Anzorena, Matias</t>
  </si>
  <si>
    <t>33667064819</t>
  </si>
  <si>
    <t>Hipolito  S R L</t>
  </si>
  <si>
    <t>23298459949</t>
  </si>
  <si>
    <t>Hoidelfio, Marcelo Daniel</t>
  </si>
  <si>
    <t>30594406261</t>
  </si>
  <si>
    <t>Hotel Embajador Sociedad De Hecho De Piatti R E Cucco C W Nicebe H Y Arese F V</t>
  </si>
  <si>
    <t>a_001090</t>
  </si>
  <si>
    <t>IIBB Buenos Aires a pagar</t>
  </si>
  <si>
    <t>27238148850</t>
  </si>
  <si>
    <t>Iglesia, Flavia Graciela</t>
  </si>
  <si>
    <t>30674151426</t>
  </si>
  <si>
    <t>Instituto Autarquico Provincial De Industrias Penitenciarias</t>
  </si>
  <si>
    <t>30708956267</t>
  </si>
  <si>
    <t>Intercontainers Shipping &amp; Trading S.A.</t>
  </si>
  <si>
    <t>30709516309</t>
  </si>
  <si>
    <t>Itin S.A.</t>
  </si>
  <si>
    <t>30707943625</t>
  </si>
  <si>
    <t>J. A. Castellano  Srl</t>
  </si>
  <si>
    <t>20294180754</t>
  </si>
  <si>
    <t>Jaime, Leandro Oscar</t>
  </si>
  <si>
    <t>20292616512</t>
  </si>
  <si>
    <t>Josso, Romina Vanesa</t>
  </si>
  <si>
    <t>30547498271</t>
  </si>
  <si>
    <t>Julio Gonzalez E Hijos S.R.L.</t>
  </si>
  <si>
    <t>23123566084</t>
  </si>
  <si>
    <t>Kaminski, Victoria Carmen</t>
  </si>
  <si>
    <t>23168939469</t>
  </si>
  <si>
    <t>Karaseur, Jose Alejandro</t>
  </si>
  <si>
    <t>+54 9 11 5728-9941</t>
  </si>
  <si>
    <t>20202419519</t>
  </si>
  <si>
    <t>Kopp, Roberto Arturo</t>
  </si>
  <si>
    <t>30703536316</t>
  </si>
  <si>
    <t>La Gasolinera  S R L</t>
  </si>
  <si>
    <t>30714582352</t>
  </si>
  <si>
    <t>La Rotonda Combustibles Srl</t>
  </si>
  <si>
    <t>27255478295</t>
  </si>
  <si>
    <t>Lamas, Erica Gisela</t>
  </si>
  <si>
    <t>23334777979</t>
  </si>
  <si>
    <t>Lanuti, Hernan Gabriel</t>
  </si>
  <si>
    <t>23957768849</t>
  </si>
  <si>
    <t>Leal Fuentes, Francisco Javier</t>
  </si>
  <si>
    <t>20317523441</t>
  </si>
  <si>
    <t>Liporace, Nicolas</t>
  </si>
  <si>
    <t>20300741526</t>
  </si>
  <si>
    <t>Lopez, Sebastian Daniel Rene</t>
  </si>
  <si>
    <t>30710469268</t>
  </si>
  <si>
    <t>Los Profesionales Sociedad Anonima</t>
  </si>
  <si>
    <t>20083007282</t>
  </si>
  <si>
    <t>Lovey, Carlos Alberto</t>
  </si>
  <si>
    <t>20083743256</t>
  </si>
  <si>
    <t>Luciani, Jose Domingo</t>
  </si>
  <si>
    <t>30596513588</t>
  </si>
  <si>
    <t>Luis Giardili S A</t>
  </si>
  <si>
    <t>30716884151</t>
  </si>
  <si>
    <t>Lurigo Combustibles S.A.</t>
  </si>
  <si>
    <t>30557676798</t>
  </si>
  <si>
    <t>M R Cavalieri Sociedad Anonima</t>
  </si>
  <si>
    <t>30709838322</t>
  </si>
  <si>
    <t>Mace S R L</t>
  </si>
  <si>
    <t>30573550788</t>
  </si>
  <si>
    <t>Madetec Sa</t>
  </si>
  <si>
    <t>20164389287</t>
  </si>
  <si>
    <t>Magallan, Anibal Mario</t>
  </si>
  <si>
    <t>30709543969</t>
  </si>
  <si>
    <t>Mansue S A</t>
  </si>
  <si>
    <t>30707944796</t>
  </si>
  <si>
    <t>Maquinarias Y Rezagos Industriales S.R.L.</t>
  </si>
  <si>
    <t>30716772701</t>
  </si>
  <si>
    <t>Maquinas Y Fuegos S.A</t>
  </si>
  <si>
    <t>20060733792</t>
  </si>
  <si>
    <t>Maragliano, Vicente</t>
  </si>
  <si>
    <t>20180645242</t>
  </si>
  <si>
    <t>Marcantoni, Gustavo Ruben</t>
  </si>
  <si>
    <t>20397561438</t>
  </si>
  <si>
    <t>Marraccini, Michael Nahuel</t>
  </si>
  <si>
    <t>30608964076</t>
  </si>
  <si>
    <t>Martin Barrocas Y Cia Srl</t>
  </si>
  <si>
    <t>a_001127</t>
  </si>
  <si>
    <t>Martin Errante Diversos</t>
  </si>
  <si>
    <t>20289127071</t>
  </si>
  <si>
    <t>Martinez, Federico</t>
  </si>
  <si>
    <t>20227900211</t>
  </si>
  <si>
    <t>Martinez, Pedro Fabian</t>
  </si>
  <si>
    <t>24233829303</t>
  </si>
  <si>
    <t>Marzo, Arnoldo Gabriel</t>
  </si>
  <si>
    <t>20283091334</t>
  </si>
  <si>
    <t>Masciarelli, Laureano Nicolas</t>
  </si>
  <si>
    <t>a_001132</t>
  </si>
  <si>
    <t>Matias Perez</t>
  </si>
  <si>
    <t>20359567732</t>
  </si>
  <si>
    <t>Menichelli, Matias</t>
  </si>
  <si>
    <t>20180644807</t>
  </si>
  <si>
    <t>Meoniz, Jose Luis</t>
  </si>
  <si>
    <t>20110707593</t>
  </si>
  <si>
    <t>Mercado, Miguel Angel</t>
  </si>
  <si>
    <t>20260022378</t>
  </si>
  <si>
    <t>Michelotti, Juan Pablo</t>
  </si>
  <si>
    <t>30999184401</t>
  </si>
  <si>
    <t>Ministerio De  Produccion Ciencia Y Tecnologia</t>
  </si>
  <si>
    <t>20061819097</t>
  </si>
  <si>
    <t>Mohamed, Ramon Antonio</t>
  </si>
  <si>
    <t>20226550756</t>
  </si>
  <si>
    <t>Molina Carranza, Hernan</t>
  </si>
  <si>
    <t>30-70710560-3</t>
  </si>
  <si>
    <t>Molino Arrocero Milenium S. A.</t>
  </si>
  <si>
    <t>27389790236</t>
  </si>
  <si>
    <t>Molisani, Jaquelina Yanet</t>
  </si>
  <si>
    <t>30715547623</t>
  </si>
  <si>
    <t>Mon S.R.L.</t>
  </si>
  <si>
    <t>20134934485</t>
  </si>
  <si>
    <t>Moreno, Roberto</t>
  </si>
  <si>
    <t>27325135153</t>
  </si>
  <si>
    <t>Morist, Ailen Marina</t>
  </si>
  <si>
    <t>30711228558</t>
  </si>
  <si>
    <t>Morro Hnas</t>
  </si>
  <si>
    <t>20058709469</t>
  </si>
  <si>
    <t>Muller, Aurelio</t>
  </si>
  <si>
    <t>30581096743</t>
  </si>
  <si>
    <t>Mutual Asistencial Y Social</t>
  </si>
  <si>
    <t>20226831666</t>
  </si>
  <si>
    <t>Muñoz, Cristian Adrian</t>
  </si>
  <si>
    <t>30716544040</t>
  </si>
  <si>
    <t>My Beiyet Srl</t>
  </si>
  <si>
    <t>23244114679</t>
  </si>
  <si>
    <t>Narvae, Alejandro Bernabe</t>
  </si>
  <si>
    <t>30710685394</t>
  </si>
  <si>
    <t>Nehuen-Puque S.R.L.</t>
  </si>
  <si>
    <t>30715073036</t>
  </si>
  <si>
    <t>Nestor Ambrogio Sociedad De Responsabilidad Limitada</t>
  </si>
  <si>
    <t>30607104596</t>
  </si>
  <si>
    <t>Nicastro Hnos Y Gordillo Srl</t>
  </si>
  <si>
    <t>a_001154</t>
  </si>
  <si>
    <t>Nicolas Avellino Diversos</t>
  </si>
  <si>
    <t>20147298669</t>
  </si>
  <si>
    <t>Nicoletti, Carlos Alberto</t>
  </si>
  <si>
    <t>27139574562</t>
  </si>
  <si>
    <t>Ochoa, Susana Beatriz</t>
  </si>
  <si>
    <t>30707467149</t>
  </si>
  <si>
    <t>Oeste G.N.C. S.A.</t>
  </si>
  <si>
    <t>30708081112</t>
  </si>
  <si>
    <t>Oleiros Sa</t>
  </si>
  <si>
    <t>20348859995</t>
  </si>
  <si>
    <t>Omar, Yasser Arif</t>
  </si>
  <si>
    <t>30711810966</t>
  </si>
  <si>
    <t>Omega Trans S.R.L.</t>
  </si>
  <si>
    <t>20149219014</t>
  </si>
  <si>
    <t>Oriolo, Rogelio Mariano</t>
  </si>
  <si>
    <t>23121103044</t>
  </si>
  <si>
    <t>Orsi, Ines Teresita</t>
  </si>
  <si>
    <t>20118747128</t>
  </si>
  <si>
    <t>Otermin, Jorge Raul</t>
  </si>
  <si>
    <t>20284629958</t>
  </si>
  <si>
    <t>Oubiña, Martin</t>
  </si>
  <si>
    <t>20320960674</t>
  </si>
  <si>
    <t>Paez, Marcelo Carlos</t>
  </si>
  <si>
    <t>27057814298</t>
  </si>
  <si>
    <t>Pagura, Ana Maria</t>
  </si>
  <si>
    <t>23178698109</t>
  </si>
  <si>
    <t>Panero, Daniel Horacio</t>
  </si>
  <si>
    <t>30668772427</t>
  </si>
  <si>
    <t>Parador Lucila S.A.</t>
  </si>
  <si>
    <t>20300816917</t>
  </si>
  <si>
    <t>Parodi, Santiago</t>
  </si>
  <si>
    <t>20163448603</t>
  </si>
  <si>
    <t>Paule, German</t>
  </si>
  <si>
    <t>20116765110</t>
  </si>
  <si>
    <t>Peralta, Jorge Alberto</t>
  </si>
  <si>
    <t>27227972748</t>
  </si>
  <si>
    <t>Peralta, Monica Del Valle</t>
  </si>
  <si>
    <t>30707420967</t>
  </si>
  <si>
    <t>Petrobig S.R.L.</t>
  </si>
  <si>
    <t>30659879685</t>
  </si>
  <si>
    <t>Petrolgas Ezeiza S R L</t>
  </si>
  <si>
    <t>20131974036</t>
  </si>
  <si>
    <t>Petruszynski, Hugo Cesar</t>
  </si>
  <si>
    <t>23255054449</t>
  </si>
  <si>
    <t>Piatti, Cristian Leonardo</t>
  </si>
  <si>
    <t>30714668591</t>
  </si>
  <si>
    <t>Pinamotos S.R.L.</t>
  </si>
  <si>
    <t>27120462879</t>
  </si>
  <si>
    <t>Pinero, Fabiana Alicia</t>
  </si>
  <si>
    <t>a_001180</t>
  </si>
  <si>
    <t>Plan AFIP M645044</t>
  </si>
  <si>
    <t>a_001182</t>
  </si>
  <si>
    <t>Plan AFIP P650648</t>
  </si>
  <si>
    <t>a_001183</t>
  </si>
  <si>
    <t>Plan AFIP R414537</t>
  </si>
  <si>
    <t>a_001184</t>
  </si>
  <si>
    <t>Plan AFIP R574789</t>
  </si>
  <si>
    <t>20130708359</t>
  </si>
  <si>
    <t>Pochettino, Mario Eladio</t>
  </si>
  <si>
    <t>30621244104</t>
  </si>
  <si>
    <t>Poliresinas San Luis Sociedad Anonima</t>
  </si>
  <si>
    <t>30709435562</t>
  </si>
  <si>
    <t>Portal Ceres Hotel Srl</t>
  </si>
  <si>
    <t>30709944416</t>
  </si>
  <si>
    <t>Portar S.A.</t>
  </si>
  <si>
    <t>30620177497</t>
  </si>
  <si>
    <t>Posnet Sociedad De Responsabilidad Limitada</t>
  </si>
  <si>
    <t>30714287709</t>
  </si>
  <si>
    <t>Posta De Funes S.A</t>
  </si>
  <si>
    <t>30714467677</t>
  </si>
  <si>
    <t>Productos De Soja Srl</t>
  </si>
  <si>
    <t>30-71730270-9</t>
  </si>
  <si>
    <t>Qubo Finanzas S.R.L.</t>
  </si>
  <si>
    <t>27244792141</t>
  </si>
  <si>
    <t>Ramos, Luciana Cecilia</t>
  </si>
  <si>
    <t>20238072922</t>
  </si>
  <si>
    <t>Real, Guillermo Armando</t>
  </si>
  <si>
    <t>30700361493</t>
  </si>
  <si>
    <t>Reama S R L</t>
  </si>
  <si>
    <t>30708714026</t>
  </si>
  <si>
    <t>Red De Servicios Rurales S.R.L.</t>
  </si>
  <si>
    <t>20305903931</t>
  </si>
  <si>
    <t>Reitano, Leandro Martin</t>
  </si>
  <si>
    <t>20228935221</t>
  </si>
  <si>
    <t>Renfijes, Jorge Antonio</t>
  </si>
  <si>
    <t>20257128599</t>
  </si>
  <si>
    <t>Renison, Brian</t>
  </si>
  <si>
    <t>30712362266</t>
  </si>
  <si>
    <t>Rex Insumos Medicos S.A.</t>
  </si>
  <si>
    <t>23140160229</t>
  </si>
  <si>
    <t>Ricciardi, Virginio Antonio</t>
  </si>
  <si>
    <t>20049784601</t>
  </si>
  <si>
    <t>Rinaudo, Ernesto Bartolome</t>
  </si>
  <si>
    <t>30-70356593-6</t>
  </si>
  <si>
    <t>Rivestimento S R L</t>
  </si>
  <si>
    <t>30-61562646-1</t>
  </si>
  <si>
    <t>Riviera Palace S.A.</t>
  </si>
  <si>
    <t>20210032186</t>
  </si>
  <si>
    <t>Rocciolino, Sergio Miguel</t>
  </si>
  <si>
    <t>30717191893</t>
  </si>
  <si>
    <t>Romava</t>
  </si>
  <si>
    <t>27259006061</t>
  </si>
  <si>
    <t>Romero, Valeria</t>
  </si>
  <si>
    <t>30516575529</t>
  </si>
  <si>
    <t>Rosario Confort S R L</t>
  </si>
  <si>
    <t>30693657977</t>
  </si>
  <si>
    <t>Rosario Valores Sa</t>
  </si>
  <si>
    <t>20182624854</t>
  </si>
  <si>
    <t>Rosch, Exequiel Alejandro</t>
  </si>
  <si>
    <t>20104112715</t>
  </si>
  <si>
    <t>Rosello, Miguel Angel</t>
  </si>
  <si>
    <t>27266944204</t>
  </si>
  <si>
    <t>Sabadotto, Maria Georgina</t>
  </si>
  <si>
    <t>30707118675</t>
  </si>
  <si>
    <t>Saby Hermanos S R L</t>
  </si>
  <si>
    <t>23060461619</t>
  </si>
  <si>
    <t>Salinas, Luis Maria</t>
  </si>
  <si>
    <t>27319673186</t>
  </si>
  <si>
    <t>Salvatierra, Carolina Noemi</t>
  </si>
  <si>
    <t>20163059062</t>
  </si>
  <si>
    <t>Sanchez, Miguel Angel</t>
  </si>
  <si>
    <t>20323318922</t>
  </si>
  <si>
    <t>Santamaria, Agustin Oscar</t>
  </si>
  <si>
    <t>20241941427</t>
  </si>
  <si>
    <t>Santos Mariano</t>
  </si>
  <si>
    <t>20331202976</t>
  </si>
  <si>
    <t>Saucedo, Fabio David</t>
  </si>
  <si>
    <t>27140811829</t>
  </si>
  <si>
    <t>Scavone, Liliana Graciela</t>
  </si>
  <si>
    <t>27353268630</t>
  </si>
  <si>
    <t>Schmitd, Laura Margarita</t>
  </si>
  <si>
    <t>20326941825</t>
  </si>
  <si>
    <t>Segarra, Facundo Roman</t>
  </si>
  <si>
    <t>24318211</t>
  </si>
  <si>
    <t>Seleme Mario Cesar</t>
  </si>
  <si>
    <t>20243182116</t>
  </si>
  <si>
    <t>Seleme, Mario Cesar</t>
  </si>
  <si>
    <t>30715713868</t>
  </si>
  <si>
    <t>Servicios De Gruas Y Logistica Bellandi S.R.L.</t>
  </si>
  <si>
    <t>30715046357</t>
  </si>
  <si>
    <t>Shueiz Solutions Srl</t>
  </si>
  <si>
    <t>30713269103</t>
  </si>
  <si>
    <t>Silza S.R.L.</t>
  </si>
  <si>
    <t>20125266909</t>
  </si>
  <si>
    <t>Singarella, Ricardo Orlando</t>
  </si>
  <si>
    <t>+54 9 341 693-0825</t>
  </si>
  <si>
    <t>30619593231</t>
  </si>
  <si>
    <t>Sipel S R L</t>
  </si>
  <si>
    <t>20234183029</t>
  </si>
  <si>
    <t>Sirolesi, Andres Del Lujan</t>
  </si>
  <si>
    <t>20242747667</t>
  </si>
  <si>
    <t>Smorchewski, Leonardo Otto</t>
  </si>
  <si>
    <t>30657699442</t>
  </si>
  <si>
    <t>Socom S R L</t>
  </si>
  <si>
    <t>23226982809</t>
  </si>
  <si>
    <t>Solis, German Claudio</t>
  </si>
  <si>
    <t>30708195827</t>
  </si>
  <si>
    <t>Soluciones Agropecuarias Srl</t>
  </si>
  <si>
    <t>30711871485</t>
  </si>
  <si>
    <t>Storage Compat S.A.</t>
  </si>
  <si>
    <t>27409710234</t>
  </si>
  <si>
    <t>Stringaro, Luz</t>
  </si>
  <si>
    <t>30710826346</t>
  </si>
  <si>
    <t>Surcan  S.A.</t>
  </si>
  <si>
    <t>27320730703</t>
  </si>
  <si>
    <t>Svegliatti, Romina</t>
  </si>
  <si>
    <t>30711899754</t>
  </si>
  <si>
    <t>Tante Lotte S.A.</t>
  </si>
  <si>
    <t>27349333630</t>
  </si>
  <si>
    <t>Tauzy, Astrid</t>
  </si>
  <si>
    <t>30715070010</t>
  </si>
  <si>
    <t>Tecno Consulting S.A.</t>
  </si>
  <si>
    <t>20237864515</t>
  </si>
  <si>
    <t>Tenaglia, Cristian Andres</t>
  </si>
  <si>
    <t>30708096063</t>
  </si>
  <si>
    <t>Terminal Puerto Rosario S.A.</t>
  </si>
  <si>
    <t>20243225788</t>
  </si>
  <si>
    <t>Testaseca, Diego Gustavo</t>
  </si>
  <si>
    <t>30645072770</t>
  </si>
  <si>
    <t>Texon Srl</t>
  </si>
  <si>
    <t>30716514060</t>
  </si>
  <si>
    <t>Tierra De Oportunidades S.A.</t>
  </si>
  <si>
    <t>30661685731</t>
  </si>
  <si>
    <t>Tio Musa Sociedad Anonima</t>
  </si>
  <si>
    <t>20083743183</t>
  </si>
  <si>
    <t>Tombolini, Osvaldo Natalio</t>
  </si>
  <si>
    <t>20137202019</t>
  </si>
  <si>
    <t>Tonelli, Daniel Roberto</t>
  </si>
  <si>
    <t>20258497008</t>
  </si>
  <si>
    <t>Torres, Luciano Sebastian</t>
  </si>
  <si>
    <t>30709024902</t>
  </si>
  <si>
    <t>Transfenor Srl</t>
  </si>
  <si>
    <t>30709916072</t>
  </si>
  <si>
    <t>Transportadora Cusit Sociedad De Responsabilidad Limitada</t>
  </si>
  <si>
    <t>30710483953</t>
  </si>
  <si>
    <t>Transporte Frasca Y Asociados Srl</t>
  </si>
  <si>
    <t>30685493892</t>
  </si>
  <si>
    <t>Transporte Los Primos S R L</t>
  </si>
  <si>
    <t>30709340235</t>
  </si>
  <si>
    <t>Transportes Fraser Sociedad De Responsabilidad Limitada</t>
  </si>
  <si>
    <t>30716529858</t>
  </si>
  <si>
    <t>Transportes Gm Sociedad Por Acciones Simplificada</t>
  </si>
  <si>
    <t>+54 9 341 365-4651</t>
  </si>
  <si>
    <t>30711984174</t>
  </si>
  <si>
    <t>Triada Mayor Srl</t>
  </si>
  <si>
    <t>20-22040576-2</t>
  </si>
  <si>
    <t>Tuttolomondo, Esteban Vicente</t>
  </si>
  <si>
    <t>20225422843</t>
  </si>
  <si>
    <t>VIVALDA MAXIMILIANO</t>
  </si>
  <si>
    <t>27389791712</t>
  </si>
  <si>
    <t>Valoppi, Brenda Yael</t>
  </si>
  <si>
    <t>23325876549</t>
  </si>
  <si>
    <t>Van Zandweghe, Lucas Ariel</t>
  </si>
  <si>
    <t>20064408705</t>
  </si>
  <si>
    <t>Vanni, Domingo Lorenzo</t>
  </si>
  <si>
    <t>a_001269</t>
  </si>
  <si>
    <t>Vercesi Diversos</t>
  </si>
  <si>
    <t>27253642306</t>
  </si>
  <si>
    <t>Viale, Daniela Fernanda</t>
  </si>
  <si>
    <t>23367380934</t>
  </si>
  <si>
    <t>Villarruel, Micaela</t>
  </si>
  <si>
    <t>20180645773</t>
  </si>
  <si>
    <t>Virgili, Adrian Fabio</t>
  </si>
  <si>
    <t>20062425688</t>
  </si>
  <si>
    <t>Viscarra, Carlos Alberto</t>
  </si>
  <si>
    <t>20294526197</t>
  </si>
  <si>
    <t>Viñes, Matias Emanuel</t>
  </si>
  <si>
    <t>20112727192</t>
  </si>
  <si>
    <t>Wacker, Osvaldo Roberto</t>
  </si>
  <si>
    <t>20265641238</t>
  </si>
  <si>
    <t>Welschen, Pablo Martin</t>
  </si>
  <si>
    <t>30710082428</t>
  </si>
  <si>
    <t>Wine Gas Sociedad Anonima</t>
  </si>
  <si>
    <t>20371553976</t>
  </si>
  <si>
    <t>Yosti, Emiliano Eduardo</t>
  </si>
  <si>
    <t>23165737504</t>
  </si>
  <si>
    <t>Zarate, Leticia Beatriz Noem</t>
  </si>
  <si>
    <t>20179721180</t>
  </si>
  <si>
    <t>Zilli, Gustavo Hernan</t>
  </si>
  <si>
    <t>ignacio Test</t>
  </si>
  <si>
    <t>igodoi@worms.ar</t>
  </si>
  <si>
    <t>a_001282</t>
  </si>
  <si>
    <t>30-62833684-5</t>
  </si>
  <si>
    <t>30712003835</t>
  </si>
  <si>
    <t>A.N. Agro Srl</t>
  </si>
  <si>
    <t>20330824558</t>
  </si>
  <si>
    <t>Abiad, David Alejandro</t>
  </si>
  <si>
    <t>30709010383</t>
  </si>
  <si>
    <t>Acopios Del Sur Sa</t>
  </si>
  <si>
    <t>33693450239</t>
  </si>
  <si>
    <t>Administracion Federal De Ingresos Publicos</t>
  </si>
  <si>
    <t>30716330016</t>
  </si>
  <si>
    <t>Agro Rios &amp; Tieri Srl</t>
  </si>
  <si>
    <t>30500852131</t>
  </si>
  <si>
    <t>Air Liquide Argentina S. A.</t>
  </si>
  <si>
    <t>33711430259</t>
  </si>
  <si>
    <t>Amers S.R.L.</t>
  </si>
  <si>
    <t>30708214031</t>
  </si>
  <si>
    <t>Amoblamientos Nexo De Garbuglio Sebastian Leopoldo Y Debernardi Daniel Alberto</t>
  </si>
  <si>
    <t>20296064441</t>
  </si>
  <si>
    <t>Andrian, Emanuel</t>
  </si>
  <si>
    <t>27434243632</t>
  </si>
  <si>
    <t>Anelli, Maria Virginia</t>
  </si>
  <si>
    <t>27454885959</t>
  </si>
  <si>
    <t>Aragon Ana Paula</t>
  </si>
  <si>
    <t>20305902153</t>
  </si>
  <si>
    <t>Arias, Augusto Mariano</t>
  </si>
  <si>
    <t>30586423513</t>
  </si>
  <si>
    <t>Arneg Argentina S.A.</t>
  </si>
  <si>
    <t>30710210620</t>
  </si>
  <si>
    <t>Asociacion Civil De Desarrollo Y Promocion Social (Dyps)</t>
  </si>
  <si>
    <t>30715967304</t>
  </si>
  <si>
    <t>Audio Luz S.R.L.</t>
  </si>
  <si>
    <t>30708613874</t>
  </si>
  <si>
    <t>B Y M S.R.L.</t>
  </si>
  <si>
    <t>27271344134</t>
  </si>
  <si>
    <t>Baidon, Yamile Andrea</t>
  </si>
  <si>
    <t>30500008454</t>
  </si>
  <si>
    <t>Banco Santander Argentina Sociedad Anonima</t>
  </si>
  <si>
    <t>23302933979</t>
  </si>
  <si>
    <t>Baro, Maximiliano Jose Gabriel</t>
  </si>
  <si>
    <t>20263190166</t>
  </si>
  <si>
    <t>Basso, Guillermo Andres</t>
  </si>
  <si>
    <t>20305321614</t>
  </si>
  <si>
    <t>20257127045</t>
  </si>
  <si>
    <t>Bernal, Andres Ruben</t>
  </si>
  <si>
    <t>30716128179</t>
  </si>
  <si>
    <t>Big Boin Sa</t>
  </si>
  <si>
    <t>a_001308</t>
  </si>
  <si>
    <t>Bocanelli Mario Diversos</t>
  </si>
  <si>
    <t>30712356487</t>
  </si>
  <si>
    <t>Boor S.R.L.</t>
  </si>
  <si>
    <t>20410113911</t>
  </si>
  <si>
    <t>Branchessi, Facundo Nicolas</t>
  </si>
  <si>
    <t>27114210566</t>
  </si>
  <si>
    <t>Bufarini, Graciela Nilda</t>
  </si>
  <si>
    <t>30706053812</t>
  </si>
  <si>
    <t>Bumeran.Com Argentina Sa</t>
  </si>
  <si>
    <t>23343941854</t>
  </si>
  <si>
    <t>Bustos, Anali Soledad</t>
  </si>
  <si>
    <t>30660798605</t>
  </si>
  <si>
    <t>C G A  S A</t>
  </si>
  <si>
    <t>30707460780</t>
  </si>
  <si>
    <t>C.E.I.L. Compañia Importadora Y Exportadora S.A.</t>
  </si>
  <si>
    <t>30708334762</t>
  </si>
  <si>
    <t>Camara De Centros De Inspeccion  Vehicular</t>
  </si>
  <si>
    <t>20247334042</t>
  </si>
  <si>
    <t>Carmaran, Leonardo Julian</t>
  </si>
  <si>
    <t>20246183156</t>
  </si>
  <si>
    <t>Cavalieri, Facundo German</t>
  </si>
  <si>
    <t>20366443453</t>
  </si>
  <si>
    <t>Cavanna, Fausto Dalmiro</t>
  </si>
  <si>
    <t>30716037777</t>
  </si>
  <si>
    <t>Cca Green B S.A.</t>
  </si>
  <si>
    <t>30709026530</t>
  </si>
  <si>
    <t>Centro Pampeana Comercial S.R.L.</t>
  </si>
  <si>
    <t>20215102131</t>
  </si>
  <si>
    <t>Cesari, Gustavo Lujan</t>
  </si>
  <si>
    <t>20246749354</t>
  </si>
  <si>
    <t>Chavez, Alejandro Gabriel</t>
  </si>
  <si>
    <t>20226827359</t>
  </si>
  <si>
    <t>Cimarelli, Herman Rodrigo</t>
  </si>
  <si>
    <t>30714550906</t>
  </si>
  <si>
    <t>Cipolloni Mauro J. Y Borgeaud Esteban Soc. De Hecho</t>
  </si>
  <si>
    <t>20326483711</t>
  </si>
  <si>
    <t>Coletta, Carlos Javier</t>
  </si>
  <si>
    <t>30712128808</t>
  </si>
  <si>
    <t>Combustible Bombal Sociedad Anonima</t>
  </si>
  <si>
    <t>a_001333</t>
  </si>
  <si>
    <t>Convenio DREI 1000448306</t>
  </si>
  <si>
    <t>a_001334</t>
  </si>
  <si>
    <t>Convenio DREI 1000450784</t>
  </si>
  <si>
    <t>a_001335</t>
  </si>
  <si>
    <t>Convenio DREI 1000484733</t>
  </si>
  <si>
    <t>30717550737</t>
  </si>
  <si>
    <t>Cooperativa De Trabajo Progresarte Limitada</t>
  </si>
  <si>
    <t>20130338535</t>
  </si>
  <si>
    <t>Corradi, Victor Enrique</t>
  </si>
  <si>
    <t>20078228122</t>
  </si>
  <si>
    <t>Cozzoni, Alfonso Nazareno Pedro</t>
  </si>
  <si>
    <t>30709287792</t>
  </si>
  <si>
    <t>Cuenca S.A.</t>
  </si>
  <si>
    <t>20181081350</t>
  </si>
  <si>
    <t>Davila, Alfredo Ariel</t>
  </si>
  <si>
    <t>30711144583</t>
  </si>
  <si>
    <t>Del Castillo, Santiago Y Gonzalez Del Cerro, Joaquin ( S.H.)</t>
  </si>
  <si>
    <t>30707762345</t>
  </si>
  <si>
    <t>Delmatt S A</t>
  </si>
  <si>
    <t>33684058679</t>
  </si>
  <si>
    <t>Deltacar S A</t>
  </si>
  <si>
    <t>30598444281</t>
  </si>
  <si>
    <t>Detexa S R L</t>
  </si>
  <si>
    <t>20334490271</t>
  </si>
  <si>
    <t>Dianda, Sebastian Omar</t>
  </si>
  <si>
    <t>Digital Store Tec S.R.L.</t>
  </si>
  <si>
    <t>20284507828</t>
  </si>
  <si>
    <t>Dominguez, Diego Alfredo</t>
  </si>
  <si>
    <t>30711887438</t>
  </si>
  <si>
    <t>Don Panta S.A.</t>
  </si>
  <si>
    <t>a_001349</t>
  </si>
  <si>
    <t>Donda Sereno</t>
  </si>
  <si>
    <t>20241512682</t>
  </si>
  <si>
    <t>Duca, Sebastian Enrique</t>
  </si>
  <si>
    <t>30711569312</t>
  </si>
  <si>
    <t>El Chinchorro Srl</t>
  </si>
  <si>
    <t>30689214114</t>
  </si>
  <si>
    <t>El Delfin Blanco Soc Anonima</t>
  </si>
  <si>
    <t>33608132649</t>
  </si>
  <si>
    <t>Electricidad Serra S R L</t>
  </si>
  <si>
    <t>30708725273</t>
  </si>
  <si>
    <t>Energia &amp; Servicios S.A.</t>
  </si>
  <si>
    <t>30604883810</t>
  </si>
  <si>
    <t>Engracor Sa</t>
  </si>
  <si>
    <t>20129014955</t>
  </si>
  <si>
    <t>Espinosa, Constantino Alejandr</t>
  </si>
  <si>
    <t>30519328220</t>
  </si>
  <si>
    <t>Estacion El Surtidor S.R.L.</t>
  </si>
  <si>
    <t>30716949660</t>
  </si>
  <si>
    <t>Estacion Parador 188 S.R.L.</t>
  </si>
  <si>
    <t>a_001359</t>
  </si>
  <si>
    <t>FAECYS a pagar</t>
  </si>
  <si>
    <t>30714059080</t>
  </si>
  <si>
    <t>Fejum S.A.</t>
  </si>
  <si>
    <t>23321767109</t>
  </si>
  <si>
    <t>Ferreyra, Walter David</t>
  </si>
  <si>
    <t>20125335684</t>
  </si>
  <si>
    <t>Ferrucci, Armando Federico</t>
  </si>
  <si>
    <t>30710805365</t>
  </si>
  <si>
    <t>Forlin Neumaticos S.R.L.</t>
  </si>
  <si>
    <t>30711647135</t>
  </si>
  <si>
    <t>Fourmax S.R.L.</t>
  </si>
  <si>
    <t>30632219055</t>
  </si>
  <si>
    <t>Frali Sa</t>
  </si>
  <si>
    <t>30526874249</t>
  </si>
  <si>
    <t>Fravega S A C I E I</t>
  </si>
  <si>
    <t>27165367788</t>
  </si>
  <si>
    <t>Galan, Alejandra Nidia</t>
  </si>
  <si>
    <t>30637927333</t>
  </si>
  <si>
    <t>Gallara Y Cia S.A.</t>
  </si>
  <si>
    <t>20368489698</t>
  </si>
  <si>
    <t>Galligani, Damian</t>
  </si>
  <si>
    <t>20132205842</t>
  </si>
  <si>
    <t>Galligani, Jorge</t>
  </si>
  <si>
    <t>33711343909</t>
  </si>
  <si>
    <t>Galo S.R.L.</t>
  </si>
  <si>
    <t>30707357467</t>
  </si>
  <si>
    <t>Galos S.R.L.</t>
  </si>
  <si>
    <t>20244170006</t>
  </si>
  <si>
    <t>Garcia, Diego Alfredo</t>
  </si>
  <si>
    <t>30709877794</t>
  </si>
  <si>
    <t>Geaval Srl</t>
  </si>
  <si>
    <t>20290799318</t>
  </si>
  <si>
    <t>Gerbino, Gustavo Alejandro</t>
  </si>
  <si>
    <t>30520231346</t>
  </si>
  <si>
    <t>Giorgi Automotores S.A</t>
  </si>
  <si>
    <t>27167432633</t>
  </si>
  <si>
    <t>Gomez, Mirian Concepcion</t>
  </si>
  <si>
    <t>20131006277</t>
  </si>
  <si>
    <t>Gonzalez, Gabriel Oscar</t>
  </si>
  <si>
    <t>20123600534</t>
  </si>
  <si>
    <t>Graciano, Omar Horacio</t>
  </si>
  <si>
    <t>20054100605</t>
  </si>
  <si>
    <t>Graells, Nelson Antonio</t>
  </si>
  <si>
    <t>27306861404</t>
  </si>
  <si>
    <t>Grignafini, Marilina</t>
  </si>
  <si>
    <t>27258400181</t>
  </si>
  <si>
    <t>Gross, Paula Marina</t>
  </si>
  <si>
    <t>30709330949</t>
  </si>
  <si>
    <t>Grupo Autopartista S.A.</t>
  </si>
  <si>
    <t>30625378210</t>
  </si>
  <si>
    <t>Grupo Editorial Planeta Saic</t>
  </si>
  <si>
    <t>30716022362</t>
  </si>
  <si>
    <t>Grupo Norte Multipartes S.R.L.</t>
  </si>
  <si>
    <t>20255242823</t>
  </si>
  <si>
    <t>Guirin, Mariano Ariel</t>
  </si>
  <si>
    <t>30718173546</t>
  </si>
  <si>
    <t>Hege S.R.L.</t>
  </si>
  <si>
    <t>20313847390</t>
  </si>
  <si>
    <t>Hegi, Diego Hernan</t>
  </si>
  <si>
    <t>30518089982</t>
  </si>
  <si>
    <t>Herrero Srl</t>
  </si>
  <si>
    <t>a_001392</t>
  </si>
  <si>
    <t>Honorarios Rep Fisco</t>
  </si>
  <si>
    <t>33558643639</t>
  </si>
  <si>
    <t>Hotel Presidente Rosario Sociedad Anonima</t>
  </si>
  <si>
    <t>20336862559</t>
  </si>
  <si>
    <t>Hovanyecz, Milton Elias</t>
  </si>
  <si>
    <t>a_001395</t>
  </si>
  <si>
    <t>IIBB Catamarca a pagar</t>
  </si>
  <si>
    <t>a_001396</t>
  </si>
  <si>
    <t>IIBB Corrientes a pagar</t>
  </si>
  <si>
    <t>a_001397</t>
  </si>
  <si>
    <t>IIBB Córdoba a pagar</t>
  </si>
  <si>
    <t>a_001398</t>
  </si>
  <si>
    <t>IIBB Entre Ríos a pagar</t>
  </si>
  <si>
    <t>a_001399</t>
  </si>
  <si>
    <t>IIBB Misiones a pagar</t>
  </si>
  <si>
    <t>a_001400</t>
  </si>
  <si>
    <t>IIBB San Luis a pagar</t>
  </si>
  <si>
    <t>a_001401</t>
  </si>
  <si>
    <t>IIBB Santa Fe a pagar</t>
  </si>
  <si>
    <t>a_001402</t>
  </si>
  <si>
    <t>INACAP a pagar</t>
  </si>
  <si>
    <t>a_001403</t>
  </si>
  <si>
    <t>IVA a pagar</t>
  </si>
  <si>
    <t>30710321465</t>
  </si>
  <si>
    <t>Indutank S.A.</t>
  </si>
  <si>
    <t>30716781042</t>
  </si>
  <si>
    <t>Inoxidables Norte</t>
  </si>
  <si>
    <t>30715323148</t>
  </si>
  <si>
    <t>Jb Lacroux S.R.L.</t>
  </si>
  <si>
    <t>30715025120</t>
  </si>
  <si>
    <t>Jemi Srl</t>
  </si>
  <si>
    <t>a_001408</t>
  </si>
  <si>
    <t>Jorge Giacomotti Diversos</t>
  </si>
  <si>
    <t>30714259004</t>
  </si>
  <si>
    <t>Jorgelina Y Maria Jose Pesado Castro S.H.</t>
  </si>
  <si>
    <t>30715328204</t>
  </si>
  <si>
    <t>Juana Y Sus Hermanas S.R.L.</t>
  </si>
  <si>
    <t>20201730407</t>
  </si>
  <si>
    <t>Jukic, Federico Jose</t>
  </si>
  <si>
    <t>30710722656</t>
  </si>
  <si>
    <t>Kinetic S.A.</t>
  </si>
  <si>
    <t>30709210358</t>
  </si>
  <si>
    <t>La Costerita Sociedad De Responsabilidad Limitada</t>
  </si>
  <si>
    <t>20297567846</t>
  </si>
  <si>
    <t>Lahitte, Emiliano Jesus</t>
  </si>
  <si>
    <t>30707621431</t>
  </si>
  <si>
    <t>Libreria Ferrazini S A</t>
  </si>
  <si>
    <t>30708288507</t>
  </si>
  <si>
    <t>Liferni S.R.L.</t>
  </si>
  <si>
    <t>20083743329</t>
  </si>
  <si>
    <t>Lisi, Juan Carlos</t>
  </si>
  <si>
    <t>27334491310</t>
  </si>
  <si>
    <t>Livolti, Maria</t>
  </si>
  <si>
    <t>livolticerdos@gmail.com</t>
  </si>
  <si>
    <t>+54 9 3402 65-9628</t>
  </si>
  <si>
    <t>20937369760</t>
  </si>
  <si>
    <t>Lopez, Felipe</t>
  </si>
  <si>
    <t>30707477195</t>
  </si>
  <si>
    <t>Lued S.A.</t>
  </si>
  <si>
    <t>30715094130</t>
  </si>
  <si>
    <t>Luminatus Sa</t>
  </si>
  <si>
    <t>30714056618</t>
  </si>
  <si>
    <t>Mac S.R.L</t>
  </si>
  <si>
    <t>30609450483</t>
  </si>
  <si>
    <t>Maccaferri De Argentina Sociedad Anonima</t>
  </si>
  <si>
    <t>27228893442</t>
  </si>
  <si>
    <t>Madera, Florencia</t>
  </si>
  <si>
    <t>20321535152</t>
  </si>
  <si>
    <t>Mansilla, Claudio Fabian</t>
  </si>
  <si>
    <t>33562465869</t>
  </si>
  <si>
    <t>Marmoleria Bongiovanni S R L</t>
  </si>
  <si>
    <t>20233561305</t>
  </si>
  <si>
    <t>Massagli, Mariano Marino</t>
  </si>
  <si>
    <t>30707707239</t>
  </si>
  <si>
    <t>Maximiliano Diesel S.A.</t>
  </si>
  <si>
    <t>27356734152</t>
  </si>
  <si>
    <t>Medina, Alejandra Daniela</t>
  </si>
  <si>
    <t>30648243495</t>
  </si>
  <si>
    <t>Menendez Y Cia Srl</t>
  </si>
  <si>
    <t>30529414923</t>
  </si>
  <si>
    <t>Miceli Maderas S R L</t>
  </si>
  <si>
    <t>20219585277</t>
  </si>
  <si>
    <t>Migliore, Diego Fabian</t>
  </si>
  <si>
    <t>30708189266</t>
  </si>
  <si>
    <t>Miguel Distribuciones S.R.L.</t>
  </si>
  <si>
    <t>20078415712</t>
  </si>
  <si>
    <t>Miguelezzi, Jose Antonio</t>
  </si>
  <si>
    <t>27265471094</t>
  </si>
  <si>
    <t>Miguelezzi, Natalia Susana</t>
  </si>
  <si>
    <t>Millennial Capital Management</t>
  </si>
  <si>
    <t>+1 800-855-2025</t>
  </si>
  <si>
    <t>20122588921</t>
  </si>
  <si>
    <t>Mingorance, Daniel Alberto</t>
  </si>
  <si>
    <t>30709185906</t>
  </si>
  <si>
    <t>Miniello, Nicola Y Miniello, Helvio Fabio (S.H.)</t>
  </si>
  <si>
    <t>20327327780</t>
  </si>
  <si>
    <t>Miño, Rafael Antonio</t>
  </si>
  <si>
    <t>30716242249</t>
  </si>
  <si>
    <t>Mm Servicios Neumaticos Sas</t>
  </si>
  <si>
    <t>30690530585</t>
  </si>
  <si>
    <t>Moine Hnos. S.A.</t>
  </si>
  <si>
    <t>20248373998</t>
  </si>
  <si>
    <t>Moser, Diego Hernan</t>
  </si>
  <si>
    <t>23061374019</t>
  </si>
  <si>
    <t>Mozzoni, Jose Americo</t>
  </si>
  <si>
    <t>33715345329</t>
  </si>
  <si>
    <t>Muett S.R.L.</t>
  </si>
  <si>
    <t>27185182091</t>
  </si>
  <si>
    <t>Muhn, Sunilda Adriana</t>
  </si>
  <si>
    <t>a_001448</t>
  </si>
  <si>
    <t>N769909</t>
  </si>
  <si>
    <t>30708796898</t>
  </si>
  <si>
    <t>Natal Agro S.R.L.</t>
  </si>
  <si>
    <t>a_001450</t>
  </si>
  <si>
    <t>Nestor Dorado</t>
  </si>
  <si>
    <t>30710219911</t>
  </si>
  <si>
    <t>Neumaticos Der Gummi S.R.L.</t>
  </si>
  <si>
    <t>30711604541</t>
  </si>
  <si>
    <t>Nuñez S.A.</t>
  </si>
  <si>
    <t>a_001454</t>
  </si>
  <si>
    <t>OSECAC a pagar</t>
  </si>
  <si>
    <t>30709566241</t>
  </si>
  <si>
    <t>Obra Social Del Personal Asociado A Asociacion Mutual Sancor</t>
  </si>
  <si>
    <t>30716090449</t>
  </si>
  <si>
    <t>Ogp Cañuelas S.A.</t>
  </si>
  <si>
    <t>20349379717</t>
  </si>
  <si>
    <t>Olivera, Gerardo Ezequiel</t>
  </si>
  <si>
    <t>30714069442</t>
  </si>
  <si>
    <t>On The Fly S.A.</t>
  </si>
  <si>
    <t>a_001459</t>
  </si>
  <si>
    <t>Pablo Zimmerman Descuento BS AS</t>
  </si>
  <si>
    <t>30648820425</t>
  </si>
  <si>
    <t>Parador Robles S R L</t>
  </si>
  <si>
    <t>20130317198</t>
  </si>
  <si>
    <t>Pastor, Jose Miguel Antonio</t>
  </si>
  <si>
    <t>30715824244</t>
  </si>
  <si>
    <t>Pauma S.A.</t>
  </si>
  <si>
    <t>Perez Rodrigo</t>
  </si>
  <si>
    <t>30716364174</t>
  </si>
  <si>
    <t>Performa S.A.</t>
  </si>
  <si>
    <t>20134136511</t>
  </si>
  <si>
    <t>Persano, Luis Gustavo</t>
  </si>
  <si>
    <t>27208124574</t>
  </si>
  <si>
    <t>Petrone, Maria Laura</t>
  </si>
  <si>
    <t>20127242713</t>
  </si>
  <si>
    <t>Peyre, Ruben Pedro</t>
  </si>
  <si>
    <t>30506495659</t>
  </si>
  <si>
    <t>Pez Hnos Srl</t>
  </si>
  <si>
    <t>20201440808</t>
  </si>
  <si>
    <t>Pieroni, Luis Emilio</t>
  </si>
  <si>
    <t>30646512952</t>
  </si>
  <si>
    <t>Pinturerias Rex S A</t>
  </si>
  <si>
    <t>a_001472</t>
  </si>
  <si>
    <t>Plan AFIP Q640611</t>
  </si>
  <si>
    <t>a_001473</t>
  </si>
  <si>
    <t>Plan AFIP Q665611</t>
  </si>
  <si>
    <t>a_001474</t>
  </si>
  <si>
    <t>Plan AFIP Q787723</t>
  </si>
  <si>
    <t>a_001475</t>
  </si>
  <si>
    <t>Plan AFIP Q920136</t>
  </si>
  <si>
    <t>a_001476</t>
  </si>
  <si>
    <t>Plan AFIP Q927577</t>
  </si>
  <si>
    <t>a_001477</t>
  </si>
  <si>
    <t>Plan AFIP R030440</t>
  </si>
  <si>
    <t>a_001478</t>
  </si>
  <si>
    <t>Plan AFIP R033734</t>
  </si>
  <si>
    <t>a_001479</t>
  </si>
  <si>
    <t>Plan AFIP R127532</t>
  </si>
  <si>
    <t>a_001480</t>
  </si>
  <si>
    <t>Plan AFIP R228375</t>
  </si>
  <si>
    <t>a_001482</t>
  </si>
  <si>
    <t>Plan AFIP R341233</t>
  </si>
  <si>
    <t>a_001483</t>
  </si>
  <si>
    <t>Plan AFIP R470801</t>
  </si>
  <si>
    <t>a_001484</t>
  </si>
  <si>
    <t>Plan AFIP R574740</t>
  </si>
  <si>
    <t>a_001485</t>
  </si>
  <si>
    <t>Plan AFIP R838145</t>
  </si>
  <si>
    <t>a_001486</t>
  </si>
  <si>
    <t>Plan AFIP R956395</t>
  </si>
  <si>
    <t>a_001487</t>
  </si>
  <si>
    <t>Plan AFIP S089923</t>
  </si>
  <si>
    <t>a_001488</t>
  </si>
  <si>
    <t>Plan AFIP S325390</t>
  </si>
  <si>
    <t>a_001489</t>
  </si>
  <si>
    <t>Plan IIBB 49056503</t>
  </si>
  <si>
    <t>a_001490</t>
  </si>
  <si>
    <t>Plan IIBB 59108214</t>
  </si>
  <si>
    <t>a_001491</t>
  </si>
  <si>
    <t>Plan IIBB 59108223</t>
  </si>
  <si>
    <t>30715958909</t>
  </si>
  <si>
    <t>Pluriservicios El Honrado S.R.L.</t>
  </si>
  <si>
    <t>20116036240</t>
  </si>
  <si>
    <t>Pozzetto, Jose Julio</t>
  </si>
  <si>
    <t>30717352439</t>
  </si>
  <si>
    <t>Prado Maderas S. A. S.</t>
  </si>
  <si>
    <t>30711756198</t>
  </si>
  <si>
    <t>Promarlon S.A.</t>
  </si>
  <si>
    <t>20285597405</t>
  </si>
  <si>
    <t>Prosperi, Oscar Ruben</t>
  </si>
  <si>
    <t>33716316519</t>
  </si>
  <si>
    <t>Radiadores Cavallaro Srl</t>
  </si>
  <si>
    <t>30715885596</t>
  </si>
  <si>
    <t>Refineria Bahia Blanca S.A.U.</t>
  </si>
  <si>
    <t>33710600029</t>
  </si>
  <si>
    <t>Respat S.R.L.</t>
  </si>
  <si>
    <t>a_001500</t>
  </si>
  <si>
    <t>Retenciones 4º a pagar</t>
  </si>
  <si>
    <t>20301550104</t>
  </si>
  <si>
    <t>Reynoso, Juan Pablo</t>
  </si>
  <si>
    <t>23204027269</t>
  </si>
  <si>
    <t>Rizzi, Aldo Ramon</t>
  </si>
  <si>
    <t>27115218676</t>
  </si>
  <si>
    <t>Romero, Mirta Graciela</t>
  </si>
  <si>
    <t>20335966261</t>
  </si>
  <si>
    <t>Rosas Rodriguez, Gabriel Alejandro</t>
  </si>
  <si>
    <t>20132500097</t>
  </si>
  <si>
    <t>Rossi, Antonio Juan</t>
  </si>
  <si>
    <t>30717497089</t>
  </si>
  <si>
    <t>Rotulaciones Rosario S. Cap I Secc Iv</t>
  </si>
  <si>
    <t>30625035747</t>
  </si>
  <si>
    <t>Sanitarios Boer Hermanos</t>
  </si>
  <si>
    <t>20347579107</t>
  </si>
  <si>
    <t>Santinelli, Juan Facundo</t>
  </si>
  <si>
    <t>30716331489</t>
  </si>
  <si>
    <t>Sepal S.R.L.</t>
  </si>
  <si>
    <t>a_001510</t>
  </si>
  <si>
    <t>Seproa Diversos</t>
  </si>
  <si>
    <t>30671642739</t>
  </si>
  <si>
    <t>Servicios Sociedad De Responsabilidad Limitada</t>
  </si>
  <si>
    <t>30589410765</t>
  </si>
  <si>
    <t>Servifranck S R L</t>
  </si>
  <si>
    <t>30716371022</t>
  </si>
  <si>
    <t>Servilujan Combustibles Sa</t>
  </si>
  <si>
    <t>20242822472</t>
  </si>
  <si>
    <t>Seselovsky, Andres Damian</t>
  </si>
  <si>
    <t>30714425370</t>
  </si>
  <si>
    <t>Simav S.A.</t>
  </si>
  <si>
    <t>a_001516</t>
  </si>
  <si>
    <t>Sindicato AEC a pagar</t>
  </si>
  <si>
    <t>30712019421</t>
  </si>
  <si>
    <t>Sol Del Rio S.R.L.</t>
  </si>
  <si>
    <t>30707862889</t>
  </si>
  <si>
    <t>Soluciones Constructivas S.R.L.</t>
  </si>
  <si>
    <t>20179405068</t>
  </si>
  <si>
    <t>Souto, Juan Pablo</t>
  </si>
  <si>
    <t>20372304163</t>
  </si>
  <si>
    <t>Spinelli, Martin Adolfo</t>
  </si>
  <si>
    <t>30715195654</t>
  </si>
  <si>
    <t>Ssypp S.R.L.</t>
  </si>
  <si>
    <t>20216966822</t>
  </si>
  <si>
    <t>Steingard, Hector Jose</t>
  </si>
  <si>
    <t>30711912440</t>
  </si>
  <si>
    <t>Tecnofrig S.R.L</t>
  </si>
  <si>
    <t>30707457674</t>
  </si>
  <si>
    <t>Todo Servicios Srl</t>
  </si>
  <si>
    <t>30709041351</t>
  </si>
  <si>
    <t>Todopor S.R.L.</t>
  </si>
  <si>
    <t>30716367130</t>
  </si>
  <si>
    <t>Transbio S.R.L.</t>
  </si>
  <si>
    <t>30677441123</t>
  </si>
  <si>
    <t>Transcaden S R L</t>
  </si>
  <si>
    <t>30-50006577-6</t>
  </si>
  <si>
    <t>Triunfo Cooperativa De Seguros Limitada</t>
  </si>
  <si>
    <t>30501912405</t>
  </si>
  <si>
    <t>Union Agricola De Avellaneda Coop Ltda</t>
  </si>
  <si>
    <t>33712455999</t>
  </si>
  <si>
    <t>Uno Amoblamientos S.R.L.</t>
  </si>
  <si>
    <t>30708826150</t>
  </si>
  <si>
    <t>Valvulas Y Bombas Srl</t>
  </si>
  <si>
    <t>23323318409</t>
  </si>
  <si>
    <t>Verdini, Eugenio Nicolas</t>
  </si>
  <si>
    <t>a_001534</t>
  </si>
  <si>
    <t>Viejo Cimarron SA</t>
  </si>
  <si>
    <t>20297755413</t>
  </si>
  <si>
    <t>Volpe, Maximiliano Hugo</t>
  </si>
  <si>
    <t>a_001536</t>
  </si>
  <si>
    <t>Walter Ventroni</t>
  </si>
  <si>
    <t>30708805099</t>
  </si>
  <si>
    <t>Yaguarete S.R.L.</t>
  </si>
  <si>
    <t>20223030026</t>
  </si>
  <si>
    <t>Zelaschi, Alejandro Jose</t>
  </si>
  <si>
    <t>23243049024</t>
  </si>
  <si>
    <t>Zuddas, Daniela Nazaret</t>
  </si>
  <si>
    <t>a_001540</t>
  </si>
  <si>
    <t>hote</t>
  </si>
  <si>
    <t>a_001541</t>
  </si>
  <si>
    <t>lap</t>
  </si>
  <si>
    <t>a_001542</t>
  </si>
  <si>
    <t>mati</t>
  </si>
  <si>
    <t>a_001543</t>
  </si>
  <si>
    <t>poneri</t>
  </si>
  <si>
    <t/>
  </si>
  <si>
    <t>ID</t>
  </si>
  <si>
    <t>CUIT</t>
  </si>
  <si>
    <t>ESTADO</t>
  </si>
  <si>
    <t>METODO_DE_PAGO</t>
  </si>
  <si>
    <t>CUIT2</t>
  </si>
  <si>
    <t>Nombre Fantasia</t>
  </si>
  <si>
    <t>Mail</t>
  </si>
  <si>
    <t>Contacto</t>
  </si>
  <si>
    <t>Direccion</t>
  </si>
  <si>
    <t>Observaciones</t>
  </si>
  <si>
    <t>Canal de pago</t>
  </si>
  <si>
    <t>ESTADO2</t>
  </si>
  <si>
    <t>PDP</t>
  </si>
  <si>
    <t>INTERESES MORATORIO MENSUAL</t>
  </si>
  <si>
    <t>Total_con_signo_2025</t>
  </si>
  <si>
    <t>Crédito máximo asignado</t>
  </si>
  <si>
    <t>Base Aine</t>
  </si>
  <si>
    <t>GRAL</t>
  </si>
  <si>
    <t>TRANSF</t>
  </si>
  <si>
    <t>PERSONAL (C)</t>
  </si>
  <si>
    <t>Acuerdo PigBank</t>
  </si>
  <si>
    <t>Energia (C)</t>
  </si>
  <si>
    <t>MANTENIMIENTO RODADOS</t>
  </si>
  <si>
    <t>raw</t>
  </si>
  <si>
    <t>id</t>
  </si>
  <si>
    <t>rubro_fina</t>
  </si>
  <si>
    <t>Servicios</t>
  </si>
  <si>
    <t>Energía</t>
  </si>
  <si>
    <t>Fasón</t>
  </si>
  <si>
    <t>Gastos Médicos</t>
  </si>
  <si>
    <t>Gastos Operativos</t>
  </si>
  <si>
    <t>Genética</t>
  </si>
  <si>
    <t>Mentenimiento</t>
  </si>
  <si>
    <t>Mantenimiento</t>
  </si>
  <si>
    <t>Sanidad</t>
  </si>
  <si>
    <t>id_rubro</t>
  </si>
  <si>
    <t>rubro_final</t>
  </si>
  <si>
    <t>VALIDO</t>
  </si>
  <si>
    <t>MARGEN BRUTO</t>
  </si>
  <si>
    <t xml:space="preserve">BBDD IMPUESTOS </t>
  </si>
  <si>
    <t xml:space="preserve">BBDD_IMPUESTOS </t>
  </si>
  <si>
    <t>Gastos Bancarios</t>
  </si>
  <si>
    <t>IB</t>
  </si>
  <si>
    <t xml:space="preserve">DREI </t>
  </si>
  <si>
    <t xml:space="preserve">Impuestos </t>
  </si>
  <si>
    <t>Impuestos</t>
  </si>
  <si>
    <t>Banco Bica</t>
  </si>
  <si>
    <t xml:space="preserve">Municipalidad Arroyo seco </t>
  </si>
  <si>
    <t>UATRE</t>
  </si>
  <si>
    <t>AEC/INACAP</t>
  </si>
  <si>
    <t>SINDICATOS COMERCIO</t>
  </si>
  <si>
    <t>SINDICATOS CARNE</t>
  </si>
  <si>
    <t xml:space="preserve">Deuda </t>
  </si>
  <si>
    <t>deuda_ok</t>
  </si>
  <si>
    <t>capex_ok</t>
  </si>
  <si>
    <t>opex_ok</t>
  </si>
  <si>
    <t>UTILIDAD</t>
  </si>
  <si>
    <t>Flujo de Caja al Accionista</t>
  </si>
  <si>
    <t>Líneas de factura/Producto</t>
  </si>
  <si>
    <t>Concepto</t>
  </si>
  <si>
    <t>Tipo de Gasto 1</t>
  </si>
  <si>
    <t>Tipo de Gasto 2</t>
  </si>
  <si>
    <t>CCO - SECTOR</t>
  </si>
  <si>
    <t>IMPUESTO (C)</t>
  </si>
  <si>
    <t>NUTRICION</t>
  </si>
  <si>
    <t>KG</t>
  </si>
  <si>
    <t>#RRHH</t>
  </si>
  <si>
    <t>origen</t>
  </si>
  <si>
    <t>nutri&amp;rrhh</t>
  </si>
  <si>
    <t>gastos_facturas</t>
  </si>
  <si>
    <t>Column3</t>
  </si>
  <si>
    <t>Column4</t>
  </si>
  <si>
    <t>Column5</t>
  </si>
  <si>
    <t>Column6</t>
  </si>
  <si>
    <t>Column7</t>
  </si>
  <si>
    <t>Column8</t>
  </si>
  <si>
    <t>rrhh_andy1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</si>
  <si>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</si>
  <si>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</si>
  <si>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</si>
  <si>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</si>
  <si>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</si>
  <si>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</si>
  <si>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</si>
  <si>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</si>
  <si>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</si>
  <si>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</si>
  <si>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</si>
  <si>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</si>
  <si>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</si>
  <si>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</si>
  <si>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</si>
  <si>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</si>
  <si>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</si>
  <si>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</si>
  <si>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</si>
  <si>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</si>
  <si>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</si>
  <si>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</si>
  <si>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</si>
  <si>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</si>
  <si>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</si>
  <si>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</si>
  <si>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{gestacion,cachorra}</t>
  </si>
  <si>
    <t>{lactancia}</t>
  </si>
  <si>
    <t>{fase0}</t>
  </si>
  <si>
    <t>{fase1}</t>
  </si>
  <si>
    <t>{fase2}</t>
  </si>
  <si>
    <t>{fase3}</t>
  </si>
  <si>
    <t>{fase4}</t>
  </si>
  <si>
    <t>{desarrollo}</t>
  </si>
  <si>
    <t>{t1}</t>
  </si>
  <si>
    <t>{t2}</t>
  </si>
  <si>
    <t>{madres}</t>
  </si>
  <si>
    <t>{lechones}</t>
  </si>
  <si>
    <t>IMPUESTOS</t>
  </si>
  <si>
    <t>NUTRICIÓN</t>
  </si>
  <si>
    <t>PERSONAL</t>
  </si>
  <si>
    <t>SANIDAD</t>
  </si>
  <si>
    <t>GENÉTICA</t>
  </si>
  <si>
    <t>FLETES</t>
  </si>
  <si>
    <t>ENERGÍA</t>
  </si>
  <si>
    <t>GASTOS OPERATIVOS</t>
  </si>
  <si>
    <t>HONORARIOS</t>
  </si>
  <si>
    <t>SERVICIOS</t>
  </si>
  <si>
    <t>rubro_id</t>
  </si>
  <si>
    <t>VENTAS POR FACTURAS</t>
  </si>
  <si>
    <t>Worms Argentina S.A ok</t>
  </si>
  <si>
    <t>FA-M 00001-00000041</t>
  </si>
  <si>
    <t>Efluentes solidos (cama profunda)recibidos durante el mes de diciembre 2025</t>
  </si>
  <si>
    <t>Efluentes solidos (cama profunda)</t>
  </si>
  <si>
    <t>FA-M 00001-00000040</t>
  </si>
  <si>
    <t>Efluentes liquidos (biol)recibidos durante el mes de diciembre 2025</t>
  </si>
  <si>
    <t>Efluentes liquidos (biol)</t>
  </si>
  <si>
    <t>LCDP-A 00002-00000207</t>
  </si>
  <si>
    <t>OV 0001-00001266</t>
  </si>
  <si>
    <t>De La Fuente Florencia</t>
  </si>
  <si>
    <t>FA-M 00001-00000039</t>
  </si>
  <si>
    <t>KG DE CARNE CAPON PORCINOS
PORCINOS</t>
  </si>
  <si>
    <t>OV 0001-00001273</t>
  </si>
  <si>
    <t>KG DE CARNE CAPON PORCINOS</t>
  </si>
  <si>
    <t>Revertido</t>
  </si>
  <si>
    <t>Gonzalez Maximiliano Eduardo</t>
  </si>
  <si>
    <t>ND-M 00001-00000001</t>
  </si>
  <si>
    <t>LCDP-A 00009-00002095</t>
  </si>
  <si>
    <t>OV 0001-00001148</t>
  </si>
  <si>
    <t>Pura Raza S.A.S.</t>
  </si>
  <si>
    <t>FA-M 00001-00000038</t>
  </si>
  <si>
    <t>OV 0001-00001242</t>
  </si>
  <si>
    <t>FA-M 00001-00000037</t>
  </si>
  <si>
    <t>OV 0001-00001241</t>
  </si>
  <si>
    <t>FA-M 00001-00000035</t>
  </si>
  <si>
    <t>OV 0001-00001239</t>
  </si>
  <si>
    <t>FA-M 00001-00000034</t>
  </si>
  <si>
    <t>OV 0001-00001237</t>
  </si>
  <si>
    <t>FA-M 00001-00000033</t>
  </si>
  <si>
    <t>OV 0001-00001238</t>
  </si>
  <si>
    <t>RATONE PAOLA</t>
  </si>
  <si>
    <t>FA-M 00001-00000036</t>
  </si>
  <si>
    <t>OV 0001-00001240</t>
  </si>
  <si>
    <t>LCDP-A 00009-00002094</t>
  </si>
  <si>
    <t>OV 0001-00001236</t>
  </si>
  <si>
    <t>LCDP-A 00009-00002093</t>
  </si>
  <si>
    <t>OV 0001-00001235</t>
  </si>
  <si>
    <t>LCDP-A 00009-00002092</t>
  </si>
  <si>
    <t>OV 0001-00001234</t>
  </si>
  <si>
    <t>LCDP-A 00009-00002091</t>
  </si>
  <si>
    <t>OV 0001-00001233</t>
  </si>
  <si>
    <t>LCDP-A 00009-00002090</t>
  </si>
  <si>
    <t>OV 0001-00001232</t>
  </si>
  <si>
    <t>LCDP-A 00002-00000205</t>
  </si>
  <si>
    <t>OV 0001-00001226</t>
  </si>
  <si>
    <t>DIAMBRI FEDERICO</t>
  </si>
  <si>
    <t>FA-M 00001-00000032</t>
  </si>
  <si>
    <t>OV 0001-00001217</t>
  </si>
  <si>
    <t>FA-M 00001-00000031</t>
  </si>
  <si>
    <t>OV 0001-00001211</t>
  </si>
  <si>
    <t>FA-M 00001-00000030</t>
  </si>
  <si>
    <t>OV 0001-00001210</t>
  </si>
  <si>
    <t>FA-M 00001-00000029</t>
  </si>
  <si>
    <t>OV 0001-00001203</t>
  </si>
  <si>
    <t>SANVIRO S.A</t>
  </si>
  <si>
    <t>FA-M 00001-00000028</t>
  </si>
  <si>
    <t>OV 0001-00000999</t>
  </si>
  <si>
    <t>FA-M 00001-00000027</t>
  </si>
  <si>
    <t>OV 0001-00000998</t>
  </si>
  <si>
    <t>FA-M 00001-00000026</t>
  </si>
  <si>
    <t>OV 0001-00000997</t>
  </si>
  <si>
    <t>LCDP-A 00009-00002089</t>
  </si>
  <si>
    <t>OV 0001-00001231</t>
  </si>
  <si>
    <t>LCDP-A 00009-00002088</t>
  </si>
  <si>
    <t>OV 0001-00001147</t>
  </si>
  <si>
    <t>LCDP-A 00009-00002087</t>
  </si>
  <si>
    <t>OV 0001-00001223</t>
  </si>
  <si>
    <t>LCDP-A 00009-00002086</t>
  </si>
  <si>
    <t>OV 0001-00001222</t>
  </si>
  <si>
    <t>LCDP-A 00009-00002085</t>
  </si>
  <si>
    <t>OV 0001-00001146</t>
  </si>
  <si>
    <t>LCDP-A 00001-00000788</t>
  </si>
  <si>
    <t>OV 0001-00001216</t>
  </si>
  <si>
    <t>FA-M 00001-00000025</t>
  </si>
  <si>
    <t>OV 0001-00001184</t>
  </si>
  <si>
    <t>LCDP-A 00009-00002084</t>
  </si>
  <si>
    <t>OV 0001-00001206</t>
  </si>
  <si>
    <t>LCDP-A 00009-00002083</t>
  </si>
  <si>
    <t>OV 0001-00001205</t>
  </si>
  <si>
    <t>LCDP-A 00004-00000247</t>
  </si>
  <si>
    <t>LCDP-A 00004-00000245</t>
  </si>
  <si>
    <t>FA-M 00001-00000024</t>
  </si>
  <si>
    <t>OV 0001-00001177</t>
  </si>
  <si>
    <t>FA-M 00001-00000023</t>
  </si>
  <si>
    <t>OV 0001-00001175</t>
  </si>
  <si>
    <t>FA-M 00001-00000022</t>
  </si>
  <si>
    <t>OV 0001-00001174</t>
  </si>
  <si>
    <t>LCDP-A 00009-00002082</t>
  </si>
  <si>
    <t>OV 0001-00001204</t>
  </si>
  <si>
    <t>LCDP-A 00009-00002081</t>
  </si>
  <si>
    <t>OV 0001-00001145</t>
  </si>
  <si>
    <t>LCDP-A 00009-00002080</t>
  </si>
  <si>
    <t>OV 0001-00001181</t>
  </si>
  <si>
    <t>LCDP-A 00009-00002079</t>
  </si>
  <si>
    <t>OV 0001-00001180</t>
  </si>
  <si>
    <t>LCDP-A 00001-00000784</t>
  </si>
  <si>
    <t>OV 0001-00001178</t>
  </si>
  <si>
    <t>LCDP-A 00009-00002078</t>
  </si>
  <si>
    <t>OV 0001-00001179</t>
  </si>
  <si>
    <t>LCDP-A 00009-00002077</t>
  </si>
  <si>
    <t>OV 0001-00000882</t>
  </si>
  <si>
    <t>FACTURACION</t>
  </si>
  <si>
    <t>Subtotal</t>
  </si>
  <si>
    <t>Precio promedio</t>
  </si>
  <si>
    <t>calculo_alimentos_total</t>
  </si>
  <si>
    <t>Nutrición (C)</t>
  </si>
  <si>
    <t>ARCA 931</t>
  </si>
  <si>
    <t>Asociacion Empleados De Comercio De Rosario</t>
  </si>
  <si>
    <t>Acuerdo (c)</t>
  </si>
  <si>
    <t>CAPON</t>
  </si>
  <si>
    <t>CHANCHA</t>
  </si>
  <si>
    <t>Cantidades</t>
  </si>
  <si>
    <t>kg_promedio</t>
  </si>
  <si>
    <t>Final +IVA</t>
  </si>
  <si>
    <t>MANTENIMIENTO</t>
  </si>
  <si>
    <t>OC/2026/0155</t>
  </si>
  <si>
    <t>Correa, Natalia Erica</t>
  </si>
  <si>
    <t>OC/2026/0152</t>
  </si>
  <si>
    <t>FA-C 00001-00000437</t>
  </si>
  <si>
    <t>FA-A 00026-00530141</t>
  </si>
  <si>
    <t>Sanidad (C)
Despadac</t>
  </si>
  <si>
    <t>FA-A 00008-00151527</t>
  </si>
  <si>
    <t>Genetica (C)
Dosis AGPIC337 IU ROY I</t>
  </si>
  <si>
    <t>FA-A 00008-00015564</t>
  </si>
  <si>
    <t>Genetica (C)
DOSIS AG1020 ABUELO VISTA</t>
  </si>
  <si>
    <t>FA-A 00001-00009311</t>
  </si>
  <si>
    <t>Mantenimiento (C)
Espiga c/rosca, espig.dob., piton cincado, taco universal, teflon , poliet, espiga , aerosol rojo, azul, verde, alambre recocido negro</t>
  </si>
  <si>
    <t>FA-A 00011-00034214</t>
  </si>
  <si>
    <t>Genetica (C)
Semen Linea TLLL Pedido 
correspondientess del 16 al 22 de marzo</t>
  </si>
  <si>
    <t>FA-A 00008-00151320</t>
  </si>
  <si>
    <t>FA-A 00001-00005944</t>
  </si>
  <si>
    <t>Mantenimiento (C)
TEE EPOXI HH 1/2</t>
  </si>
  <si>
    <t>FA-A 00012-00058283</t>
  </si>
  <si>
    <t>Sanidad (C)
cheque nª 57879404</t>
  </si>
  <si>
    <t>OC/2026/0151</t>
  </si>
  <si>
    <t>OC/2026/0150</t>
  </si>
  <si>
    <t>Gastos Operativos (C)
Requerimiento</t>
  </si>
  <si>
    <t>OC/2026/0149</t>
  </si>
  <si>
    <t xml:space="preserve">IMPUESTO (C)
Obra Social Diciembre </t>
  </si>
  <si>
    <t>FA-C 00001-00000217</t>
  </si>
  <si>
    <t>Mantenimiento (C)
reparación de bomba sumergible (Bomba quemada de worms)</t>
  </si>
  <si>
    <t>FA-A 00004-00006273</t>
  </si>
  <si>
    <t>OC/2026/0148</t>
  </si>
  <si>
    <t>FA-A 00012-00058166</t>
  </si>
  <si>
    <t xml:space="preserve">Sanidad (C)
Guantes de nitrilo </t>
  </si>
  <si>
    <t>FA-A 00005-00003811</t>
  </si>
  <si>
    <t>Mantenimiento (C)
caño 5/8 x 1,6mm x mts</t>
  </si>
  <si>
    <t>FA-A 00002-00004384</t>
  </si>
  <si>
    <t xml:space="preserve">Gastos Operativos (C)
Servicio de faena
</t>
  </si>
  <si>
    <t>OC/2026/0145</t>
  </si>
  <si>
    <t>FA-A 00015-00069863</t>
  </si>
  <si>
    <t xml:space="preserve">Mantenimiento e Instalaciones (C)
tubo led 16 w frio 120 cm 
Para Sector de Recria y Maternidad </t>
  </si>
  <si>
    <t>FA-A 00015-00069862</t>
  </si>
  <si>
    <t xml:space="preserve">Mantenimiento (C)
Cinta aisladora pvc 20 mts negro prysmian </t>
  </si>
  <si>
    <t>FA-A 00015-00069861</t>
  </si>
  <si>
    <t>Mantenimiento (C)
Arrticulos para tablero de calzim</t>
  </si>
  <si>
    <t>FA-A 00004-00014690</t>
  </si>
  <si>
    <t xml:space="preserve">Mantenimiento (C)
1 te 90 de 50 m  tigre
1 cupla
1 buje </t>
  </si>
  <si>
    <t>FA-A 00002-00004373</t>
  </si>
  <si>
    <t>FA-A 00002-00004372</t>
  </si>
  <si>
    <t>FA-A 00012-00058059</t>
  </si>
  <si>
    <t>Sanidad (C)
IMPROVAC X 125 DS</t>
  </si>
  <si>
    <t>FA-A 00001-00009125</t>
  </si>
  <si>
    <t xml:space="preserve">Mantenimiento (C)
Poliet baires 1 k4 x mts , espiga </t>
  </si>
  <si>
    <t>FA-A 00026-00528345</t>
  </si>
  <si>
    <t xml:space="preserve">Sanidad (C)
Tulatromax </t>
  </si>
  <si>
    <t>Industrias Quimicas Kaiser Srl (C)</t>
  </si>
  <si>
    <t>FA-A 00010-00093817</t>
  </si>
  <si>
    <t xml:space="preserve">Gastos Operativos (C)
Rollo cocina y papel blanco ecológico </t>
  </si>
  <si>
    <t>FA-A 00002-00004363</t>
  </si>
  <si>
    <t>Rios, Juan Marcelo</t>
  </si>
  <si>
    <t>OC/2026/0138</t>
  </si>
  <si>
    <t>Gastos Operativos (C)
Pedido de Fernando T</t>
  </si>
  <si>
    <t>FA-A 00008-00150645</t>
  </si>
  <si>
    <t>FA-A 00008-00150599</t>
  </si>
  <si>
    <t>OC/2026/0135</t>
  </si>
  <si>
    <t>FA-A 00330-00214752</t>
  </si>
  <si>
    <t>Sanidad (C)
TILOSINA RJ X 250 CC</t>
  </si>
  <si>
    <t>FA-A 00012-00057954</t>
  </si>
  <si>
    <t xml:space="preserve">Sanidad (C)
OVERCOX 5% </t>
  </si>
  <si>
    <t>FA-A 00010-00093765</t>
  </si>
  <si>
    <t>FA-A 00010-00093748</t>
  </si>
  <si>
    <t>OC/2026/0133</t>
  </si>
  <si>
    <t>FA-A 00032-00112306</t>
  </si>
  <si>
    <t>Sanidad (C)
KOBRA CURABIC . AEROSOL X 420 ML</t>
  </si>
  <si>
    <t>FA-A 00026-00527458</t>
  </si>
  <si>
    <t>Sanidad (C)
Roborante Gold x 250 ML</t>
  </si>
  <si>
    <t>FA-A 00011-00033961</t>
  </si>
  <si>
    <t>Genetica (C)
Semen Linea TLLL Pedido 
correspondientess del 9 al 15 de marzo</t>
  </si>
  <si>
    <t>FA-A 00002-00004358</t>
  </si>
  <si>
    <t>FA-C 00003-00001749</t>
  </si>
  <si>
    <t xml:space="preserve">Honorarios  (C)
Asesoramiento profesional </t>
  </si>
  <si>
    <t>FA-A 00012-00057855</t>
  </si>
  <si>
    <t>Sanidad (C)
HYOGEN</t>
  </si>
  <si>
    <t>FA-A 00011-00033738</t>
  </si>
  <si>
    <t>Genetica (C)
Semen Linea TLLL Pedido 
correspondientes del 02 añ 08 de marzo</t>
  </si>
  <si>
    <t>FA-A 00008-00150390</t>
  </si>
  <si>
    <t>Reservin Patagonia  S. R. L.</t>
  </si>
  <si>
    <t>FA-A 00005-00008360</t>
  </si>
  <si>
    <t>Gastos Operativos (C)
deuda de Uatre</t>
  </si>
  <si>
    <t>FA-A 00012-00057828</t>
  </si>
  <si>
    <t>OC/2026/0127</t>
  </si>
  <si>
    <t xml:space="preserve">Gastos Operativos (C)
Deuda epe </t>
  </si>
  <si>
    <t>FA-A 00330-00214077</t>
  </si>
  <si>
    <t>Sanidad (C)
 Porcilis pcv</t>
  </si>
  <si>
    <t>FA-A 00004-00021027</t>
  </si>
  <si>
    <t xml:space="preserve">Genetica (C)
Royalty lechón destetado macho </t>
  </si>
  <si>
    <t>FA-A 00003-00029656</t>
  </si>
  <si>
    <t>Gastos Operativos (C)
Calidad de aire PC</t>
  </si>
  <si>
    <t>FA-A 00002-00004344</t>
  </si>
  <si>
    <t>OC/2026/0166</t>
  </si>
  <si>
    <t>OC/2026/0126</t>
  </si>
  <si>
    <t>Romero Mundani, Melisa Alumine</t>
  </si>
  <si>
    <t>OC/2026/0125</t>
  </si>
  <si>
    <t>Gastos Operativos (C)
Romero Mundani Melisa</t>
  </si>
  <si>
    <t>FA-A 00003-00000558</t>
  </si>
  <si>
    <t>Fletes (C)
Simple 17/2 19/2 24/2 26/2</t>
  </si>
  <si>
    <t>FA-A 00003-00000557</t>
  </si>
  <si>
    <t>Fletes (C)
DOBLE 16/2 23/2</t>
  </si>
  <si>
    <t>FA-A 00001-00009012</t>
  </si>
  <si>
    <t>Mantenimiento (C)
aerosoles, alambre recocido negro, autoperforante , abrazadera, WD, soga trenzada multifil, roldana, torniquete galvanizada, grampas cable acero, taco metálico, alambre alta resistencia, martillo de goma, alambre alta resistencia , pala ancha</t>
  </si>
  <si>
    <t>OC/2026/0117</t>
  </si>
  <si>
    <t xml:space="preserve">Gastos Operativos (C)
Alojamiento 3 personas x 2 días 
Hidroponía </t>
  </si>
  <si>
    <t>Covaleda, Maximiliano Luis (C)</t>
  </si>
  <si>
    <t>FA-C 00001-00000365</t>
  </si>
  <si>
    <t xml:space="preserve">Gastos Operativos (C)
Diagnostico , configuración de dominio .
Configuración de dns para correo electrónico  y nube de Google </t>
  </si>
  <si>
    <t>FA-A 00330-00213643</t>
  </si>
  <si>
    <t>Sanidad (C)
Hypra suis glasser x 50 DS</t>
  </si>
  <si>
    <t>FA-A 00330-00213640</t>
  </si>
  <si>
    <t>Sanidad (C)
Circomyco gard x 50 ds</t>
  </si>
  <si>
    <t>FA-A 00330-00013592</t>
  </si>
  <si>
    <t>Sanidad (C) coglapix x 50 ds</t>
  </si>
  <si>
    <t>Rentas Cordoba</t>
  </si>
  <si>
    <t>OC/2026/0167</t>
  </si>
  <si>
    <t>IMPUESTO (C)
por debito en  cuenta . cuota nª 3</t>
  </si>
  <si>
    <t>OC/2026/0116</t>
  </si>
  <si>
    <t>OC/2026/0115</t>
  </si>
  <si>
    <t>FA-A 00015-00069831</t>
  </si>
  <si>
    <t xml:space="preserve">Mantenimiento (C)
Portalampara e27 </t>
  </si>
  <si>
    <t>FA-A 00009-00044591</t>
  </si>
  <si>
    <t xml:space="preserve">Mantenimiento (C)
SERVIS TRACTOR FARMTRAC
</t>
  </si>
  <si>
    <t>FA-A 00006-00022978</t>
  </si>
  <si>
    <t xml:space="preserve">Gastos Operativos (C)
Alambre de plástico negro </t>
  </si>
  <si>
    <t>Goma Paz S.R.L.</t>
  </si>
  <si>
    <t>FA-A 00005-00092746</t>
  </si>
  <si>
    <t xml:space="preserve">Mantenimiento (C)
Manga azul pvc plegable 76mm para pileta </t>
  </si>
  <si>
    <t>FA-A 00005-00008597</t>
  </si>
  <si>
    <t xml:space="preserve">Gastos Operativos (C)
Gastos Operativos (C)
Alquiler mes Marzo
Campo Tonfoni </t>
  </si>
  <si>
    <t>FA-A 00002-00004342</t>
  </si>
  <si>
    <t>FA-A 00002-00004335</t>
  </si>
  <si>
    <t xml:space="preserve">Gastos Operativos (C)
Servicio de faena
92x14049,59 </t>
  </si>
  <si>
    <t>FA-A 00001-00005861</t>
  </si>
  <si>
    <t xml:space="preserve">Mantenimiento (C)
Pedido para pileta 
espiga y cupla </t>
  </si>
  <si>
    <t>FA-A 00001-00000742</t>
  </si>
  <si>
    <t>Gastos Operativos (C)
Mod STD C/AA Desde 21/03 a 20/04</t>
  </si>
  <si>
    <t>FA-A 00069-00039924</t>
  </si>
  <si>
    <t>FA-A 00045-00005821</t>
  </si>
  <si>
    <t xml:space="preserve">Sanidad (C)
Intereses por pago fuera de termino </t>
  </si>
  <si>
    <t>FA-A 00008-00149932</t>
  </si>
  <si>
    <t>Genetica (C)
DOSIS AGpic337 IU ROY 1</t>
  </si>
  <si>
    <t>FA-A 00005-00002530</t>
  </si>
  <si>
    <t xml:space="preserve">Mantenimiento (C)
Lamparas infrarrojas led 250 para maternidad 
</t>
  </si>
  <si>
    <t>FA-A 03200-00003409</t>
  </si>
  <si>
    <t>Gastos Operativos (C)
trt</t>
  </si>
  <si>
    <t>FA-A 00008-00149730</t>
  </si>
  <si>
    <t>FA-A 00008-00149682</t>
  </si>
  <si>
    <t>Genetica (C)
DOSIS AGPIC337 IU ROY I</t>
  </si>
  <si>
    <t>FA-A 00005-00003718</t>
  </si>
  <si>
    <t>Mantenimiento (C)
2 caño 5/8</t>
  </si>
  <si>
    <t>FA-A 00002-00004353</t>
  </si>
  <si>
    <t>Gastos Operativos (C)
pedido de limpieza</t>
  </si>
  <si>
    <t>FA-A 00002-00004324</t>
  </si>
  <si>
    <t xml:space="preserve">Gastos Operativos (C)
Servicio de faena </t>
  </si>
  <si>
    <t>FA-A 00002-00004323</t>
  </si>
  <si>
    <t>FA-A 00001-00005848</t>
  </si>
  <si>
    <t>Mantenimiento (C)
NIPLE GALVANIZ 1/2 40 CM</t>
  </si>
  <si>
    <t>OC/2026/0106</t>
  </si>
  <si>
    <t>OC/2026/0105</t>
  </si>
  <si>
    <t>FA-C 00002-00000286</t>
  </si>
  <si>
    <t>FA-A 00001-00008914</t>
  </si>
  <si>
    <t>Mantenimiento (C)
ROLDANA CINCADA 25 MM , TORNIQUETE GALVANIZADO TV MINI, GRAMPAS CABLE ACERO 3/16 ALAMBRE ALTA RESISTENCIA</t>
  </si>
  <si>
    <t>FA-C 00001-00000404</t>
  </si>
  <si>
    <t>Gastos Operativos (C)
marzo</t>
  </si>
  <si>
    <t>FA-A 00012-00000575</t>
  </si>
  <si>
    <t>Sanidad (C)
caravana rototag</t>
  </si>
  <si>
    <t>FA-A 00005-00003697</t>
  </si>
  <si>
    <t>Mantenimiento (C)
23 red 1/2</t>
  </si>
  <si>
    <t>FA-A 00002-00007226</t>
  </si>
  <si>
    <t>Gastos Operativos (C)
alquiler de baño quiico</t>
  </si>
  <si>
    <t>FA-A 00002-00004313</t>
  </si>
  <si>
    <t>FA-A 00002-00001548</t>
  </si>
  <si>
    <t>Honorarios  (C)
Honorarios profesionales</t>
  </si>
  <si>
    <t>FA-A 00002-00000733</t>
  </si>
  <si>
    <t>OC/2026/0102</t>
  </si>
  <si>
    <t>FA-A 00003-00000538</t>
  </si>
  <si>
    <t>Fletes (C)
DOBLE 02/02 / 09/02</t>
  </si>
  <si>
    <t>FA-A 00002-00027498</t>
  </si>
  <si>
    <t>rrhh_andy27</t>
  </si>
  <si>
    <t>rrhh_andy28</t>
  </si>
  <si>
    <t>rrhh_andy29</t>
  </si>
  <si>
    <t>rrhh_andy30</t>
  </si>
  <si>
    <t>rrhh_andy31</t>
  </si>
  <si>
    <t>rrhh_andy32</t>
  </si>
  <si>
    <t>rrhh_andy33</t>
  </si>
  <si>
    <t>rrhh_andy34</t>
  </si>
  <si>
    <t>rrhh_andy35</t>
  </si>
  <si>
    <t>rrhh_andy36</t>
  </si>
  <si>
    <t>rrhh_andy37</t>
  </si>
  <si>
    <t>rrhh_andy38</t>
  </si>
  <si>
    <t>rrhh_andy39</t>
  </si>
  <si>
    <t>rrhh_andy40</t>
  </si>
  <si>
    <t>rrhh_andy41</t>
  </si>
  <si>
    <t>rrhh_andy42</t>
  </si>
  <si>
    <t>rrhh_andy43</t>
  </si>
  <si>
    <t>rrhh_andy44</t>
  </si>
  <si>
    <t>rrhh_andy45</t>
  </si>
  <si>
    <t>rrhh_andy46</t>
  </si>
  <si>
    <t>rrhh_andy47</t>
  </si>
  <si>
    <t>rrhh_andy48</t>
  </si>
  <si>
    <t>rrhh_andy49</t>
  </si>
  <si>
    <t>rrhh_andy50</t>
  </si>
  <si>
    <t>rrhh_andy51</t>
  </si>
  <si>
    <t>rrhh_andy52</t>
  </si>
  <si>
    <t>rrhh_andy53</t>
  </si>
  <si>
    <t>rrhh_andy54</t>
  </si>
  <si>
    <t>rrhh_andy55</t>
  </si>
  <si>
    <t>rrhh_andy56</t>
  </si>
  <si>
    <t>rrhh_andy57</t>
  </si>
  <si>
    <t>rrhh_andy58</t>
  </si>
  <si>
    <t>rrhh_andy59</t>
  </si>
  <si>
    <t>rrhh_andy60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</si>
</sst>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-&quot;$&quot;\ * #,##0.00_-;\-&quot;$&quot;\ * #,##0.00_-;_-&quot;$&quot;\ * &quot;-&quot;??_-;_-@_-"/>
    <numFmt numFmtId="167" formatCode="_-* #,##0\ &quot;€&quot;_-;\-* #,##0\ &quot;€&quot;_-;_-* &quot;-&quot;??\ &quot;€&quot;_-;_-@_-"/>
    <numFmt numFmtId="168" formatCode="&quot;$&quot;#,##0"/>
    <numFmt numFmtId="169" formatCode="_-[$$-2C0A]\ * #,##0_-;\-[$$-2C0A]\ * #,##0_-;_-[$$-2C0A]\ * &quot;-&quot;??_-;_-@_-"/>
    <numFmt numFmtId="170" formatCode="_([$$-409]* #,##0_);_([$$-409]* \(#,##0\);_([$$-409]* &quot;-&quot;??_);_(@_)"/>
    <numFmt numFmtId="171" formatCode="_-* #,##0_-;\-* #,##0_-;_-* &quot;-&quot;??_-;_-@_-"/>
    <numFmt numFmtId="172" formatCode="0.0%"/>
    <numFmt numFmtId="173" formatCode="_([$$-409]* #,##0.00_);_([$$-409]* \(#,##0.00\);_([$$-409]* &quot;-&quot;??_);_(@_)"/>
    <numFmt numFmtId="174" formatCode="yyyy\-mm\-dd"/>
    <numFmt numFmtId="175" formatCode="_([$$-409]* #,##0.00000_);_([$$-409]* \(#,##0.00000\);_([$$-409]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165" fontId="4" fillId="0" borderId="0" xfId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5" fontId="4" fillId="0" borderId="2" xfId="1" applyFont="1" applyBorder="1"/>
    <xf numFmtId="0" fontId="0" fillId="0" borderId="0" xfId="0" applyAlignment="1">
      <alignment horizontal="left"/>
    </xf>
    <xf numFmtId="167" fontId="7" fillId="0" borderId="0" xfId="2" applyNumberFormat="1" applyFont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9" fontId="0" fillId="0" borderId="0" xfId="2" applyNumberFormat="1" applyFont="1"/>
    <xf numFmtId="9" fontId="2" fillId="3" borderId="1" xfId="3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70" fontId="4" fillId="0" borderId="0" xfId="2" applyNumberFormat="1" applyFont="1"/>
    <xf numFmtId="169" fontId="5" fillId="0" borderId="0" xfId="2" applyNumberFormat="1" applyFont="1"/>
    <xf numFmtId="169" fontId="4" fillId="0" borderId="0" xfId="2" applyNumberFormat="1" applyFont="1"/>
    <xf numFmtId="14" fontId="3" fillId="2" borderId="1" xfId="0" applyNumberFormat="1" applyFont="1" applyFill="1" applyBorder="1" applyAlignment="1">
      <alignment horizontal="center"/>
    </xf>
    <xf numFmtId="170" fontId="3" fillId="2" borderId="1" xfId="2" applyNumberFormat="1" applyFont="1" applyFill="1" applyBorder="1" applyAlignment="1">
      <alignment horizontal="center"/>
    </xf>
    <xf numFmtId="170" fontId="2" fillId="3" borderId="1" xfId="2" applyNumberFormat="1" applyFont="1" applyFill="1" applyBorder="1" applyAlignment="1">
      <alignment horizontal="center"/>
    </xf>
    <xf numFmtId="170" fontId="4" fillId="0" borderId="1" xfId="2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9" fontId="4" fillId="0" borderId="1" xfId="3" applyFont="1" applyBorder="1"/>
    <xf numFmtId="168" fontId="3" fillId="2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8" fontId="2" fillId="3" borderId="1" xfId="2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170" fontId="2" fillId="3" borderId="0" xfId="2" applyNumberFormat="1" applyFont="1" applyFill="1" applyBorder="1" applyAlignment="1">
      <alignment horizontal="center"/>
    </xf>
    <xf numFmtId="168" fontId="2" fillId="3" borderId="0" xfId="2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71" fontId="3" fillId="2" borderId="1" xfId="1" applyNumberFormat="1" applyFont="1" applyFill="1" applyBorder="1" applyAlignment="1">
      <alignment horizontal="center"/>
    </xf>
    <xf numFmtId="171" fontId="2" fillId="3" borderId="1" xfId="1" applyNumberFormat="1" applyFont="1" applyFill="1" applyBorder="1" applyAlignment="1">
      <alignment horizontal="center"/>
    </xf>
    <xf numFmtId="171" fontId="2" fillId="3" borderId="0" xfId="1" applyNumberFormat="1" applyFont="1" applyFill="1" applyBorder="1" applyAlignment="1">
      <alignment horizontal="center"/>
    </xf>
    <xf numFmtId="173" fontId="2" fillId="3" borderId="1" xfId="2" applyNumberFormat="1" applyFont="1" applyFill="1" applyBorder="1" applyAlignment="1">
      <alignment horizontal="center"/>
    </xf>
    <xf numFmtId="172" fontId="4" fillId="0" borderId="0" xfId="3" applyNumberFormat="1" applyFont="1" applyAlignment="1">
      <alignment horizontal="center"/>
    </xf>
    <xf numFmtId="173" fontId="3" fillId="2" borderId="1" xfId="2" applyNumberFormat="1" applyFont="1" applyFill="1" applyBorder="1" applyAlignment="1">
      <alignment horizontal="center"/>
    </xf>
    <xf numFmtId="173" fontId="2" fillId="3" borderId="0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4" fillId="0" borderId="0" xfId="3" applyFont="1" applyBorder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170" fontId="4" fillId="3" borderId="0" xfId="2" applyNumberFormat="1" applyFont="1" applyFill="1" applyBorder="1"/>
    <xf numFmtId="14" fontId="0" fillId="0" borderId="0" xfId="0" applyNumberFormat="1"/>
    <xf numFmtId="0" fontId="8" fillId="0" borderId="0" xfId="0" applyFont="1"/>
    <xf numFmtId="4" fontId="0" fillId="0" borderId="0" xfId="0" applyNumberFormat="1" applyAlignment="1">
      <alignment wrapText="1"/>
    </xf>
    <xf numFmtId="174" fontId="0" fillId="0" borderId="0" xfId="0" applyNumberFormat="1" applyAlignment="1">
      <alignment wrapText="1"/>
    </xf>
    <xf numFmtId="9" fontId="3" fillId="2" borderId="1" xfId="3" applyFont="1" applyFill="1" applyBorder="1" applyAlignment="1">
      <alignment horizontal="center"/>
    </xf>
    <xf numFmtId="9" fontId="2" fillId="3" borderId="0" xfId="3" applyFont="1" applyFill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9" fontId="5" fillId="0" borderId="6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0" fontId="5" fillId="0" borderId="5" xfId="2" applyNumberFormat="1" applyFont="1" applyBorder="1"/>
    <xf numFmtId="0" fontId="4" fillId="0" borderId="8" xfId="0" applyFont="1" applyBorder="1" applyAlignment="1">
      <alignment horizontal="center"/>
    </xf>
    <xf numFmtId="170" fontId="5" fillId="0" borderId="7" xfId="2" applyNumberFormat="1" applyFont="1" applyBorder="1"/>
    <xf numFmtId="169" fontId="5" fillId="0" borderId="1" xfId="2" applyNumberFormat="1" applyFont="1" applyBorder="1" applyAlignment="1">
      <alignment horizontal="center"/>
    </xf>
    <xf numFmtId="0" fontId="5" fillId="0" borderId="1" xfId="0" applyFont="1" applyBorder="1"/>
    <xf numFmtId="170" fontId="5" fillId="0" borderId="1" xfId="2" applyNumberFormat="1" applyFont="1" applyBorder="1"/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71" fontId="2" fillId="4" borderId="1" xfId="1" applyNumberFormat="1" applyFont="1" applyFill="1" applyBorder="1" applyAlignment="1">
      <alignment horizontal="center"/>
    </xf>
    <xf numFmtId="173" fontId="2" fillId="4" borderId="1" xfId="2" applyNumberFormat="1" applyFont="1" applyFill="1" applyBorder="1" applyAlignment="1">
      <alignment horizontal="center"/>
    </xf>
    <xf numFmtId="168" fontId="2" fillId="4" borderId="1" xfId="2" applyNumberFormat="1" applyFont="1" applyFill="1" applyBorder="1" applyAlignment="1">
      <alignment horizontal="center"/>
    </xf>
    <xf numFmtId="170" fontId="2" fillId="4" borderId="1" xfId="2" applyNumberFormat="1" applyFont="1" applyFill="1" applyBorder="1" applyAlignment="1">
      <alignment horizontal="center"/>
    </xf>
    <xf numFmtId="9" fontId="2" fillId="4" borderId="1" xfId="3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9" xfId="0" applyBorder="1"/>
    <xf numFmtId="169" fontId="0" fillId="0" borderId="0" xfId="0" applyNumberFormat="1"/>
    <xf numFmtId="171" fontId="0" fillId="0" borderId="0" xfId="1" applyNumberFormat="1" applyFont="1"/>
    <xf numFmtId="173" fontId="0" fillId="0" borderId="0" xfId="0" applyNumberFormat="1"/>
    <xf numFmtId="170" fontId="4" fillId="0" borderId="3" xfId="2" applyNumberFormat="1" applyFont="1" applyBorder="1"/>
    <xf numFmtId="170" fontId="4" fillId="0" borderId="5" xfId="1" applyNumberFormat="1" applyFont="1" applyBorder="1"/>
    <xf numFmtId="0" fontId="4" fillId="5" borderId="0" xfId="0" applyFont="1" applyFill="1"/>
    <xf numFmtId="0" fontId="7" fillId="0" borderId="0" xfId="0" applyFont="1"/>
    <xf numFmtId="170" fontId="7" fillId="0" borderId="0" xfId="2" applyNumberFormat="1" applyFont="1"/>
    <xf numFmtId="14" fontId="7" fillId="0" borderId="0" xfId="0" applyNumberFormat="1" applyFont="1"/>
    <xf numFmtId="170" fontId="7" fillId="0" borderId="0" xfId="0" applyNumberFormat="1" applyFont="1"/>
    <xf numFmtId="175" fontId="0" fillId="0" borderId="0" xfId="0" applyNumberFormat="1"/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2">
    <cellStyle name="Comma" xfId="1" builtinId="3"/>
    <cellStyle name="Comma 2" xfId="10" xr:uid="{503E3C54-0350-468F-9945-3BC05F5FD4F4}"/>
    <cellStyle name="Comma 3" xfId="11" xr:uid="{094BEB52-E9AE-4C34-B966-6E3DB39B1C7A}"/>
    <cellStyle name="Currency" xfId="2" builtinId="4"/>
    <cellStyle name="Currency 2" xfId="4" xr:uid="{89EC3EA2-CF76-4050-B592-31BAFBA53ACD}"/>
    <cellStyle name="Currency 2 2" xfId="8" xr:uid="{019978F2-DDA6-4525-9BAB-8E6CB54F4F69}"/>
    <cellStyle name="Currency 3" xfId="5" xr:uid="{1AC6BD82-7579-4E89-BD69-7FA2D9CC7144}"/>
    <cellStyle name="Millares 2" xfId="6" xr:uid="{B1B84ADD-51C0-4580-883B-58AB2F7A3D3F}"/>
    <cellStyle name="Moneda 2" xfId="7" xr:uid="{0066D861-380D-4E0E-91AF-B844E17AD57E}"/>
    <cellStyle name="Moneda 3" xfId="9" xr:uid="{FE31331D-AB70-49A3-92A9-781A74ECD501}"/>
    <cellStyle name="Normal" xfId="0" builtinId="0"/>
    <cellStyle name="Percent" xfId="3" builtinId="5"/>
  </cellStyles>
  <dxfs count="87"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70" formatCode="_([$$-409]* #,##0_);_([$$-409]* \(#,##0\);_([$$-409]* &quot;-&quot;??_);_(@_)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_-[$$-2C0A]\ * #,##0_-;\-[$$-2C0A]\ * #,##0_-;_-[$$-2C0A]\ * &quot;-&quot;??_-;_-@_-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DCC07C2D-5AA2-47DF-A1BE-756E185A1A59}" userId="S::felposse@publicisgroupe.net::2f6bd6fa-015d-4062-8cc8-bf983a9ddc24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1D1A074-DC43-4EA6-BF84-C9851D06D04F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  <queryTableField id="14" name="origen" tableColumnId="14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64BC561-7DA4-4532-ACD9-C88E6750D1B6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C0DCC2B-BB7A-49FE-A8DF-3C382E46DCFB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  <extLst>
    <ext xmlns:x15="http://schemas.microsoft.com/office/spreadsheetml/2010/11/main" uri="{883FBD77-0823-4a55-B5E3-86C4891E6966}">
      <x15:queryTable sourceDataName="Query - rubros_unico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F869954-4801-462E-AEC5-DB6082053C8B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50B05EA-CE32-4777-AD9F-0FE57019BCE7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64CE1-0168-4425-B041-E7B1884A124B}" name="Sheet1__3" displayName="Sheet1__3" ref="A1:J32" totalsRowShown="0">
  <tableColumns count="10">
    <tableColumn id="1" xr3:uid="{2CE2CB8D-BF2F-4E30-8018-5EA38539E706}" name="Asiento" dataDxfId="84"/>
    <tableColumn id="2" xr3:uid="{9CC68ACA-928E-4F9D-8BD9-A001081FE4E8}" name="Partner" dataDxfId="83"/>
    <tableColumn id="3" xr3:uid="{D09E7D03-4DC0-4C5B-B9A5-FBE76D3720EC}" name="Provincia de entrega" dataDxfId="82"/>
    <tableColumn id="4" xr3:uid="{DEFF97F5-BB39-4479-817D-B325EA522B75}" name="Fecha de factura" dataDxfId="81"/>
    <tableColumn id="5" xr3:uid="{569DF5F1-01D5-47F3-B910-FD52CEF5BAB7}" name="Producto" dataDxfId="80"/>
    <tableColumn id="6" xr3:uid="{002222A4-ECFB-49DC-AD73-3BD3DF774AFA}" name="Apunte contable/Líneas analíticas/Cuenta analítica"/>
    <tableColumn id="7" xr3:uid="{9C9B71E4-7DA5-46D1-96CE-4182F3E80D95}" name="Cantidad producto"/>
    <tableColumn id="8" xr3:uid="{9BDB0472-A0C5-4951-9090-D07B29090F79}" name="Precio unitario"/>
    <tableColumn id="9" xr3:uid="{43E87A0D-29D5-4857-9315-28CE9BD0E8FB}" name="Total libre de impuestos"/>
    <tableColumn id="10" xr3:uid="{20CCB992-AA8D-4D32-8290-DE940B76D596}" name="Total (C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A9922-FB15-496F-986C-479F711F3BB4}" name="Sheet1__4" displayName="Sheet1__4" ref="A1:J157" totalsRowShown="0">
  <autoFilter ref="A1:J157" xr:uid="{21EA9922-FB15-496F-986C-479F711F3BB4}"/>
  <tableColumns count="10">
    <tableColumn id="1" xr3:uid="{A7EAAA14-FCC6-49E3-8D11-A13B1EF3DAAF}" name="Asiento" dataDxfId="79"/>
    <tableColumn id="2" xr3:uid="{D9A74A3B-0B66-436A-8512-9F1970577D81}" name="Partner" dataDxfId="78"/>
    <tableColumn id="3" xr3:uid="{19B6A1E4-6E42-4F74-B1C9-34DC2A81705C}" name="Provincia de entrega" dataDxfId="77"/>
    <tableColumn id="4" xr3:uid="{962B3B1E-94C6-4126-BADC-793911CC4720}" name="Fecha de factura" dataDxfId="76"/>
    <tableColumn id="5" xr3:uid="{A89E44C4-8867-458E-B5BA-A10F3FFFAFBA}" name="Producto" dataDxfId="75"/>
    <tableColumn id="6" xr3:uid="{9A85FD90-5725-485A-B577-FD8469D9250D}" name="Cantidad producto"/>
    <tableColumn id="7" xr3:uid="{04471972-340C-4656-957C-A78B3AACBC55}" name="Precio unitario"/>
    <tableColumn id="8" xr3:uid="{5C73CBD8-BAEF-48DC-8D65-3949067C4C0D}" name="Total libre de impuestos"/>
    <tableColumn id="9" xr3:uid="{79D5049A-97F3-4FF0-B456-AB6956B7A484}" name="Total (CC)"/>
    <tableColumn id="10" xr3:uid="{2C36F486-4FD2-4AFC-B416-CECAA7BA8F61}" name="Estado de factura" dataDxfId="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B6971-7CA7-45E6-8D1E-AE617255D385}" name="BBDD_PROVEEDORES_FINAL" displayName="BBDD_PROVEEDORES_FINAL" ref="A1:Z1544" totalsRowShown="0">
  <autoFilter ref="A1:Z1544" xr:uid="{EBEB6971-7CA7-45E6-8D1E-AE617255D385}"/>
  <tableColumns count="26">
    <tableColumn id="1" xr3:uid="{0B019357-FB52-4F9C-BD41-7E0994E3ED20}" name="ID" dataDxfId="73"/>
    <tableColumn id="2" xr3:uid="{5BD26346-79A4-41C3-97D8-74F6A2A68E6B}" name="PROVEEDOR" dataDxfId="72"/>
    <tableColumn id="3" xr3:uid="{24030362-89FA-4501-AA1E-6F474066E4B8}" name="CANAL"/>
    <tableColumn id="4" xr3:uid="{9C634F1A-BCE8-4362-8012-6D4E0CAFF7B5}" name="CONCEPTO" dataDxfId="71"/>
    <tableColumn id="5" xr3:uid="{BA2A6401-1670-4C98-AB76-E5314B945E1D}" name="TIPO 1 (DIRECTO/INDIRECTO)" dataDxfId="70"/>
    <tableColumn id="6" xr3:uid="{52A6DC9E-667F-4635-8D33-8CF6D47532E1}" name="TIPO 2 (FIJO/VARIABLE)" dataDxfId="69"/>
    <tableColumn id="7" xr3:uid="{F0F2AE7A-07D9-4DD9-929B-0DA85C90A11C}" name="RUBRO"/>
    <tableColumn id="8" xr3:uid="{72D5293E-54B0-4459-8B32-B211D0FADBC4}" name="AREA" dataDxfId="68"/>
    <tableColumn id="9" xr3:uid="{72CDDC13-C6F4-40F1-AC27-B8FA41CFA1B4}" name="UN" dataDxfId="67"/>
    <tableColumn id="10" xr3:uid="{5393A083-450A-4044-A3C0-7C8A075631B7}" name="CUIT" dataDxfId="66"/>
    <tableColumn id="11" xr3:uid="{22174FFF-3C7F-43EC-BE03-2673DDABE6C4}" name="ESTADO" dataDxfId="65"/>
    <tableColumn id="12" xr3:uid="{3FD17FBE-F91D-4CDD-BBAF-7FD89312AB93}" name="METODO_DE_PAGO" dataDxfId="64"/>
    <tableColumn id="13" xr3:uid="{06DD6A1B-BD91-4F38-A374-6EDB9998C6A8}" name="CUIT2" dataDxfId="63"/>
    <tableColumn id="14" xr3:uid="{7F451E32-2F2C-45F3-B25E-8A2CF8EFCBEB}" name="Nombre Fantasia" dataDxfId="62"/>
    <tableColumn id="15" xr3:uid="{60F8C447-AD25-497A-BA68-C1C5D17000E1}" name="Teléfono" dataDxfId="61"/>
    <tableColumn id="16" xr3:uid="{2ACC1B61-C44C-4A37-AB36-3DC652786DC8}" name="Mail" dataDxfId="60"/>
    <tableColumn id="17" xr3:uid="{22363988-C5EA-41B1-8BAE-E8FB1C86B34D}" name="Contacto" dataDxfId="59"/>
    <tableColumn id="18" xr3:uid="{3CAF5D38-885F-403F-8561-5B75555A6E0A}" name="Direccion" dataDxfId="58"/>
    <tableColumn id="19" xr3:uid="{7ADF4A12-115E-4972-8F00-A7EE828835F8}" name="Observaciones" dataDxfId="57"/>
    <tableColumn id="20" xr3:uid="{F93488B2-D4E2-4DCD-98AD-0D0540F1D414}" name="Canal de pago"/>
    <tableColumn id="21" xr3:uid="{5D8A48BE-2F99-4A43-9502-69FB156C8C8B}" name="ESTADO2" dataDxfId="56"/>
    <tableColumn id="22" xr3:uid="{E84ECE38-3C15-4716-97B0-0F97EBCCC0F9}" name="PDP"/>
    <tableColumn id="23" xr3:uid="{6C74C26B-3424-4527-AFD8-7D7ADA804241}" name="INTERESES MORATORIO MENSUAL"/>
    <tableColumn id="24" xr3:uid="{6A5D6FF5-7367-4D6F-B2A3-140E36E9CCA2}" name="Total_con_signo_2025"/>
    <tableColumn id="25" xr3:uid="{0B1C55BB-E81C-4C20-9CE3-D5A96B4DF12B}" name="Crédito máximo asignado"/>
    <tableColumn id="26" xr3:uid="{392A0612-7AFC-409B-8371-2962F9788F55}" name="Base A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BDDE60-6748-44E3-856D-0205D9E5084A}" name="union_gastos" displayName="union_gastos" ref="A1:P110" tableType="queryTable" totalsRowShown="0" headerRowDxfId="86" dataDxfId="85">
  <autoFilter ref="A1:P110" xr:uid="{3DBDDE60-6748-44E3-856D-0205D9E5084A}">
    <filterColumn colId="15">
      <filters>
        <filter val="GASTOS OPERATIVOS"/>
      </filters>
    </filterColumn>
  </autoFilter>
  <sortState xmlns:xlrd2="http://schemas.microsoft.com/office/spreadsheetml/2017/richdata2" ref="A2:P110">
    <sortCondition ref="D1:D110"/>
  </sortState>
  <tableColumns count="16">
    <tableColumn id="1" xr3:uid="{879B11DF-0A6B-4147-9406-D5C8242EC818}" uniqueName="1" name="Fecha de Factura/Recibo" queryTableFieldId="1" dataDxfId="15"/>
    <tableColumn id="2" xr3:uid="{10321BF8-B70F-4579-B1F3-4598EE51A063}" uniqueName="2" name="Nombre de la empresa a mostrar en la factura" queryTableFieldId="2" dataDxfId="14"/>
    <tableColumn id="3" xr3:uid="{433808DF-A63D-4CE0-87EF-E4C74AEA0D81}" uniqueName="3" name="Número" queryTableFieldId="3" dataDxfId="13"/>
    <tableColumn id="4" xr3:uid="{5F450908-5D29-45C2-B2B1-91E9C0F2E416}" uniqueName="4" name="Total con signo" queryTableFieldId="4" dataDxfId="12"/>
    <tableColumn id="5" xr3:uid="{46048CC2-3A78-4CBF-BFBA-A7CBC8FE20D9}" uniqueName="5" name="Líneas de factura/Etiqueta" queryTableFieldId="5" dataDxfId="11"/>
    <tableColumn id="6" xr3:uid="{835DCC40-D5A6-4A2D-81EC-7D4D48E4D4A8}" uniqueName="6" name="Líneas de factura/Cantidad" queryTableFieldId="6" dataDxfId="10"/>
    <tableColumn id="7" xr3:uid="{705B0DE6-9D43-4C94-BA17-3400443E30B7}" uniqueName="7" name="Líneas de factura/Precio unitario" queryTableFieldId="7" dataDxfId="9"/>
    <tableColumn id="8" xr3:uid="{8AD304C2-959B-4900-9746-D8DD1AB13E0E}" uniqueName="8" name="Líneas de factura/Unidad de medida" queryTableFieldId="8" dataDxfId="8"/>
    <tableColumn id="9" xr3:uid="{96CD44B2-DD23-4511-A54C-88BF0513969D}" uniqueName="9" name="Líneas de factura/Producto" queryTableFieldId="9" dataDxfId="7"/>
    <tableColumn id="10" xr3:uid="{8109311A-0E28-405F-A192-29FD44149F09}" uniqueName="10" name="Concepto" queryTableFieldId="10" dataDxfId="6"/>
    <tableColumn id="11" xr3:uid="{3DE8E6E7-C041-43CA-B34F-04BCE5AC3419}" uniqueName="11" name="Tipo de Gasto 1" queryTableFieldId="11" dataDxfId="5"/>
    <tableColumn id="12" xr3:uid="{D731A03B-AC5C-4EC9-8C1A-6ED5A74C27BE}" uniqueName="12" name="Tipo de Gasto 2" queryTableFieldId="12" dataDxfId="4"/>
    <tableColumn id="13" xr3:uid="{6EE5E3B8-17F5-4213-9C15-DE496128364B}" uniqueName="13" name="CCO - SECTOR" queryTableFieldId="13" dataDxfId="3"/>
    <tableColumn id="14" xr3:uid="{3537E9E1-6C15-4B4D-A5A7-0CB6C0E0DA03}" uniqueName="14" name="origen" queryTableFieldId="14" dataDxfId="2"/>
    <tableColumn id="15" xr3:uid="{C3A1999F-C4C8-48CB-BD5C-E8865C182834}" uniqueName="15" name="rubro_id" queryTableFieldId="15" dataDxfId="1">
      <calculatedColumnFormula>_xlfn.XLOOKUP(union_gastos[[#This Row],[Líneas de factura/Producto]],'concepto_id'!A:A,'concepto_id'!B:B)</calculatedColumnFormula>
    </tableColumn>
    <tableColumn id="16" xr3:uid="{305FC5C8-B20B-4398-A026-05073DC69468}" uniqueName="16" name="rubro_final" queryTableFieldId="16" dataDxfId="0">
      <calculatedColumnFormula>_xlfn.XLOOKUP(union_gastos[[#This Row],[rubro_id]],rubros!B:B,rubros!A:A)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6F17E2-DFDF-42E1-8951-D6F3288EE7BF}" name="concepto_id" displayName="concepto_id" ref="A1:H93" tableType="queryTable" totalsRowShown="0">
  <autoFilter ref="A1:H93" xr:uid="{776F17E2-DFDF-42E1-8951-D6F3288EE7BF}"/>
  <tableColumns count="8">
    <tableColumn id="1" xr3:uid="{BE2F8894-1E3F-43D3-A836-FD772EA44335}" uniqueName="1" name="CONCEPTO" queryTableFieldId="1" dataDxfId="55"/>
    <tableColumn id="2" xr3:uid="{02B4719E-3B1A-456D-B781-F1EC4857B57B}" uniqueName="2" name="ID" queryTableFieldId="2"/>
    <tableColumn id="3" xr3:uid="{2C02C0B7-1E19-41D0-9DC1-89839B871C26}" uniqueName="3" name="Column3" queryTableFieldId="3"/>
    <tableColumn id="4" xr3:uid="{7EEB1BA7-603E-4D6A-9FA1-2535F849A4A0}" uniqueName="4" name="Column4" queryTableFieldId="4"/>
    <tableColumn id="5" xr3:uid="{98311C5B-FEBD-47EC-94D9-0A50ADD22D94}" uniqueName="5" name="Column5" queryTableFieldId="5"/>
    <tableColumn id="6" xr3:uid="{2D4CF9FA-CF68-47F1-B875-6627D6562BA5}" uniqueName="6" name="Column6" queryTableFieldId="6"/>
    <tableColumn id="7" xr3:uid="{E101DE56-C2D7-431E-9BAA-CF05FCDDD92E}" uniqueName="7" name="Column7" queryTableFieldId="7"/>
    <tableColumn id="8" xr3:uid="{4765EA96-0555-4888-B983-BE16F259D18B}" uniqueName="8" name="Column8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92F642-5BBA-4C44-8169-FE632D0DDC94}" name="facturas_ingresos" displayName="facturas_ingresos" ref="A1:T47" totalsRowShown="0">
  <autoFilter ref="A1:T47" xr:uid="{C592F642-5BBA-4C44-8169-FE632D0DDC94}"/>
  <tableColumns count="20">
    <tableColumn id="1" xr3:uid="{6A57385E-D334-4FE9-85C7-7A6CB757A755}" name="Actividades"/>
    <tableColumn id="2" xr3:uid="{C2E2EFBC-B5E5-4FDC-85DD-5230513FF004}" name="Estado" dataDxfId="54"/>
    <tableColumn id="3" xr3:uid="{73A1755F-4495-436A-971F-7A2B39E162FC}" name="Estado de pago" dataDxfId="53"/>
    <tableColumn id="4" xr3:uid="{4146FF44-09C6-4718-B055-51ED94B49B8D}" name="Fecha de Factura/Recibo" dataDxfId="52"/>
    <tableColumn id="5" xr3:uid="{2F4FCFE7-FFDC-482E-A561-3F7F7A5CA21B}" name="Fecha de vencimiento" dataDxfId="51"/>
    <tableColumn id="6" xr3:uid="{1F66332F-C27F-4BC0-9DE7-C336FF464BF5}" name="Importe sin impuestos con signo"/>
    <tableColumn id="7" xr3:uid="{557A3D90-E670-41C2-97EA-A765BFDF5317}" name="Nombre de la empresa a mostrar en la factura" dataDxfId="50"/>
    <tableColumn id="8" xr3:uid="{17760C32-F7C0-4E29-AE50-6D0D64A92E71}" name="Número" dataDxfId="49"/>
    <tableColumn id="9" xr3:uid="{55C6DB6C-2AAB-49B1-AFD0-12E90D3E64F0}" name="Referencia"/>
    <tableColumn id="10" xr3:uid="{C1400641-E24A-4162-B215-1FB989D3E8FD}" name="Total con signo"/>
    <tableColumn id="11" xr3:uid="{C84942E4-808C-4503-9BB3-83811FF68040}" name="Total en divisa con signo"/>
    <tableColumn id="12" xr3:uid="{254ADCC5-F16F-4C96-BC1E-21C59FD3F353}" name="Importe adeudado"/>
    <tableColumn id="13" xr3:uid="{8067EF4F-33B1-482F-9713-8BC662BE6C88}" name="Líneas de factura/Etiquetas"/>
    <tableColumn id="14" xr3:uid="{0D7FCD4F-1D93-4648-861D-0D7976FAD000}" name="Líneas de factura/Etiqueta" dataDxfId="48"/>
    <tableColumn id="15" xr3:uid="{EE8F6DD5-7CF3-408D-8D1F-BD16856B06D9}" name="Líneas de factura/Cantidad"/>
    <tableColumn id="16" xr3:uid="{82D73563-13A5-4CFA-BF8C-197CC51BB694}" name="Líneas de factura/Precio unitario"/>
    <tableColumn id="17" xr3:uid="{F233237A-C7A1-4932-A966-2C023EF6557F}" name="Líneas de factura/Unidad de medida" dataDxfId="47"/>
    <tableColumn id="18" xr3:uid="{52EE8C93-83D6-4456-9FC4-BF9B75A52E37}" name="Apuntes contables/Líneas analíticas/Cuenta analítica"/>
    <tableColumn id="19" xr3:uid="{4ECA9289-1A38-4884-A05F-AC4666B2EF46}" name="Origen" dataDxfId="46"/>
    <tableColumn id="20" xr3:uid="{5D56C85C-2202-4247-98C2-D7BF36B76351}" name="Líneas de factura/Producto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D6FBE9-0ED0-4643-86A3-C21D79BAC800}" name="rubros_unicos" displayName="rubros_unicos" ref="A1:B12" tableType="queryTable" totalsRowShown="0">
  <autoFilter ref="A1:B12" xr:uid="{01D6FBE9-0ED0-4643-86A3-C21D79BAC800}"/>
  <tableColumns count="2">
    <tableColumn id="1" xr3:uid="{AC74796D-3AA1-4BFA-AD7A-BD7017E7B39D}" uniqueName="1" name="RUBRO" queryTableFieldId="1" dataDxfId="44"/>
    <tableColumn id="2" xr3:uid="{7A3DBD56-5DC5-4688-8CCE-DA5ED9A2E00D}" uniqueName="2" name="ID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2F130B-8BD7-466B-8F22-8D40F3C2F390}" name="nutri_rrhh" displayName="nutri_rrhh" ref="A1:M5" tableType="queryTable" totalsRowShown="0">
  <autoFilter ref="A1:M5" xr:uid="{DB2F130B-8BD7-466B-8F22-8D40F3C2F390}"/>
  <tableColumns count="13">
    <tableColumn id="1" xr3:uid="{64148838-498B-43AD-84FC-9E959C615F1D}" uniqueName="1" name="Fecha de Factura/Recibo" queryTableFieldId="1" dataDxfId="26"/>
    <tableColumn id="2" xr3:uid="{69DA6B26-8821-42BD-86BB-631595B4CC84}" uniqueName="2" name="Nombre de la empresa a mostrar en la factura" queryTableFieldId="2" dataDxfId="43"/>
    <tableColumn id="3" xr3:uid="{0C73456F-D2BC-42ED-9C94-AD6D16C5C14E}" uniqueName="3" name="Número" queryTableFieldId="3" dataDxfId="42"/>
    <tableColumn id="4" xr3:uid="{54F3768B-2808-4090-863D-2059D0F2FFBE}" uniqueName="4" name="Total con signo" queryTableFieldId="4"/>
    <tableColumn id="5" xr3:uid="{B0C86860-A854-40CA-9E41-AB709EB3F4B3}" uniqueName="5" name="Líneas de factura/Etiqueta" queryTableFieldId="5" dataDxfId="41"/>
    <tableColumn id="6" xr3:uid="{C42590C2-16AC-465E-A3BB-1ADCE6A30AD4}" uniqueName="6" name="Líneas de factura/Cantidad" queryTableFieldId="6"/>
    <tableColumn id="7" xr3:uid="{C90AB230-D3E8-4D9B-B008-611D0588BD21}" uniqueName="7" name="Líneas de factura/Precio unitario" queryTableFieldId="7"/>
    <tableColumn id="8" xr3:uid="{49633B97-3CAE-4688-BB17-1FD9F654EC01}" uniqueName="8" name="Líneas de factura/Unidad de medida" queryTableFieldId="8" dataDxfId="40"/>
    <tableColumn id="9" xr3:uid="{64484A06-357E-439E-9B42-9A05C792F484}" uniqueName="9" name="Líneas de factura/Producto" queryTableFieldId="9" dataDxfId="39"/>
    <tableColumn id="10" xr3:uid="{4F19DE8E-7A6A-4A4E-A35E-F7C8E5E995BC}" uniqueName="10" name="Concepto" queryTableFieldId="10" dataDxfId="38"/>
    <tableColumn id="11" xr3:uid="{FA2DB6AD-E724-4BBE-BACA-3C7DCD0C23D8}" uniqueName="11" name="Tipo de Gasto 1" queryTableFieldId="11" dataDxfId="37"/>
    <tableColumn id="12" xr3:uid="{D9E566E8-9E85-4722-BA56-0AFF2D0C45D7}" uniqueName="12" name="Tipo de Gasto 2" queryTableFieldId="12" dataDxfId="36"/>
    <tableColumn id="13" xr3:uid="{4D264CE1-55C1-49C4-BBE0-E9172087F71C}" uniqueName="13" name="CCO - SECTOR" queryTableField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E69A7-F46D-42B5-8BD8-CE2FD469E184}" name="gastos_facturas" displayName="gastos_facturas" ref="A1:M106" tableType="queryTable" totalsRowShown="0">
  <autoFilter ref="A1:M106" xr:uid="{543E69A7-F46D-42B5-8BD8-CE2FD469E184}"/>
  <tableColumns count="13">
    <tableColumn id="1" xr3:uid="{A374CF12-6417-4285-9D61-AC882B96AE42}" uniqueName="1" name="Fecha de Factura/Recibo" queryTableFieldId="1" dataDxfId="25"/>
    <tableColumn id="2" xr3:uid="{04EA8B02-B361-478C-889B-E6B13C90861C}" uniqueName="2" name="Nombre de la empresa a mostrar en la factura" queryTableFieldId="2" dataDxfId="35"/>
    <tableColumn id="3" xr3:uid="{C956C2D7-6EA9-4B18-991E-3F5F3FEFBA9B}" uniqueName="3" name="Número" queryTableFieldId="3" dataDxfId="34"/>
    <tableColumn id="4" xr3:uid="{A4E11882-3B8C-4BC5-A6A8-681AAFD650C1}" uniqueName="4" name="Total con signo" queryTableFieldId="4" dataDxfId="24"/>
    <tableColumn id="5" xr3:uid="{6C1E1D8B-1824-4E3B-AA7E-CE60AFAA3EB2}" uniqueName="5" name="Líneas de factura/Etiqueta" queryTableFieldId="5" dataDxfId="33"/>
    <tableColumn id="6" xr3:uid="{46A0431E-D194-43FB-AB5A-EBAD0EA9CCAC}" uniqueName="6" name="Líneas de factura/Cantidad" queryTableFieldId="6"/>
    <tableColumn id="7" xr3:uid="{E798B55F-CB18-4F58-B1AC-8F214C167E00}" uniqueName="7" name="Líneas de factura/Precio unitario" queryTableFieldId="7"/>
    <tableColumn id="8" xr3:uid="{FA63D4F2-2A30-4C20-B378-4E5E2AD6678F}" uniqueName="8" name="Líneas de factura/Unidad de medida" queryTableFieldId="8" dataDxfId="32"/>
    <tableColumn id="9" xr3:uid="{59EC8B2A-A92A-4427-972C-4B13C5ED0AF1}" uniqueName="9" name="Líneas de factura/Producto" queryTableFieldId="9" dataDxfId="31"/>
    <tableColumn id="10" xr3:uid="{209BAEF5-055E-477E-936D-3263275B87F8}" uniqueName="10" name="Concepto" queryTableFieldId="10" dataDxfId="30"/>
    <tableColumn id="11" xr3:uid="{2478714D-C6C0-44F5-B2D8-81D69D548C26}" uniqueName="11" name="Tipo de Gasto 1" queryTableFieldId="11" dataDxfId="29"/>
    <tableColumn id="12" xr3:uid="{0BFF4787-4F75-41A7-AF97-9ADC34A88BED}" uniqueName="12" name="Tipo de Gasto 2" queryTableFieldId="12" dataDxfId="28"/>
    <tableColumn id="13" xr3:uid="{5D267430-3B30-4A25-A4D7-0C2A5AB529A7}" uniqueName="13" name="CCO - SECTOR" queryTableFieldId="13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5-07-17T01:24:55.58" personId="{DCC07C2D-5AA2-47DF-A1BE-756E185A1A59}" id="{D7491E7B-B23B-4D34-9968-7A3232ED1908}">
    <text>chequear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959-0BDC-47E7-A5C2-FAB8CBE3677B}">
  <dimension ref="A1:S370"/>
  <sheetViews>
    <sheetView topLeftCell="K1" workbookViewId="0">
      <selection activeCell="P11" sqref="P10:P11"/>
    </sheetView>
  </sheetViews>
  <sheetFormatPr defaultColWidth="8.88671875" defaultRowHeight="14.4" x14ac:dyDescent="0.3"/>
  <cols>
    <col min="1" max="19" width="30.6640625" customWidth="1"/>
  </cols>
  <sheetData>
    <row r="1" spans="1:19" x14ac:dyDescent="0.3">
      <c r="A1" s="47" t="s">
        <v>292</v>
      </c>
      <c r="B1" s="47" t="s">
        <v>293</v>
      </c>
      <c r="C1" s="47" t="s">
        <v>294</v>
      </c>
      <c r="D1" s="47" t="s">
        <v>295</v>
      </c>
      <c r="E1" s="47" t="s">
        <v>296</v>
      </c>
      <c r="F1" s="47" t="s">
        <v>297</v>
      </c>
      <c r="G1" s="47" t="s">
        <v>298</v>
      </c>
      <c r="H1" s="47" t="s">
        <v>299</v>
      </c>
      <c r="I1" s="47" t="s">
        <v>300</v>
      </c>
      <c r="J1" s="47" t="s">
        <v>301</v>
      </c>
      <c r="K1" s="47" t="s">
        <v>302</v>
      </c>
      <c r="L1" s="47" t="s">
        <v>303</v>
      </c>
      <c r="M1" s="47" t="s">
        <v>304</v>
      </c>
      <c r="N1" s="47" t="s">
        <v>305</v>
      </c>
      <c r="O1" s="47" t="s">
        <v>306</v>
      </c>
      <c r="P1" s="47" t="s">
        <v>307</v>
      </c>
      <c r="Q1" s="47" t="s">
        <v>308</v>
      </c>
      <c r="R1" s="47" t="s">
        <v>309</v>
      </c>
      <c r="S1" s="47" t="s">
        <v>310</v>
      </c>
    </row>
    <row r="2" spans="1:19" ht="43.2" x14ac:dyDescent="0.3">
      <c r="A2" s="48"/>
      <c r="B2" s="48" t="s">
        <v>311</v>
      </c>
      <c r="C2" s="48" t="s">
        <v>312</v>
      </c>
      <c r="D2" s="49">
        <v>45900</v>
      </c>
      <c r="E2" s="49">
        <v>45907</v>
      </c>
      <c r="F2" s="48">
        <v>-118800</v>
      </c>
      <c r="G2" s="48" t="s">
        <v>175</v>
      </c>
      <c r="H2" s="48" t="s">
        <v>174</v>
      </c>
      <c r="I2" s="48"/>
      <c r="J2" s="48">
        <v>-118800</v>
      </c>
      <c r="K2" s="48">
        <v>-118800</v>
      </c>
      <c r="L2" s="48">
        <v>118800</v>
      </c>
      <c r="M2" s="48"/>
      <c r="N2" s="48" t="s">
        <v>313</v>
      </c>
      <c r="O2" s="48">
        <v>33</v>
      </c>
      <c r="P2" s="48">
        <v>3600</v>
      </c>
      <c r="Q2" s="48" t="s">
        <v>34</v>
      </c>
      <c r="R2" s="48"/>
      <c r="S2" s="48" t="s">
        <v>314</v>
      </c>
    </row>
    <row r="3" spans="1:19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x14ac:dyDescent="0.3">
      <c r="A4" s="48"/>
      <c r="B4" s="48" t="s">
        <v>311</v>
      </c>
      <c r="C4" s="48" t="s">
        <v>312</v>
      </c>
      <c r="D4" s="49">
        <v>45900</v>
      </c>
      <c r="E4" s="49">
        <v>45930</v>
      </c>
      <c r="F4" s="48">
        <v>-140842.95000000001</v>
      </c>
      <c r="G4" s="48" t="s">
        <v>49</v>
      </c>
      <c r="H4" s="48" t="s">
        <v>177</v>
      </c>
      <c r="I4" s="48"/>
      <c r="J4" s="48">
        <v>-170419.97</v>
      </c>
      <c r="K4" s="48">
        <v>-170419.97</v>
      </c>
      <c r="L4" s="48">
        <v>170419.97</v>
      </c>
      <c r="M4" s="48"/>
      <c r="N4" s="48" t="s">
        <v>315</v>
      </c>
      <c r="O4" s="48">
        <v>15</v>
      </c>
      <c r="P4" s="48">
        <v>9389.5300000000007</v>
      </c>
      <c r="Q4" s="48" t="s">
        <v>34</v>
      </c>
      <c r="R4" s="48"/>
      <c r="S4" s="48"/>
    </row>
    <row r="5" spans="1:19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 spans="1:19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ht="28.8" x14ac:dyDescent="0.3">
      <c r="A7" s="48"/>
      <c r="B7" s="48" t="s">
        <v>311</v>
      </c>
      <c r="C7" s="48" t="s">
        <v>316</v>
      </c>
      <c r="D7" s="49">
        <v>45898</v>
      </c>
      <c r="E7" s="49">
        <v>45898</v>
      </c>
      <c r="F7" s="48">
        <v>-2479500</v>
      </c>
      <c r="G7" s="48" t="s">
        <v>90</v>
      </c>
      <c r="H7" s="48" t="s">
        <v>187</v>
      </c>
      <c r="I7" s="48"/>
      <c r="J7" s="48">
        <v>-2479500</v>
      </c>
      <c r="K7" s="48">
        <v>-2479500</v>
      </c>
      <c r="L7" s="48"/>
      <c r="M7" s="48"/>
      <c r="N7" s="48" t="s">
        <v>317</v>
      </c>
      <c r="O7" s="48">
        <v>1</v>
      </c>
      <c r="P7" s="48">
        <v>2479500</v>
      </c>
      <c r="Q7" s="48"/>
      <c r="R7" s="48"/>
      <c r="S7" s="48"/>
    </row>
    <row r="8" spans="1:19" x14ac:dyDescent="0.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</row>
    <row r="9" spans="1:19" x14ac:dyDescent="0.3">
      <c r="A9" s="48"/>
      <c r="B9" s="48" t="s">
        <v>311</v>
      </c>
      <c r="C9" s="48" t="s">
        <v>316</v>
      </c>
      <c r="D9" s="49">
        <v>45898</v>
      </c>
      <c r="E9" s="49">
        <v>45898</v>
      </c>
      <c r="F9" s="48">
        <v>-2137500</v>
      </c>
      <c r="G9" s="48" t="s">
        <v>90</v>
      </c>
      <c r="H9" s="48" t="s">
        <v>180</v>
      </c>
      <c r="I9" s="48"/>
      <c r="J9" s="48">
        <v>-2137500</v>
      </c>
      <c r="K9" s="48">
        <v>-2137500</v>
      </c>
      <c r="L9" s="48"/>
      <c r="M9" s="48"/>
      <c r="N9" s="48" t="s">
        <v>318</v>
      </c>
      <c r="O9" s="48">
        <v>1</v>
      </c>
      <c r="P9" s="48">
        <v>2137500</v>
      </c>
      <c r="Q9" s="48"/>
      <c r="R9" s="48"/>
      <c r="S9" s="48"/>
    </row>
    <row r="10" spans="1:19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spans="1:19" ht="28.8" x14ac:dyDescent="0.3">
      <c r="A11" s="48"/>
      <c r="B11" s="48" t="s">
        <v>311</v>
      </c>
      <c r="C11" s="48" t="s">
        <v>316</v>
      </c>
      <c r="D11" s="49">
        <v>45898</v>
      </c>
      <c r="E11" s="49">
        <v>45898</v>
      </c>
      <c r="F11" s="48">
        <v>-1754639</v>
      </c>
      <c r="G11" s="48" t="s">
        <v>90</v>
      </c>
      <c r="H11" s="48" t="s">
        <v>181</v>
      </c>
      <c r="I11" s="48"/>
      <c r="J11" s="48">
        <v>-1754639</v>
      </c>
      <c r="K11" s="48">
        <v>-1754639</v>
      </c>
      <c r="L11" s="48"/>
      <c r="M11" s="48"/>
      <c r="N11" s="48" t="s">
        <v>319</v>
      </c>
      <c r="O11" s="48">
        <v>1</v>
      </c>
      <c r="P11" s="48">
        <v>1754639</v>
      </c>
      <c r="Q11" s="48"/>
      <c r="R11" s="48"/>
      <c r="S11" s="48"/>
    </row>
    <row r="12" spans="1:19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</row>
    <row r="13" spans="1:19" ht="28.8" x14ac:dyDescent="0.3">
      <c r="A13" s="48"/>
      <c r="B13" s="48" t="s">
        <v>311</v>
      </c>
      <c r="C13" s="48" t="s">
        <v>316</v>
      </c>
      <c r="D13" s="49">
        <v>45898</v>
      </c>
      <c r="E13" s="49">
        <v>45898</v>
      </c>
      <c r="F13" s="48">
        <v>-1459831.4</v>
      </c>
      <c r="G13" s="48" t="s">
        <v>90</v>
      </c>
      <c r="H13" s="48" t="s">
        <v>179</v>
      </c>
      <c r="I13" s="48"/>
      <c r="J13" s="48">
        <v>-1459831.4</v>
      </c>
      <c r="K13" s="48">
        <v>-1459831.4</v>
      </c>
      <c r="L13" s="48"/>
      <c r="M13" s="48"/>
      <c r="N13" s="48" t="s">
        <v>320</v>
      </c>
      <c r="O13" s="48">
        <v>1</v>
      </c>
      <c r="P13" s="48">
        <v>1459831.4</v>
      </c>
      <c r="Q13" s="48"/>
      <c r="R13" s="48"/>
      <c r="S13" s="48"/>
    </row>
    <row r="14" spans="1:19" x14ac:dyDescent="0.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x14ac:dyDescent="0.3">
      <c r="A15" s="48"/>
      <c r="B15" s="48" t="s">
        <v>311</v>
      </c>
      <c r="C15" s="48" t="s">
        <v>316</v>
      </c>
      <c r="D15" s="49">
        <v>45898</v>
      </c>
      <c r="E15" s="49">
        <v>45898</v>
      </c>
      <c r="F15" s="48">
        <v>-1302502</v>
      </c>
      <c r="G15" s="48" t="s">
        <v>90</v>
      </c>
      <c r="H15" s="48" t="s">
        <v>185</v>
      </c>
      <c r="I15" s="48"/>
      <c r="J15" s="48">
        <v>-1302502</v>
      </c>
      <c r="K15" s="48">
        <v>-1302502</v>
      </c>
      <c r="L15" s="48"/>
      <c r="M15" s="48"/>
      <c r="N15" s="48" t="s">
        <v>321</v>
      </c>
      <c r="O15" s="48">
        <v>1</v>
      </c>
      <c r="P15" s="48">
        <v>1302502</v>
      </c>
      <c r="Q15" s="48"/>
      <c r="R15" s="48"/>
      <c r="S15" s="48"/>
    </row>
    <row r="16" spans="1:19" x14ac:dyDescent="0.3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1</v>
      </c>
      <c r="P16" s="48">
        <v>0</v>
      </c>
      <c r="Q16" s="48"/>
      <c r="R16" s="48"/>
      <c r="S16" s="48"/>
    </row>
    <row r="17" spans="1:19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spans="1:19" x14ac:dyDescent="0.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</row>
    <row r="19" spans="1:19" ht="28.8" x14ac:dyDescent="0.3">
      <c r="A19" s="48"/>
      <c r="B19" s="48" t="s">
        <v>311</v>
      </c>
      <c r="C19" s="48" t="s">
        <v>316</v>
      </c>
      <c r="D19" s="49">
        <v>45898</v>
      </c>
      <c r="E19" s="49">
        <v>45898</v>
      </c>
      <c r="F19" s="48">
        <v>-200000</v>
      </c>
      <c r="G19" s="48" t="s">
        <v>90</v>
      </c>
      <c r="H19" s="48" t="s">
        <v>182</v>
      </c>
      <c r="I19" s="48"/>
      <c r="J19" s="48">
        <v>-200000</v>
      </c>
      <c r="K19" s="48">
        <v>-200000</v>
      </c>
      <c r="L19" s="48"/>
      <c r="M19" s="48"/>
      <c r="N19" s="48" t="s">
        <v>322</v>
      </c>
      <c r="O19" s="48">
        <v>1</v>
      </c>
      <c r="P19" s="48">
        <v>200000</v>
      </c>
      <c r="Q19" s="48"/>
      <c r="R19" s="48"/>
      <c r="S19" s="48"/>
    </row>
    <row r="20" spans="1:19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</row>
    <row r="21" spans="1:19" x14ac:dyDescent="0.3">
      <c r="A21" s="48"/>
      <c r="B21" s="48" t="s">
        <v>311</v>
      </c>
      <c r="C21" s="48" t="s">
        <v>312</v>
      </c>
      <c r="D21" s="49">
        <v>45898</v>
      </c>
      <c r="E21" s="49">
        <v>45929</v>
      </c>
      <c r="F21" s="48">
        <v>-3627176</v>
      </c>
      <c r="G21" s="48" t="s">
        <v>89</v>
      </c>
      <c r="H21" s="48" t="s">
        <v>323</v>
      </c>
      <c r="I21" s="48"/>
      <c r="J21" s="48">
        <v>-4388882.96</v>
      </c>
      <c r="K21" s="48">
        <v>-4388882.96</v>
      </c>
      <c r="L21" s="48">
        <v>4388882.96</v>
      </c>
      <c r="M21" s="48"/>
      <c r="N21" s="48" t="s">
        <v>324</v>
      </c>
      <c r="O21" s="48">
        <v>1</v>
      </c>
      <c r="P21" s="48">
        <v>3627176</v>
      </c>
      <c r="Q21" s="48" t="s">
        <v>34</v>
      </c>
      <c r="R21" s="48"/>
      <c r="S21" s="48" t="s">
        <v>325</v>
      </c>
    </row>
    <row r="22" spans="1:19" x14ac:dyDescent="0.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19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1:19" ht="28.8" x14ac:dyDescent="0.3">
      <c r="A24" s="48"/>
      <c r="B24" s="48" t="s">
        <v>311</v>
      </c>
      <c r="C24" s="48" t="s">
        <v>316</v>
      </c>
      <c r="D24" s="49">
        <v>45898</v>
      </c>
      <c r="E24" s="49">
        <v>45912</v>
      </c>
      <c r="F24" s="48">
        <v>-20774.400000000001</v>
      </c>
      <c r="G24" s="48" t="s">
        <v>52</v>
      </c>
      <c r="H24" s="48" t="s">
        <v>184</v>
      </c>
      <c r="I24" s="48"/>
      <c r="J24" s="48">
        <v>-25137.03</v>
      </c>
      <c r="K24" s="48">
        <v>-25137.03</v>
      </c>
      <c r="L24" s="48"/>
      <c r="M24" s="48"/>
      <c r="N24" s="48" t="s">
        <v>326</v>
      </c>
      <c r="O24" s="48">
        <v>1</v>
      </c>
      <c r="P24" s="48">
        <v>15580.8</v>
      </c>
      <c r="Q24" s="48" t="s">
        <v>34</v>
      </c>
      <c r="R24" s="48"/>
      <c r="S24" s="48"/>
    </row>
    <row r="25" spans="1:19" ht="28.8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 t="s">
        <v>327</v>
      </c>
      <c r="O25" s="48">
        <v>1</v>
      </c>
      <c r="P25" s="48">
        <v>5193.6000000000004</v>
      </c>
      <c r="Q25" s="48" t="s">
        <v>34</v>
      </c>
      <c r="R25" s="48"/>
      <c r="S25" s="48"/>
    </row>
    <row r="26" spans="1:19" x14ac:dyDescent="0.3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</row>
    <row r="27" spans="1:19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</row>
    <row r="28" spans="1:19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</row>
    <row r="29" spans="1:19" ht="28.8" x14ac:dyDescent="0.3">
      <c r="A29" s="48"/>
      <c r="B29" s="48" t="s">
        <v>311</v>
      </c>
      <c r="C29" s="48" t="s">
        <v>316</v>
      </c>
      <c r="D29" s="49">
        <v>45898</v>
      </c>
      <c r="E29" s="49">
        <v>45912</v>
      </c>
      <c r="F29" s="48">
        <v>-66531.8</v>
      </c>
      <c r="G29" s="48" t="s">
        <v>52</v>
      </c>
      <c r="H29" s="48" t="s">
        <v>183</v>
      </c>
      <c r="I29" s="48"/>
      <c r="J29" s="48">
        <v>-80503.48</v>
      </c>
      <c r="K29" s="48">
        <v>-80503.48</v>
      </c>
      <c r="L29" s="48"/>
      <c r="M29" s="48"/>
      <c r="N29" s="48" t="s">
        <v>328</v>
      </c>
      <c r="O29" s="48">
        <v>1</v>
      </c>
      <c r="P29" s="48">
        <v>33265.9</v>
      </c>
      <c r="Q29" s="48" t="s">
        <v>34</v>
      </c>
      <c r="R29" s="48"/>
      <c r="S29" s="48"/>
    </row>
    <row r="30" spans="1:19" ht="28.8" x14ac:dyDescent="0.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 t="s">
        <v>329</v>
      </c>
      <c r="O30" s="48">
        <v>1</v>
      </c>
      <c r="P30" s="48">
        <v>33265.9</v>
      </c>
      <c r="Q30" s="48" t="s">
        <v>34</v>
      </c>
      <c r="R30" s="48"/>
      <c r="S30" s="48"/>
    </row>
    <row r="31" spans="1:19" x14ac:dyDescent="0.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1:19" x14ac:dyDescent="0.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</row>
    <row r="33" spans="1:19" x14ac:dyDescent="0.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</row>
    <row r="34" spans="1:19" ht="28.8" x14ac:dyDescent="0.3">
      <c r="A34" s="48"/>
      <c r="B34" s="48" t="s">
        <v>311</v>
      </c>
      <c r="C34" s="48" t="s">
        <v>316</v>
      </c>
      <c r="D34" s="49">
        <v>45898</v>
      </c>
      <c r="E34" s="49">
        <v>45898</v>
      </c>
      <c r="F34" s="48">
        <v>-90500.800000000003</v>
      </c>
      <c r="G34" s="48" t="s">
        <v>46</v>
      </c>
      <c r="H34" s="48" t="s">
        <v>186</v>
      </c>
      <c r="I34" s="48"/>
      <c r="J34" s="48">
        <v>-109506.01</v>
      </c>
      <c r="K34" s="48">
        <v>-109506.01</v>
      </c>
      <c r="L34" s="48"/>
      <c r="M34" s="48"/>
      <c r="N34" s="48" t="s">
        <v>330</v>
      </c>
      <c r="O34" s="48">
        <v>12</v>
      </c>
      <c r="P34" s="48">
        <v>4463.04</v>
      </c>
      <c r="Q34" s="48" t="s">
        <v>34</v>
      </c>
      <c r="R34" s="48"/>
      <c r="S34" s="48"/>
    </row>
    <row r="35" spans="1:19" x14ac:dyDescent="0.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 t="s">
        <v>331</v>
      </c>
      <c r="O35" s="48">
        <v>8</v>
      </c>
      <c r="P35" s="48">
        <v>4463.04</v>
      </c>
      <c r="Q35" s="48" t="s">
        <v>34</v>
      </c>
      <c r="R35" s="48"/>
      <c r="S35" s="48"/>
    </row>
    <row r="36" spans="1:19" x14ac:dyDescent="0.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 t="s">
        <v>332</v>
      </c>
      <c r="O36" s="48">
        <v>1</v>
      </c>
      <c r="P36" s="48">
        <v>1240</v>
      </c>
      <c r="Q36" s="48" t="s">
        <v>34</v>
      </c>
      <c r="R36" s="48"/>
      <c r="S36" s="48"/>
    </row>
    <row r="37" spans="1:19" x14ac:dyDescent="0.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1:19" x14ac:dyDescent="0.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 x14ac:dyDescent="0.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 x14ac:dyDescent="0.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</row>
    <row r="41" spans="1:19" x14ac:dyDescent="0.3">
      <c r="A41" s="48"/>
      <c r="B41" s="48" t="s">
        <v>311</v>
      </c>
      <c r="C41" s="48" t="s">
        <v>316</v>
      </c>
      <c r="D41" s="49">
        <v>45897</v>
      </c>
      <c r="E41" s="49">
        <v>45897</v>
      </c>
      <c r="F41" s="48">
        <v>-190449.86</v>
      </c>
      <c r="G41" s="48" t="s">
        <v>48</v>
      </c>
      <c r="H41" s="48" t="s">
        <v>191</v>
      </c>
      <c r="I41" s="48"/>
      <c r="J41" s="48">
        <v>-190449.86</v>
      </c>
      <c r="K41" s="48">
        <v>-190449.86</v>
      </c>
      <c r="L41" s="48"/>
      <c r="M41" s="48"/>
      <c r="N41" s="48"/>
      <c r="O41" s="48">
        <v>1</v>
      </c>
      <c r="P41" s="48">
        <v>190449.86</v>
      </c>
      <c r="Q41" s="48"/>
      <c r="R41" s="48"/>
      <c r="S41" s="48"/>
    </row>
    <row r="42" spans="1:19" x14ac:dyDescent="0.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19" x14ac:dyDescent="0.3">
      <c r="A43" s="48"/>
      <c r="B43" s="48" t="s">
        <v>311</v>
      </c>
      <c r="C43" s="48" t="s">
        <v>312</v>
      </c>
      <c r="D43" s="49">
        <v>45897</v>
      </c>
      <c r="E43" s="49">
        <v>45912</v>
      </c>
      <c r="F43" s="48">
        <v>-4500</v>
      </c>
      <c r="G43" s="48" t="s">
        <v>47</v>
      </c>
      <c r="H43" s="48" t="s">
        <v>189</v>
      </c>
      <c r="I43" s="48"/>
      <c r="J43" s="48">
        <v>-4500</v>
      </c>
      <c r="K43" s="48">
        <v>-4500</v>
      </c>
      <c r="L43" s="48">
        <v>4500</v>
      </c>
      <c r="M43" s="48"/>
      <c r="N43" s="48" t="s">
        <v>333</v>
      </c>
      <c r="O43" s="48">
        <v>1</v>
      </c>
      <c r="P43" s="48">
        <v>4500</v>
      </c>
      <c r="Q43" s="48" t="s">
        <v>34</v>
      </c>
      <c r="R43" s="48"/>
      <c r="S43" s="48"/>
    </row>
    <row r="44" spans="1:19" x14ac:dyDescent="0.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1:19" x14ac:dyDescent="0.3">
      <c r="A45" s="48"/>
      <c r="B45" s="48" t="s">
        <v>311</v>
      </c>
      <c r="C45" s="48" t="s">
        <v>312</v>
      </c>
      <c r="D45" s="49">
        <v>45897</v>
      </c>
      <c r="E45" s="49">
        <v>45912</v>
      </c>
      <c r="F45" s="48">
        <v>-57999</v>
      </c>
      <c r="G45" s="48" t="s">
        <v>47</v>
      </c>
      <c r="H45" s="48" t="s">
        <v>190</v>
      </c>
      <c r="I45" s="48"/>
      <c r="J45" s="48">
        <v>-57999</v>
      </c>
      <c r="K45" s="48">
        <v>-57999</v>
      </c>
      <c r="L45" s="48">
        <v>57999</v>
      </c>
      <c r="M45" s="48"/>
      <c r="N45" s="48" t="s">
        <v>334</v>
      </c>
      <c r="O45" s="48">
        <v>1</v>
      </c>
      <c r="P45" s="48">
        <v>57999</v>
      </c>
      <c r="Q45" s="48" t="s">
        <v>34</v>
      </c>
      <c r="R45" s="48"/>
      <c r="S45" s="48"/>
    </row>
    <row r="46" spans="1:19" x14ac:dyDescent="0.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</row>
    <row r="47" spans="1:19" ht="28.8" x14ac:dyDescent="0.3">
      <c r="A47" s="48"/>
      <c r="B47" s="48" t="s">
        <v>311</v>
      </c>
      <c r="C47" s="48" t="s">
        <v>316</v>
      </c>
      <c r="D47" s="49">
        <v>45897</v>
      </c>
      <c r="E47" s="49">
        <v>45897</v>
      </c>
      <c r="F47" s="48">
        <v>-11172374.5</v>
      </c>
      <c r="G47" s="48" t="s">
        <v>75</v>
      </c>
      <c r="H47" s="48" t="s">
        <v>188</v>
      </c>
      <c r="I47" s="48"/>
      <c r="J47" s="48">
        <v>-12345473.82</v>
      </c>
      <c r="K47" s="48">
        <v>-12345473.82</v>
      </c>
      <c r="L47" s="48"/>
      <c r="M47" s="48"/>
      <c r="N47" s="48" t="s">
        <v>335</v>
      </c>
      <c r="O47" s="48">
        <v>1</v>
      </c>
      <c r="P47" s="48">
        <v>11172374.5</v>
      </c>
      <c r="Q47" s="48" t="s">
        <v>34</v>
      </c>
      <c r="R47" s="48"/>
      <c r="S47" s="48"/>
    </row>
    <row r="48" spans="1:19" x14ac:dyDescent="0.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</row>
    <row r="49" spans="1:19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</row>
    <row r="50" spans="1:19" ht="28.8" x14ac:dyDescent="0.3">
      <c r="A50" s="48"/>
      <c r="B50" s="48" t="s">
        <v>311</v>
      </c>
      <c r="C50" s="48" t="s">
        <v>316</v>
      </c>
      <c r="D50" s="49">
        <v>45896</v>
      </c>
      <c r="E50" s="49">
        <v>45896</v>
      </c>
      <c r="F50" s="48">
        <v>-10539.86</v>
      </c>
      <c r="G50" s="48" t="s">
        <v>76</v>
      </c>
      <c r="H50" s="48" t="s">
        <v>192</v>
      </c>
      <c r="I50" s="48"/>
      <c r="J50" s="48">
        <v>-10539.86</v>
      </c>
      <c r="K50" s="48">
        <v>-10539.86</v>
      </c>
      <c r="L50" s="48"/>
      <c r="M50" s="48"/>
      <c r="N50" s="48" t="s">
        <v>51</v>
      </c>
      <c r="O50" s="48">
        <v>1</v>
      </c>
      <c r="P50" s="48">
        <v>10539.86</v>
      </c>
      <c r="Q50" s="48" t="s">
        <v>34</v>
      </c>
      <c r="R50" s="48"/>
      <c r="S50" s="48"/>
    </row>
    <row r="51" spans="1:19" x14ac:dyDescent="0.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1:19" ht="28.8" x14ac:dyDescent="0.3">
      <c r="A52" s="48"/>
      <c r="B52" s="48" t="s">
        <v>311</v>
      </c>
      <c r="C52" s="48" t="s">
        <v>316</v>
      </c>
      <c r="D52" s="49">
        <v>45896</v>
      </c>
      <c r="E52" s="49">
        <v>45896</v>
      </c>
      <c r="F52" s="48">
        <v>-1500000</v>
      </c>
      <c r="G52" s="48" t="s">
        <v>90</v>
      </c>
      <c r="H52" s="48" t="s">
        <v>194</v>
      </c>
      <c r="I52" s="48"/>
      <c r="J52" s="48">
        <v>-1500000</v>
      </c>
      <c r="K52" s="48">
        <v>-1500000</v>
      </c>
      <c r="L52" s="48"/>
      <c r="M52" s="48"/>
      <c r="N52" s="48" t="s">
        <v>322</v>
      </c>
      <c r="O52" s="48">
        <v>1</v>
      </c>
      <c r="P52" s="48">
        <v>1500000</v>
      </c>
      <c r="Q52" s="48"/>
      <c r="R52" s="48"/>
      <c r="S52" s="48" t="s">
        <v>336</v>
      </c>
    </row>
    <row r="53" spans="1:19" x14ac:dyDescent="0.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1:19" ht="28.8" x14ac:dyDescent="0.3">
      <c r="A54" s="48"/>
      <c r="B54" s="48" t="s">
        <v>311</v>
      </c>
      <c r="C54" s="48" t="s">
        <v>316</v>
      </c>
      <c r="D54" s="49">
        <v>45895</v>
      </c>
      <c r="E54" s="49">
        <v>45895</v>
      </c>
      <c r="F54" s="48">
        <v>-15711.62</v>
      </c>
      <c r="G54" s="48" t="s">
        <v>76</v>
      </c>
      <c r="H54" s="48" t="s">
        <v>201</v>
      </c>
      <c r="I54" s="48"/>
      <c r="J54" s="48">
        <v>-15711.62</v>
      </c>
      <c r="K54" s="48">
        <v>-15711.62</v>
      </c>
      <c r="L54" s="48"/>
      <c r="M54" s="48"/>
      <c r="N54" s="48" t="s">
        <v>51</v>
      </c>
      <c r="O54" s="48">
        <v>1</v>
      </c>
      <c r="P54" s="48">
        <v>15711.62</v>
      </c>
      <c r="Q54" s="48" t="s">
        <v>34</v>
      </c>
      <c r="R54" s="48"/>
      <c r="S54" s="48"/>
    </row>
    <row r="55" spans="1:19" x14ac:dyDescent="0.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</row>
    <row r="56" spans="1:19" x14ac:dyDescent="0.3">
      <c r="A56" s="48"/>
      <c r="B56" s="48" t="s">
        <v>311</v>
      </c>
      <c r="C56" s="48" t="s">
        <v>312</v>
      </c>
      <c r="D56" s="49">
        <v>45896</v>
      </c>
      <c r="E56" s="49">
        <v>45958</v>
      </c>
      <c r="F56" s="48">
        <v>-1200</v>
      </c>
      <c r="G56" s="48" t="s">
        <v>59</v>
      </c>
      <c r="H56" s="48" t="s">
        <v>200</v>
      </c>
      <c r="I56" s="48"/>
      <c r="J56" s="48">
        <v>-1452</v>
      </c>
      <c r="K56" s="48">
        <v>-1452</v>
      </c>
      <c r="L56" s="48">
        <v>1452</v>
      </c>
      <c r="M56" s="48"/>
      <c r="N56" s="48" t="s">
        <v>337</v>
      </c>
      <c r="O56" s="48">
        <v>1</v>
      </c>
      <c r="P56" s="48">
        <v>1200</v>
      </c>
      <c r="Q56" s="48" t="s">
        <v>34</v>
      </c>
      <c r="R56" s="48"/>
      <c r="S56" s="48"/>
    </row>
    <row r="57" spans="1:19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</row>
    <row r="58" spans="1:19" x14ac:dyDescent="0.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</row>
    <row r="59" spans="1:19" ht="72" x14ac:dyDescent="0.3">
      <c r="A59" s="48"/>
      <c r="B59" s="48" t="s">
        <v>311</v>
      </c>
      <c r="C59" s="48" t="s">
        <v>312</v>
      </c>
      <c r="D59" s="49">
        <v>45896</v>
      </c>
      <c r="E59" s="49">
        <v>45911</v>
      </c>
      <c r="F59" s="48">
        <v>-3352500</v>
      </c>
      <c r="G59" s="48" t="s">
        <v>60</v>
      </c>
      <c r="H59" s="48" t="s">
        <v>193</v>
      </c>
      <c r="I59" s="48"/>
      <c r="J59" s="48">
        <v>-4056525</v>
      </c>
      <c r="K59" s="48">
        <v>-4056525</v>
      </c>
      <c r="L59" s="48">
        <v>4056525</v>
      </c>
      <c r="M59" s="48"/>
      <c r="N59" s="48" t="s">
        <v>338</v>
      </c>
      <c r="O59" s="48">
        <v>1</v>
      </c>
      <c r="P59" s="48">
        <v>415000</v>
      </c>
      <c r="Q59" s="48" t="s">
        <v>34</v>
      </c>
      <c r="R59" s="48"/>
      <c r="S59" s="48"/>
    </row>
    <row r="60" spans="1:19" ht="57.6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 t="s">
        <v>339</v>
      </c>
      <c r="O60" s="48">
        <v>1</v>
      </c>
      <c r="P60" s="48">
        <v>495000</v>
      </c>
      <c r="Q60" s="48" t="s">
        <v>34</v>
      </c>
      <c r="R60" s="48"/>
      <c r="S60" s="48"/>
    </row>
    <row r="61" spans="1:19" ht="43.2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 t="s">
        <v>340</v>
      </c>
      <c r="O61" s="48">
        <v>1</v>
      </c>
      <c r="P61" s="48">
        <v>415000</v>
      </c>
      <c r="Q61" s="48" t="s">
        <v>34</v>
      </c>
      <c r="R61" s="48"/>
      <c r="S61" s="48"/>
    </row>
    <row r="62" spans="1:19" ht="57.6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 t="s">
        <v>341</v>
      </c>
      <c r="O62" s="48">
        <v>1</v>
      </c>
      <c r="P62" s="48">
        <v>415000</v>
      </c>
      <c r="Q62" s="48" t="s">
        <v>34</v>
      </c>
      <c r="R62" s="48"/>
      <c r="S62" s="48"/>
    </row>
    <row r="63" spans="1:19" ht="57.6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 t="s">
        <v>342</v>
      </c>
      <c r="O63" s="48">
        <v>1</v>
      </c>
      <c r="P63" s="48">
        <v>495000</v>
      </c>
      <c r="Q63" s="48" t="s">
        <v>34</v>
      </c>
      <c r="R63" s="48"/>
      <c r="S63" s="48"/>
    </row>
    <row r="64" spans="1:19" ht="43.2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 t="s">
        <v>343</v>
      </c>
      <c r="O64" s="48">
        <v>1</v>
      </c>
      <c r="P64" s="48">
        <v>287500</v>
      </c>
      <c r="Q64" s="48" t="s">
        <v>34</v>
      </c>
      <c r="R64" s="48"/>
      <c r="S64" s="48"/>
    </row>
    <row r="65" spans="1:19" ht="72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 t="s">
        <v>344</v>
      </c>
      <c r="O65" s="48">
        <v>1</v>
      </c>
      <c r="P65" s="48">
        <v>415000</v>
      </c>
      <c r="Q65" s="48" t="s">
        <v>34</v>
      </c>
      <c r="R65" s="48"/>
      <c r="S65" s="48"/>
    </row>
    <row r="66" spans="1:19" ht="57.6" x14ac:dyDescent="0.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 t="s">
        <v>345</v>
      </c>
      <c r="O66" s="48">
        <v>1</v>
      </c>
      <c r="P66" s="48">
        <v>415000</v>
      </c>
      <c r="Q66" s="48" t="s">
        <v>34</v>
      </c>
      <c r="R66" s="48"/>
      <c r="S66" s="48"/>
    </row>
    <row r="67" spans="1:19" x14ac:dyDescent="0.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 x14ac:dyDescent="0.3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1:19" x14ac:dyDescent="0.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1:19" x14ac:dyDescent="0.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  <row r="72" spans="1:19" x14ac:dyDescent="0.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</row>
    <row r="73" spans="1:19" x14ac:dyDescent="0.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</row>
    <row r="74" spans="1:19" x14ac:dyDescent="0.3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</row>
    <row r="75" spans="1:19" x14ac:dyDescent="0.3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</row>
    <row r="76" spans="1:19" ht="28.8" x14ac:dyDescent="0.3">
      <c r="A76" s="48"/>
      <c r="B76" s="48" t="s">
        <v>311</v>
      </c>
      <c r="C76" s="48" t="s">
        <v>316</v>
      </c>
      <c r="D76" s="49">
        <v>45896</v>
      </c>
      <c r="E76" s="49">
        <v>45910</v>
      </c>
      <c r="F76" s="48">
        <v>-21409.9</v>
      </c>
      <c r="G76" s="48" t="s">
        <v>52</v>
      </c>
      <c r="H76" s="48" t="s">
        <v>198</v>
      </c>
      <c r="I76" s="48"/>
      <c r="J76" s="48">
        <v>-25905.98</v>
      </c>
      <c r="K76" s="48">
        <v>-25905.98</v>
      </c>
      <c r="L76" s="48"/>
      <c r="M76" s="48"/>
      <c r="N76" s="48" t="s">
        <v>346</v>
      </c>
      <c r="O76" s="48">
        <v>1</v>
      </c>
      <c r="P76" s="48">
        <v>21409.9</v>
      </c>
      <c r="Q76" s="48" t="s">
        <v>34</v>
      </c>
      <c r="R76" s="48"/>
      <c r="S76" s="48"/>
    </row>
    <row r="77" spans="1:19" x14ac:dyDescent="0.3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</row>
    <row r="78" spans="1:19" x14ac:dyDescent="0.3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</row>
    <row r="79" spans="1:19" ht="28.8" x14ac:dyDescent="0.3">
      <c r="A79" s="48"/>
      <c r="B79" s="48" t="s">
        <v>311</v>
      </c>
      <c r="C79" s="48" t="s">
        <v>316</v>
      </c>
      <c r="D79" s="49">
        <v>45896</v>
      </c>
      <c r="E79" s="49">
        <v>45910</v>
      </c>
      <c r="F79" s="48">
        <v>-14355.27</v>
      </c>
      <c r="G79" s="48" t="s">
        <v>52</v>
      </c>
      <c r="H79" s="48" t="s">
        <v>199</v>
      </c>
      <c r="I79" s="48"/>
      <c r="J79" s="48">
        <v>-17369.88</v>
      </c>
      <c r="K79" s="48">
        <v>-17369.88</v>
      </c>
      <c r="L79" s="48"/>
      <c r="M79" s="48"/>
      <c r="N79" s="48" t="s">
        <v>347</v>
      </c>
      <c r="O79" s="48">
        <v>1</v>
      </c>
      <c r="P79" s="48">
        <v>14355.27</v>
      </c>
      <c r="Q79" s="48" t="s">
        <v>34</v>
      </c>
      <c r="R79" s="48"/>
      <c r="S79" s="48"/>
    </row>
    <row r="80" spans="1:19" x14ac:dyDescent="0.3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</row>
    <row r="81" spans="1:19" x14ac:dyDescent="0.3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</row>
    <row r="82" spans="1:19" ht="28.8" x14ac:dyDescent="0.3">
      <c r="A82" s="48"/>
      <c r="B82" s="48" t="s">
        <v>311</v>
      </c>
      <c r="C82" s="48" t="s">
        <v>316</v>
      </c>
      <c r="D82" s="49">
        <v>45896</v>
      </c>
      <c r="E82" s="49">
        <v>45896</v>
      </c>
      <c r="F82" s="48">
        <v>-36323.980000000003</v>
      </c>
      <c r="G82" s="48" t="s">
        <v>46</v>
      </c>
      <c r="H82" s="48" t="s">
        <v>197</v>
      </c>
      <c r="I82" s="48"/>
      <c r="J82" s="48">
        <v>-43952.02</v>
      </c>
      <c r="K82" s="48">
        <v>-43952.02</v>
      </c>
      <c r="L82" s="48"/>
      <c r="M82" s="48"/>
      <c r="N82" s="48" t="s">
        <v>348</v>
      </c>
      <c r="O82" s="48">
        <v>1</v>
      </c>
      <c r="P82" s="48">
        <v>36323.980000000003</v>
      </c>
      <c r="Q82" s="48" t="s">
        <v>34</v>
      </c>
      <c r="R82" s="48"/>
      <c r="S82" s="48"/>
    </row>
    <row r="83" spans="1:19" x14ac:dyDescent="0.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</row>
    <row r="84" spans="1:19" x14ac:dyDescent="0.3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</row>
    <row r="85" spans="1:19" ht="28.8" x14ac:dyDescent="0.3">
      <c r="A85" s="48"/>
      <c r="B85" s="48" t="s">
        <v>311</v>
      </c>
      <c r="C85" s="48" t="s">
        <v>316</v>
      </c>
      <c r="D85" s="49">
        <v>45894</v>
      </c>
      <c r="E85" s="49">
        <v>45894</v>
      </c>
      <c r="F85" s="48">
        <v>-332727.7</v>
      </c>
      <c r="G85" s="48" t="s">
        <v>211</v>
      </c>
      <c r="H85" s="48" t="s">
        <v>210</v>
      </c>
      <c r="I85" s="48"/>
      <c r="J85" s="48">
        <v>-332727.7</v>
      </c>
      <c r="K85" s="48">
        <v>-332727.7</v>
      </c>
      <c r="L85" s="48"/>
      <c r="M85" s="48"/>
      <c r="N85" s="48" t="s">
        <v>212</v>
      </c>
      <c r="O85" s="48">
        <v>1</v>
      </c>
      <c r="P85" s="48">
        <v>332727.7</v>
      </c>
      <c r="Q85" s="48" t="s">
        <v>34</v>
      </c>
      <c r="R85" s="48"/>
      <c r="S85" s="48"/>
    </row>
    <row r="86" spans="1:19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</row>
    <row r="87" spans="1:19" ht="57.6" x14ac:dyDescent="0.3">
      <c r="A87" s="48"/>
      <c r="B87" s="48" t="s">
        <v>311</v>
      </c>
      <c r="C87" s="48" t="s">
        <v>316</v>
      </c>
      <c r="D87" s="49">
        <v>45895</v>
      </c>
      <c r="E87" s="49">
        <v>45895</v>
      </c>
      <c r="F87" s="48">
        <v>-266479.34000000003</v>
      </c>
      <c r="G87" s="48" t="s">
        <v>46</v>
      </c>
      <c r="H87" s="48" t="s">
        <v>108</v>
      </c>
      <c r="I87" s="48"/>
      <c r="J87" s="48">
        <v>-322440</v>
      </c>
      <c r="K87" s="48">
        <v>-322440</v>
      </c>
      <c r="L87" s="48"/>
      <c r="M87" s="48"/>
      <c r="N87" s="48" t="s">
        <v>349</v>
      </c>
      <c r="O87" s="48">
        <v>1</v>
      </c>
      <c r="P87" s="48">
        <v>266479.34000000003</v>
      </c>
      <c r="Q87" s="48" t="s">
        <v>34</v>
      </c>
      <c r="R87" s="48"/>
      <c r="S87" s="48"/>
    </row>
    <row r="88" spans="1:19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</row>
    <row r="89" spans="1:19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</row>
    <row r="90" spans="1:19" ht="28.8" x14ac:dyDescent="0.3">
      <c r="A90" s="48"/>
      <c r="B90" s="48" t="s">
        <v>311</v>
      </c>
      <c r="C90" s="48" t="s">
        <v>316</v>
      </c>
      <c r="D90" s="49">
        <v>45894</v>
      </c>
      <c r="E90" s="49">
        <v>45894</v>
      </c>
      <c r="F90" s="48">
        <v>-12421.99</v>
      </c>
      <c r="G90" s="48" t="s">
        <v>76</v>
      </c>
      <c r="H90" s="48" t="s">
        <v>213</v>
      </c>
      <c r="I90" s="48"/>
      <c r="J90" s="48">
        <v>-12421.99</v>
      </c>
      <c r="K90" s="48">
        <v>-12421.99</v>
      </c>
      <c r="L90" s="48"/>
      <c r="M90" s="48"/>
      <c r="N90" s="48" t="s">
        <v>51</v>
      </c>
      <c r="O90" s="48">
        <v>1</v>
      </c>
      <c r="P90" s="48">
        <v>12421.99</v>
      </c>
      <c r="Q90" s="48" t="s">
        <v>34</v>
      </c>
      <c r="R90" s="48"/>
      <c r="S90" s="48" t="s">
        <v>350</v>
      </c>
    </row>
    <row r="91" spans="1:19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</row>
    <row r="92" spans="1:19" ht="28.8" x14ac:dyDescent="0.3">
      <c r="A92" s="48"/>
      <c r="B92" s="48" t="s">
        <v>311</v>
      </c>
      <c r="C92" s="48" t="s">
        <v>316</v>
      </c>
      <c r="D92" s="49">
        <v>45894</v>
      </c>
      <c r="E92" s="49">
        <v>45894</v>
      </c>
      <c r="F92" s="48">
        <v>-342773.24</v>
      </c>
      <c r="G92" s="48" t="s">
        <v>211</v>
      </c>
      <c r="H92" s="48" t="s">
        <v>214</v>
      </c>
      <c r="I92" s="48"/>
      <c r="J92" s="48">
        <v>-342773.24</v>
      </c>
      <c r="K92" s="48">
        <v>-342773.24</v>
      </c>
      <c r="L92" s="48"/>
      <c r="M92" s="48"/>
      <c r="N92" s="48" t="s">
        <v>212</v>
      </c>
      <c r="O92" s="48">
        <v>1</v>
      </c>
      <c r="P92" s="48">
        <v>342773.24</v>
      </c>
      <c r="Q92" s="48" t="s">
        <v>34</v>
      </c>
      <c r="R92" s="48"/>
      <c r="S92" s="48"/>
    </row>
    <row r="93" spans="1:19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</row>
    <row r="94" spans="1:19" ht="28.8" x14ac:dyDescent="0.3">
      <c r="A94" s="48"/>
      <c r="B94" s="48" t="s">
        <v>311</v>
      </c>
      <c r="C94" s="48" t="s">
        <v>316</v>
      </c>
      <c r="D94" s="49">
        <v>45894</v>
      </c>
      <c r="E94" s="49">
        <v>45894</v>
      </c>
      <c r="F94" s="48">
        <v>-4500000</v>
      </c>
      <c r="G94" s="48" t="s">
        <v>208</v>
      </c>
      <c r="H94" s="48" t="s">
        <v>207</v>
      </c>
      <c r="I94" s="48"/>
      <c r="J94" s="48">
        <v>-4500000</v>
      </c>
      <c r="K94" s="48">
        <v>-4500000</v>
      </c>
      <c r="L94" s="48"/>
      <c r="M94" s="48"/>
      <c r="N94" s="48" t="s">
        <v>351</v>
      </c>
      <c r="O94" s="48">
        <v>1</v>
      </c>
      <c r="P94" s="48">
        <v>4500000</v>
      </c>
      <c r="Q94" s="48" t="s">
        <v>34</v>
      </c>
      <c r="R94" s="48"/>
      <c r="S94" s="48"/>
    </row>
    <row r="95" spans="1:19" x14ac:dyDescent="0.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</row>
    <row r="96" spans="1:19" ht="43.2" x14ac:dyDescent="0.3">
      <c r="A96" s="48"/>
      <c r="B96" s="48" t="s">
        <v>311</v>
      </c>
      <c r="C96" s="48" t="s">
        <v>312</v>
      </c>
      <c r="D96" s="49">
        <v>45894</v>
      </c>
      <c r="E96" s="49">
        <v>45894</v>
      </c>
      <c r="F96" s="48">
        <v>-114000</v>
      </c>
      <c r="G96" s="48" t="s">
        <v>27</v>
      </c>
      <c r="H96" s="48" t="s">
        <v>204</v>
      </c>
      <c r="I96" s="48"/>
      <c r="J96" s="48">
        <v>-137940</v>
      </c>
      <c r="K96" s="48">
        <v>-137940</v>
      </c>
      <c r="L96" s="48">
        <v>137940</v>
      </c>
      <c r="M96" s="48"/>
      <c r="N96" s="48" t="s">
        <v>87</v>
      </c>
      <c r="O96" s="48">
        <v>1</v>
      </c>
      <c r="P96" s="48">
        <v>114000</v>
      </c>
      <c r="Q96" s="48" t="s">
        <v>34</v>
      </c>
      <c r="R96" s="48"/>
      <c r="S96" s="48"/>
    </row>
    <row r="97" spans="1:19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</row>
    <row r="98" spans="1:19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</row>
    <row r="99" spans="1:19" x14ac:dyDescent="0.3">
      <c r="A99" s="48"/>
      <c r="B99" s="48" t="s">
        <v>311</v>
      </c>
      <c r="C99" s="48" t="s">
        <v>312</v>
      </c>
      <c r="D99" s="49">
        <v>45894</v>
      </c>
      <c r="E99" s="49">
        <v>45924</v>
      </c>
      <c r="F99" s="48">
        <v>-381873.54</v>
      </c>
      <c r="G99" s="48" t="s">
        <v>49</v>
      </c>
      <c r="H99" s="48" t="s">
        <v>206</v>
      </c>
      <c r="I99" s="48"/>
      <c r="J99" s="48">
        <v>-462066.98</v>
      </c>
      <c r="K99" s="48">
        <v>-462066.98</v>
      </c>
      <c r="L99" s="48">
        <v>462066.98</v>
      </c>
      <c r="M99" s="48"/>
      <c r="N99" s="48" t="s">
        <v>352</v>
      </c>
      <c r="O99" s="48">
        <v>6</v>
      </c>
      <c r="P99" s="48">
        <v>63645.59</v>
      </c>
      <c r="Q99" s="48" t="s">
        <v>34</v>
      </c>
      <c r="R99" s="48"/>
      <c r="S99" s="48"/>
    </row>
    <row r="100" spans="1:19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</row>
    <row r="101" spans="1:19" x14ac:dyDescent="0.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</row>
    <row r="102" spans="1:19" ht="28.8" x14ac:dyDescent="0.3">
      <c r="A102" s="48"/>
      <c r="B102" s="48" t="s">
        <v>311</v>
      </c>
      <c r="C102" s="48" t="s">
        <v>312</v>
      </c>
      <c r="D102" s="49">
        <v>45894</v>
      </c>
      <c r="E102" s="49">
        <v>45924</v>
      </c>
      <c r="F102" s="48">
        <v>-584967.53</v>
      </c>
      <c r="G102" s="48" t="s">
        <v>49</v>
      </c>
      <c r="H102" s="48" t="s">
        <v>205</v>
      </c>
      <c r="I102" s="48"/>
      <c r="J102" s="48">
        <v>-707810.71</v>
      </c>
      <c r="K102" s="48">
        <v>-707810.71</v>
      </c>
      <c r="L102" s="48">
        <v>707810.71</v>
      </c>
      <c r="M102" s="48"/>
      <c r="N102" s="48" t="s">
        <v>353</v>
      </c>
      <c r="O102" s="48">
        <v>27</v>
      </c>
      <c r="P102" s="48">
        <v>8450.57</v>
      </c>
      <c r="Q102" s="48" t="s">
        <v>34</v>
      </c>
      <c r="R102" s="48"/>
      <c r="S102" s="48"/>
    </row>
    <row r="103" spans="1:19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 t="s">
        <v>354</v>
      </c>
      <c r="O103" s="48">
        <v>38</v>
      </c>
      <c r="P103" s="48">
        <v>9389.5300000000007</v>
      </c>
      <c r="Q103" s="48" t="s">
        <v>34</v>
      </c>
      <c r="R103" s="48"/>
      <c r="S103" s="48"/>
    </row>
    <row r="104" spans="1:19" x14ac:dyDescent="0.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</row>
    <row r="105" spans="1:19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</row>
    <row r="106" spans="1:19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</row>
    <row r="107" spans="1:19" x14ac:dyDescent="0.3">
      <c r="A107" s="48"/>
      <c r="B107" s="48" t="s">
        <v>311</v>
      </c>
      <c r="C107" s="48" t="s">
        <v>312</v>
      </c>
      <c r="D107" s="49">
        <v>45894</v>
      </c>
      <c r="E107" s="49">
        <v>45925</v>
      </c>
      <c r="F107" s="48">
        <v>-27516737.699999999</v>
      </c>
      <c r="G107" s="48" t="s">
        <v>86</v>
      </c>
      <c r="H107" s="48" t="s">
        <v>215</v>
      </c>
      <c r="I107" s="48"/>
      <c r="J107" s="48">
        <v>-33295252.620000001</v>
      </c>
      <c r="K107" s="48">
        <v>-33295252.620000001</v>
      </c>
      <c r="L107" s="48">
        <v>33295252.620000001</v>
      </c>
      <c r="M107" s="48"/>
      <c r="N107" s="48" t="s">
        <v>355</v>
      </c>
      <c r="O107" s="48">
        <v>25</v>
      </c>
      <c r="P107" s="48">
        <v>10055.799999999999</v>
      </c>
      <c r="Q107" s="48" t="s">
        <v>34</v>
      </c>
      <c r="R107" s="48"/>
      <c r="S107" s="48"/>
    </row>
    <row r="108" spans="1:19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 t="s">
        <v>356</v>
      </c>
      <c r="O108" s="48">
        <v>1000</v>
      </c>
      <c r="P108" s="48">
        <v>2246.8000000000002</v>
      </c>
      <c r="Q108" s="48" t="s">
        <v>34</v>
      </c>
      <c r="R108" s="48"/>
      <c r="S108" s="48"/>
    </row>
    <row r="109" spans="1:19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 t="s">
        <v>357</v>
      </c>
      <c r="O109" s="48">
        <v>2100</v>
      </c>
      <c r="P109" s="48">
        <v>3205.8</v>
      </c>
      <c r="Q109" s="48" t="s">
        <v>34</v>
      </c>
      <c r="R109" s="48"/>
      <c r="S109" s="48"/>
    </row>
    <row r="110" spans="1:19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 t="s">
        <v>358</v>
      </c>
      <c r="O110" s="48">
        <v>25</v>
      </c>
      <c r="P110" s="48">
        <v>10055.799999999999</v>
      </c>
      <c r="Q110" s="48" t="s">
        <v>34</v>
      </c>
      <c r="R110" s="48"/>
      <c r="S110" s="48"/>
    </row>
    <row r="111" spans="1:19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 t="s">
        <v>359</v>
      </c>
      <c r="O111" s="48">
        <v>2015</v>
      </c>
      <c r="P111" s="48">
        <v>1274.0999999999999</v>
      </c>
      <c r="Q111" s="48" t="s">
        <v>34</v>
      </c>
      <c r="R111" s="48"/>
      <c r="S111" s="48"/>
    </row>
    <row r="112" spans="1:19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 t="s">
        <v>360</v>
      </c>
      <c r="O112" s="48">
        <v>100</v>
      </c>
      <c r="P112" s="48">
        <v>11576.5</v>
      </c>
      <c r="Q112" s="48" t="s">
        <v>34</v>
      </c>
      <c r="R112" s="48"/>
      <c r="S112" s="48"/>
    </row>
    <row r="113" spans="1:19" x14ac:dyDescent="0.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 t="s">
        <v>361</v>
      </c>
      <c r="O113" s="48">
        <v>50</v>
      </c>
      <c r="P113" s="48">
        <v>7302.1</v>
      </c>
      <c r="Q113" s="48" t="s">
        <v>34</v>
      </c>
      <c r="R113" s="48"/>
      <c r="S113" s="48"/>
    </row>
    <row r="114" spans="1:19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 t="s">
        <v>362</v>
      </c>
      <c r="O114" s="48">
        <v>9</v>
      </c>
      <c r="P114" s="48">
        <v>31016.799999999999</v>
      </c>
      <c r="Q114" s="48" t="s">
        <v>34</v>
      </c>
      <c r="R114" s="48"/>
      <c r="S114" s="48"/>
    </row>
    <row r="115" spans="1:19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 t="s">
        <v>363</v>
      </c>
      <c r="O115" s="48">
        <v>250</v>
      </c>
      <c r="P115" s="48">
        <v>3973</v>
      </c>
      <c r="Q115" s="48" t="s">
        <v>34</v>
      </c>
      <c r="R115" s="48"/>
      <c r="S115" s="48"/>
    </row>
    <row r="116" spans="1:19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 t="s">
        <v>364</v>
      </c>
      <c r="O116" s="48">
        <v>50</v>
      </c>
      <c r="P116" s="48">
        <v>2575.6</v>
      </c>
      <c r="Q116" s="48" t="s">
        <v>34</v>
      </c>
      <c r="R116" s="48"/>
      <c r="S116" s="48"/>
    </row>
    <row r="117" spans="1:19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 t="s">
        <v>365</v>
      </c>
      <c r="O117" s="48">
        <v>2600</v>
      </c>
      <c r="P117" s="48">
        <v>1972.8</v>
      </c>
      <c r="Q117" s="48" t="s">
        <v>34</v>
      </c>
      <c r="R117" s="48"/>
      <c r="S117" s="48"/>
    </row>
    <row r="118" spans="1:19" ht="28.8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 t="s">
        <v>366</v>
      </c>
      <c r="O118" s="48">
        <v>4400</v>
      </c>
      <c r="P118" s="48">
        <v>1685.1</v>
      </c>
      <c r="Q118" s="48" t="s">
        <v>34</v>
      </c>
      <c r="R118" s="48"/>
      <c r="S118" s="48"/>
    </row>
    <row r="119" spans="1:19" x14ac:dyDescent="0.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</row>
    <row r="120" spans="1:19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</row>
    <row r="121" spans="1:19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</row>
    <row r="122" spans="1:19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</row>
    <row r="123" spans="1:19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</row>
    <row r="124" spans="1:19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</row>
    <row r="125" spans="1:19" x14ac:dyDescent="0.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</row>
    <row r="126" spans="1:19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</row>
    <row r="127" spans="1:19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</row>
    <row r="128" spans="1:19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</row>
    <row r="129" spans="1:19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</row>
    <row r="130" spans="1:19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</row>
    <row r="131" spans="1:19" x14ac:dyDescent="0.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</row>
    <row r="132" spans="1:19" x14ac:dyDescent="0.3">
      <c r="A132" s="48"/>
      <c r="B132" s="48" t="s">
        <v>311</v>
      </c>
      <c r="C132" s="48" t="s">
        <v>312</v>
      </c>
      <c r="D132" s="49">
        <v>45894</v>
      </c>
      <c r="E132" s="49">
        <v>45925</v>
      </c>
      <c r="F132" s="48">
        <v>-7477460</v>
      </c>
      <c r="G132" s="48" t="s">
        <v>86</v>
      </c>
      <c r="H132" s="48" t="s">
        <v>217</v>
      </c>
      <c r="I132" s="48"/>
      <c r="J132" s="48">
        <v>-9047726.5999999996</v>
      </c>
      <c r="K132" s="48">
        <v>-9047726.5999999996</v>
      </c>
      <c r="L132" s="48">
        <v>9047726.5999999996</v>
      </c>
      <c r="M132" s="48"/>
      <c r="N132" s="48" t="s">
        <v>357</v>
      </c>
      <c r="O132" s="48">
        <v>300</v>
      </c>
      <c r="P132" s="48">
        <v>1876.9</v>
      </c>
      <c r="Q132" s="48" t="s">
        <v>34</v>
      </c>
      <c r="R132" s="48"/>
      <c r="S132" s="48"/>
    </row>
    <row r="133" spans="1:19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 t="s">
        <v>367</v>
      </c>
      <c r="O133" s="48">
        <v>1550</v>
      </c>
      <c r="P133" s="48">
        <v>1835.8</v>
      </c>
      <c r="Q133" s="48" t="s">
        <v>34</v>
      </c>
      <c r="R133" s="48"/>
      <c r="S133" s="48"/>
    </row>
    <row r="134" spans="1:19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 t="s">
        <v>368</v>
      </c>
      <c r="O134" s="48">
        <v>2750</v>
      </c>
      <c r="P134" s="48">
        <v>1479.6</v>
      </c>
      <c r="Q134" s="48" t="s">
        <v>34</v>
      </c>
      <c r="R134" s="48"/>
      <c r="S134" s="48"/>
    </row>
    <row r="135" spans="1:19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</row>
    <row r="136" spans="1:19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</row>
    <row r="137" spans="1:19" x14ac:dyDescent="0.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</row>
    <row r="138" spans="1:19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</row>
    <row r="139" spans="1:19" ht="28.8" x14ac:dyDescent="0.3">
      <c r="A139" s="48"/>
      <c r="B139" s="48" t="s">
        <v>311</v>
      </c>
      <c r="C139" s="48" t="s">
        <v>312</v>
      </c>
      <c r="D139" s="49">
        <v>45894</v>
      </c>
      <c r="E139" s="49">
        <v>45924</v>
      </c>
      <c r="F139" s="48">
        <v>-3621800</v>
      </c>
      <c r="G139" s="48" t="s">
        <v>89</v>
      </c>
      <c r="H139" s="48" t="s">
        <v>209</v>
      </c>
      <c r="I139" s="48"/>
      <c r="J139" s="48">
        <v>-4382378</v>
      </c>
      <c r="K139" s="48">
        <v>-4382378</v>
      </c>
      <c r="L139" s="48">
        <v>4382378</v>
      </c>
      <c r="M139" s="48"/>
      <c r="N139" s="48" t="s">
        <v>369</v>
      </c>
      <c r="O139" s="48">
        <v>2426</v>
      </c>
      <c r="P139" s="48">
        <v>350</v>
      </c>
      <c r="Q139" s="48" t="s">
        <v>34</v>
      </c>
      <c r="R139" s="48"/>
      <c r="S139" s="48"/>
    </row>
    <row r="140" spans="1:19" ht="28.8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 t="s">
        <v>370</v>
      </c>
      <c r="O140" s="48">
        <v>1586</v>
      </c>
      <c r="P140" s="48">
        <v>350</v>
      </c>
      <c r="Q140" s="48" t="s">
        <v>34</v>
      </c>
      <c r="R140" s="48"/>
      <c r="S140" s="48"/>
    </row>
    <row r="141" spans="1:19" ht="28.8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 t="s">
        <v>371</v>
      </c>
      <c r="O141" s="48">
        <v>1024</v>
      </c>
      <c r="P141" s="48">
        <v>350</v>
      </c>
      <c r="Q141" s="48" t="s">
        <v>34</v>
      </c>
      <c r="R141" s="48"/>
      <c r="S141" s="48"/>
    </row>
    <row r="142" spans="1:19" ht="28.8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 t="s">
        <v>372</v>
      </c>
      <c r="O142" s="48">
        <v>1101</v>
      </c>
      <c r="P142" s="48">
        <v>350</v>
      </c>
      <c r="Q142" s="48" t="s">
        <v>34</v>
      </c>
      <c r="R142" s="48"/>
      <c r="S142" s="48"/>
    </row>
    <row r="143" spans="1:19" ht="28.8" x14ac:dyDescent="0.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 t="s">
        <v>373</v>
      </c>
      <c r="O143" s="48">
        <v>1235</v>
      </c>
      <c r="P143" s="48">
        <v>350</v>
      </c>
      <c r="Q143" s="48" t="s">
        <v>34</v>
      </c>
      <c r="R143" s="48"/>
      <c r="S143" s="48"/>
    </row>
    <row r="144" spans="1:19" ht="28.8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 t="s">
        <v>374</v>
      </c>
      <c r="O144" s="48">
        <v>2976</v>
      </c>
      <c r="P144" s="48">
        <v>350</v>
      </c>
      <c r="Q144" s="48" t="s">
        <v>34</v>
      </c>
      <c r="R144" s="48"/>
      <c r="S144" s="48"/>
    </row>
    <row r="145" spans="1:19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</row>
    <row r="146" spans="1:19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</row>
    <row r="147" spans="1:19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</row>
    <row r="148" spans="1:19" x14ac:dyDescent="0.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</row>
    <row r="149" spans="1:19" x14ac:dyDescent="0.3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</row>
    <row r="150" spans="1:19" x14ac:dyDescent="0.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</row>
    <row r="151" spans="1:19" x14ac:dyDescent="0.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</row>
    <row r="152" spans="1:19" ht="57.6" x14ac:dyDescent="0.3">
      <c r="A152" s="48"/>
      <c r="B152" s="48" t="s">
        <v>311</v>
      </c>
      <c r="C152" s="48" t="s">
        <v>316</v>
      </c>
      <c r="D152" s="49">
        <v>45894</v>
      </c>
      <c r="E152" s="49">
        <v>45909</v>
      </c>
      <c r="F152" s="48">
        <v>-37110.11</v>
      </c>
      <c r="G152" s="48" t="s">
        <v>52</v>
      </c>
      <c r="H152" s="48" t="s">
        <v>202</v>
      </c>
      <c r="I152" s="48"/>
      <c r="J152" s="48">
        <v>-44903.23</v>
      </c>
      <c r="K152" s="48">
        <v>-44903.23</v>
      </c>
      <c r="L152" s="48"/>
      <c r="M152" s="48"/>
      <c r="N152" s="48" t="s">
        <v>375</v>
      </c>
      <c r="O152" s="48">
        <v>1</v>
      </c>
      <c r="P152" s="48">
        <v>37110.11</v>
      </c>
      <c r="Q152" s="48" t="s">
        <v>34</v>
      </c>
      <c r="R152" s="48"/>
      <c r="S152" s="48"/>
    </row>
    <row r="153" spans="1:19" x14ac:dyDescent="0.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</row>
    <row r="154" spans="1:19" x14ac:dyDescent="0.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</row>
    <row r="155" spans="1:19" x14ac:dyDescent="0.3">
      <c r="A155" s="48"/>
      <c r="B155" s="48" t="s">
        <v>311</v>
      </c>
      <c r="C155" s="48" t="s">
        <v>316</v>
      </c>
      <c r="D155" s="49">
        <v>45894</v>
      </c>
      <c r="E155" s="49">
        <v>45894</v>
      </c>
      <c r="F155" s="48">
        <v>-176269.65</v>
      </c>
      <c r="G155" s="48" t="s">
        <v>46</v>
      </c>
      <c r="H155" s="48" t="s">
        <v>203</v>
      </c>
      <c r="I155" s="48"/>
      <c r="J155" s="48">
        <v>-213286.28</v>
      </c>
      <c r="K155" s="48">
        <v>-213286.28</v>
      </c>
      <c r="L155" s="48"/>
      <c r="M155" s="48"/>
      <c r="N155" s="48" t="s">
        <v>376</v>
      </c>
      <c r="O155" s="48">
        <v>1</v>
      </c>
      <c r="P155" s="48">
        <v>176269.65</v>
      </c>
      <c r="Q155" s="48" t="s">
        <v>34</v>
      </c>
      <c r="R155" s="48"/>
      <c r="S155" s="48"/>
    </row>
    <row r="156" spans="1:19" x14ac:dyDescent="0.3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</row>
    <row r="157" spans="1:19" x14ac:dyDescent="0.3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</row>
    <row r="158" spans="1:19" ht="43.2" x14ac:dyDescent="0.3">
      <c r="A158" s="48"/>
      <c r="B158" s="48" t="s">
        <v>311</v>
      </c>
      <c r="C158" s="48" t="s">
        <v>312</v>
      </c>
      <c r="D158" s="49">
        <v>45891</v>
      </c>
      <c r="E158" s="49">
        <v>45951</v>
      </c>
      <c r="F158" s="48">
        <v>-434593.38</v>
      </c>
      <c r="G158" s="48" t="s">
        <v>59</v>
      </c>
      <c r="H158" s="48" t="s">
        <v>218</v>
      </c>
      <c r="I158" s="48"/>
      <c r="J158" s="48">
        <v>-525857.99</v>
      </c>
      <c r="K158" s="48">
        <v>-525857.99</v>
      </c>
      <c r="L158" s="48">
        <v>525857.99</v>
      </c>
      <c r="M158" s="48"/>
      <c r="N158" s="48" t="s">
        <v>377</v>
      </c>
      <c r="O158" s="48">
        <v>1</v>
      </c>
      <c r="P158" s="48">
        <v>434593.38</v>
      </c>
      <c r="Q158" s="48" t="s">
        <v>34</v>
      </c>
      <c r="R158" s="48"/>
      <c r="S158" s="48"/>
    </row>
    <row r="159" spans="1:19" x14ac:dyDescent="0.3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</row>
    <row r="160" spans="1:19" x14ac:dyDescent="0.3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</row>
    <row r="161" spans="1:19" ht="28.8" x14ac:dyDescent="0.3">
      <c r="A161" s="48"/>
      <c r="B161" s="48" t="s">
        <v>311</v>
      </c>
      <c r="C161" s="48" t="s">
        <v>316</v>
      </c>
      <c r="D161" s="49">
        <v>45891</v>
      </c>
      <c r="E161" s="49">
        <v>45891</v>
      </c>
      <c r="F161" s="48">
        <v>-310050</v>
      </c>
      <c r="G161" s="48" t="s">
        <v>91</v>
      </c>
      <c r="H161" s="48" t="s">
        <v>219</v>
      </c>
      <c r="I161" s="48"/>
      <c r="J161" s="48">
        <v>-375160.5</v>
      </c>
      <c r="K161" s="48">
        <v>-375160.5</v>
      </c>
      <c r="L161" s="48"/>
      <c r="M161" s="48"/>
      <c r="N161" s="48" t="s">
        <v>92</v>
      </c>
      <c r="O161" s="48">
        <v>30</v>
      </c>
      <c r="P161" s="48">
        <v>10335</v>
      </c>
      <c r="Q161" s="48" t="s">
        <v>34</v>
      </c>
      <c r="R161" s="48"/>
      <c r="S161" s="48"/>
    </row>
    <row r="162" spans="1:19" x14ac:dyDescent="0.3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</row>
    <row r="163" spans="1:19" x14ac:dyDescent="0.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</row>
    <row r="164" spans="1:19" x14ac:dyDescent="0.3">
      <c r="A164" s="48"/>
      <c r="B164" s="48" t="s">
        <v>311</v>
      </c>
      <c r="C164" s="48" t="s">
        <v>312</v>
      </c>
      <c r="D164" s="49">
        <v>45890</v>
      </c>
      <c r="E164" s="49">
        <v>45940</v>
      </c>
      <c r="F164" s="48">
        <v>-2446526</v>
      </c>
      <c r="G164" s="48" t="s">
        <v>54</v>
      </c>
      <c r="H164" s="48" t="s">
        <v>222</v>
      </c>
      <c r="I164" s="48"/>
      <c r="J164" s="48">
        <v>-2960296.46</v>
      </c>
      <c r="K164" s="48">
        <v>-2960296.46</v>
      </c>
      <c r="L164" s="48">
        <v>2960296.46</v>
      </c>
      <c r="M164" s="48"/>
      <c r="N164" s="48" t="s">
        <v>378</v>
      </c>
      <c r="O164" s="48">
        <v>4</v>
      </c>
      <c r="P164" s="48">
        <v>49280</v>
      </c>
      <c r="Q164" s="48" t="s">
        <v>34</v>
      </c>
      <c r="R164" s="48"/>
      <c r="S164" s="48"/>
    </row>
    <row r="165" spans="1:19" ht="28.8" x14ac:dyDescent="0.3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 t="s">
        <v>379</v>
      </c>
      <c r="O165" s="48">
        <v>54</v>
      </c>
      <c r="P165" s="48">
        <v>40989</v>
      </c>
      <c r="Q165" s="48" t="s">
        <v>34</v>
      </c>
      <c r="R165" s="48"/>
      <c r="S165" s="48"/>
    </row>
    <row r="166" spans="1:19" ht="28.8" x14ac:dyDescent="0.3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 t="s">
        <v>380</v>
      </c>
      <c r="O166" s="48">
        <v>1</v>
      </c>
      <c r="P166" s="48">
        <v>36000</v>
      </c>
      <c r="Q166" s="48" t="s">
        <v>34</v>
      </c>
      <c r="R166" s="48"/>
      <c r="S166" s="48"/>
    </row>
    <row r="167" spans="1:19" x14ac:dyDescent="0.3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</row>
    <row r="168" spans="1:19" x14ac:dyDescent="0.3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</row>
    <row r="169" spans="1:19" x14ac:dyDescent="0.3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</row>
    <row r="170" spans="1:19" x14ac:dyDescent="0.3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</row>
    <row r="171" spans="1:19" ht="129.6" x14ac:dyDescent="0.3">
      <c r="A171" s="48"/>
      <c r="B171" s="48" t="s">
        <v>311</v>
      </c>
      <c r="C171" s="48" t="s">
        <v>381</v>
      </c>
      <c r="D171" s="49">
        <v>45890</v>
      </c>
      <c r="E171" s="49">
        <v>45950</v>
      </c>
      <c r="F171" s="48">
        <v>-644579.92000000004</v>
      </c>
      <c r="G171" s="48" t="s">
        <v>59</v>
      </c>
      <c r="H171" s="48" t="s">
        <v>221</v>
      </c>
      <c r="I171" s="48"/>
      <c r="J171" s="48">
        <v>-779941.7</v>
      </c>
      <c r="K171" s="48">
        <v>-779941.7</v>
      </c>
      <c r="L171" s="48">
        <v>462128.54</v>
      </c>
      <c r="M171" s="48"/>
      <c r="N171" s="48" t="s">
        <v>382</v>
      </c>
      <c r="O171" s="48">
        <v>1</v>
      </c>
      <c r="P171" s="48">
        <v>644579.92000000004</v>
      </c>
      <c r="Q171" s="48" t="s">
        <v>34</v>
      </c>
      <c r="R171" s="48"/>
      <c r="S171" s="48"/>
    </row>
    <row r="172" spans="1:19" x14ac:dyDescent="0.3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</row>
    <row r="173" spans="1:19" x14ac:dyDescent="0.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</row>
    <row r="174" spans="1:19" x14ac:dyDescent="0.3">
      <c r="A174" s="48"/>
      <c r="B174" s="48" t="s">
        <v>311</v>
      </c>
      <c r="C174" s="48" t="s">
        <v>312</v>
      </c>
      <c r="D174" s="49">
        <v>45890</v>
      </c>
      <c r="E174" s="49">
        <v>45920</v>
      </c>
      <c r="F174" s="48">
        <v>-338022.8</v>
      </c>
      <c r="G174" s="48" t="s">
        <v>49</v>
      </c>
      <c r="H174" s="48" t="s">
        <v>223</v>
      </c>
      <c r="I174" s="48"/>
      <c r="J174" s="48">
        <v>-409007.59</v>
      </c>
      <c r="K174" s="48">
        <v>-409007.59</v>
      </c>
      <c r="L174" s="48">
        <v>409007.59</v>
      </c>
      <c r="M174" s="48"/>
      <c r="N174" s="48" t="s">
        <v>383</v>
      </c>
      <c r="O174" s="48">
        <v>40</v>
      </c>
      <c r="P174" s="48">
        <v>8450.57</v>
      </c>
      <c r="Q174" s="48" t="s">
        <v>34</v>
      </c>
      <c r="R174" s="48"/>
      <c r="S174" s="48"/>
    </row>
    <row r="175" spans="1:19" x14ac:dyDescent="0.3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</row>
    <row r="176" spans="1:19" x14ac:dyDescent="0.3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</row>
    <row r="177" spans="1:19" ht="28.8" x14ac:dyDescent="0.3">
      <c r="A177" s="48"/>
      <c r="B177" s="48" t="s">
        <v>311</v>
      </c>
      <c r="C177" s="48" t="s">
        <v>316</v>
      </c>
      <c r="D177" s="49">
        <v>45890</v>
      </c>
      <c r="E177" s="49">
        <v>45890</v>
      </c>
      <c r="F177" s="48">
        <v>-18843</v>
      </c>
      <c r="G177" s="48" t="s">
        <v>46</v>
      </c>
      <c r="H177" s="48" t="s">
        <v>220</v>
      </c>
      <c r="I177" s="48"/>
      <c r="J177" s="48">
        <v>-22800.03</v>
      </c>
      <c r="K177" s="48">
        <v>-22800.03</v>
      </c>
      <c r="L177" s="48"/>
      <c r="M177" s="48"/>
      <c r="N177" s="48" t="s">
        <v>384</v>
      </c>
      <c r="O177" s="48">
        <v>1</v>
      </c>
      <c r="P177" s="48">
        <v>18843</v>
      </c>
      <c r="Q177" s="48" t="s">
        <v>34</v>
      </c>
      <c r="R177" s="48"/>
      <c r="S177" s="48"/>
    </row>
    <row r="178" spans="1:19" x14ac:dyDescent="0.3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</row>
    <row r="179" spans="1:19" x14ac:dyDescent="0.3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</row>
    <row r="180" spans="1:19" ht="28.8" x14ac:dyDescent="0.3">
      <c r="A180" s="48"/>
      <c r="B180" s="48" t="s">
        <v>311</v>
      </c>
      <c r="C180" s="48" t="s">
        <v>316</v>
      </c>
      <c r="D180" s="49">
        <v>45889</v>
      </c>
      <c r="E180" s="49">
        <v>45889</v>
      </c>
      <c r="F180" s="48">
        <v>-27554.22</v>
      </c>
      <c r="G180" s="48" t="s">
        <v>76</v>
      </c>
      <c r="H180" s="48" t="s">
        <v>230</v>
      </c>
      <c r="I180" s="48"/>
      <c r="J180" s="48">
        <v>-27554.22</v>
      </c>
      <c r="K180" s="48">
        <v>-27554.22</v>
      </c>
      <c r="L180" s="48"/>
      <c r="M180" s="48"/>
      <c r="N180" s="48" t="s">
        <v>51</v>
      </c>
      <c r="O180" s="48">
        <v>1</v>
      </c>
      <c r="P180" s="48">
        <v>27554.22</v>
      </c>
      <c r="Q180" s="48" t="s">
        <v>34</v>
      </c>
      <c r="R180" s="48"/>
      <c r="S180" s="48"/>
    </row>
    <row r="181" spans="1:19" x14ac:dyDescent="0.3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</row>
    <row r="182" spans="1:19" ht="43.2" x14ac:dyDescent="0.3">
      <c r="A182" s="48"/>
      <c r="B182" s="48" t="s">
        <v>311</v>
      </c>
      <c r="C182" s="48" t="s">
        <v>312</v>
      </c>
      <c r="D182" s="49">
        <v>45889</v>
      </c>
      <c r="E182" s="49">
        <v>45949</v>
      </c>
      <c r="F182" s="48">
        <v>-3097534.61</v>
      </c>
      <c r="G182" s="48" t="s">
        <v>58</v>
      </c>
      <c r="H182" s="48" t="s">
        <v>228</v>
      </c>
      <c r="I182" s="48"/>
      <c r="J182" s="48">
        <v>-3769699.62</v>
      </c>
      <c r="K182" s="48">
        <v>-3769699.62</v>
      </c>
      <c r="L182" s="48">
        <v>3769699.62</v>
      </c>
      <c r="M182" s="48"/>
      <c r="N182" s="48" t="s">
        <v>385</v>
      </c>
      <c r="O182" s="48">
        <v>1</v>
      </c>
      <c r="P182" s="48">
        <v>3097534.61</v>
      </c>
      <c r="Q182" s="48" t="s">
        <v>34</v>
      </c>
      <c r="R182" s="48"/>
      <c r="S182" s="48"/>
    </row>
    <row r="183" spans="1:19" x14ac:dyDescent="0.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</row>
    <row r="184" spans="1:19" x14ac:dyDescent="0.3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</row>
    <row r="185" spans="1:19" x14ac:dyDescent="0.3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</row>
    <row r="186" spans="1:19" x14ac:dyDescent="0.3">
      <c r="A186" s="48"/>
      <c r="B186" s="48" t="s">
        <v>311</v>
      </c>
      <c r="C186" s="48" t="s">
        <v>312</v>
      </c>
      <c r="D186" s="49">
        <v>45889</v>
      </c>
      <c r="E186" s="49">
        <v>45903</v>
      </c>
      <c r="F186" s="48">
        <v>-2951468</v>
      </c>
      <c r="G186" s="48" t="s">
        <v>35</v>
      </c>
      <c r="H186" s="48" t="s">
        <v>224</v>
      </c>
      <c r="I186" s="48"/>
      <c r="J186" s="48">
        <v>-3571276.28</v>
      </c>
      <c r="K186" s="48">
        <v>-3571276.28</v>
      </c>
      <c r="L186" s="48">
        <v>3571276.28</v>
      </c>
      <c r="M186" s="48"/>
      <c r="N186" s="48" t="s">
        <v>386</v>
      </c>
      <c r="O186" s="48">
        <v>1</v>
      </c>
      <c r="P186" s="48">
        <v>2951468</v>
      </c>
      <c r="Q186" s="48" t="s">
        <v>34</v>
      </c>
      <c r="R186" s="48"/>
      <c r="S186" s="48"/>
    </row>
    <row r="187" spans="1:19" x14ac:dyDescent="0.3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</row>
    <row r="188" spans="1:19" x14ac:dyDescent="0.3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</row>
    <row r="189" spans="1:19" ht="43.2" x14ac:dyDescent="0.3">
      <c r="A189" s="48"/>
      <c r="B189" s="48" t="s">
        <v>311</v>
      </c>
      <c r="C189" s="48" t="s">
        <v>312</v>
      </c>
      <c r="D189" s="49">
        <v>45889</v>
      </c>
      <c r="E189" s="49">
        <v>45904</v>
      </c>
      <c r="F189" s="48">
        <v>-3061085.83</v>
      </c>
      <c r="G189" s="48" t="s">
        <v>98</v>
      </c>
      <c r="H189" s="48" t="s">
        <v>226</v>
      </c>
      <c r="I189" s="48"/>
      <c r="J189" s="48">
        <v>-3703913.85</v>
      </c>
      <c r="K189" s="48">
        <v>-3703913.85</v>
      </c>
      <c r="L189" s="48">
        <v>3703913.85</v>
      </c>
      <c r="M189" s="48"/>
      <c r="N189" s="48" t="s">
        <v>99</v>
      </c>
      <c r="O189" s="48">
        <v>1</v>
      </c>
      <c r="P189" s="48">
        <v>3061085.83</v>
      </c>
      <c r="Q189" s="48" t="s">
        <v>34</v>
      </c>
      <c r="R189" s="48"/>
      <c r="S189" s="48"/>
    </row>
    <row r="190" spans="1:19" x14ac:dyDescent="0.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</row>
    <row r="191" spans="1:19" x14ac:dyDescent="0.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</row>
    <row r="192" spans="1:19" x14ac:dyDescent="0.3">
      <c r="A192" s="48"/>
      <c r="B192" s="48" t="s">
        <v>311</v>
      </c>
      <c r="C192" s="48" t="s">
        <v>316</v>
      </c>
      <c r="D192" s="49">
        <v>45889</v>
      </c>
      <c r="E192" s="49">
        <v>45903</v>
      </c>
      <c r="F192" s="48">
        <v>-26996.28</v>
      </c>
      <c r="G192" s="48" t="s">
        <v>52</v>
      </c>
      <c r="H192" s="48" t="s">
        <v>229</v>
      </c>
      <c r="I192" s="48"/>
      <c r="J192" s="48">
        <v>-32665.5</v>
      </c>
      <c r="K192" s="48">
        <v>-32665.5</v>
      </c>
      <c r="L192" s="48"/>
      <c r="M192" s="48"/>
      <c r="N192" s="48" t="s">
        <v>387</v>
      </c>
      <c r="O192" s="48">
        <v>1</v>
      </c>
      <c r="P192" s="48">
        <v>26996.28</v>
      </c>
      <c r="Q192" s="48" t="s">
        <v>34</v>
      </c>
      <c r="R192" s="48"/>
      <c r="S192" s="48"/>
    </row>
    <row r="193" spans="1:19" x14ac:dyDescent="0.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</row>
    <row r="194" spans="1:19" x14ac:dyDescent="0.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</row>
    <row r="195" spans="1:19" ht="28.8" x14ac:dyDescent="0.3">
      <c r="A195" s="48"/>
      <c r="B195" s="48" t="s">
        <v>311</v>
      </c>
      <c r="C195" s="48" t="s">
        <v>316</v>
      </c>
      <c r="D195" s="49">
        <v>45888</v>
      </c>
      <c r="E195" s="49">
        <v>45888</v>
      </c>
      <c r="F195" s="48">
        <v>-12421.99</v>
      </c>
      <c r="G195" s="48" t="s">
        <v>76</v>
      </c>
      <c r="H195" s="48" t="s">
        <v>232</v>
      </c>
      <c r="I195" s="48"/>
      <c r="J195" s="48">
        <v>-12421.99</v>
      </c>
      <c r="K195" s="48">
        <v>-12421.99</v>
      </c>
      <c r="L195" s="48"/>
      <c r="M195" s="48"/>
      <c r="N195" s="48" t="s">
        <v>51</v>
      </c>
      <c r="O195" s="48">
        <v>1</v>
      </c>
      <c r="P195" s="48">
        <v>12421.99</v>
      </c>
      <c r="Q195" s="48" t="s">
        <v>34</v>
      </c>
      <c r="R195" s="48"/>
      <c r="S195" s="48"/>
    </row>
    <row r="196" spans="1:19" x14ac:dyDescent="0.3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</row>
    <row r="197" spans="1:19" ht="43.2" x14ac:dyDescent="0.3">
      <c r="A197" s="48"/>
      <c r="B197" s="48" t="s">
        <v>311</v>
      </c>
      <c r="C197" s="48" t="s">
        <v>312</v>
      </c>
      <c r="D197" s="49">
        <v>45888</v>
      </c>
      <c r="E197" s="49">
        <v>45888</v>
      </c>
      <c r="F197" s="48">
        <v>-114000</v>
      </c>
      <c r="G197" s="48" t="s">
        <v>27</v>
      </c>
      <c r="H197" s="48" t="s">
        <v>231</v>
      </c>
      <c r="I197" s="48"/>
      <c r="J197" s="48">
        <v>-137940</v>
      </c>
      <c r="K197" s="48">
        <v>-137940</v>
      </c>
      <c r="L197" s="48">
        <v>137940</v>
      </c>
      <c r="M197" s="48"/>
      <c r="N197" s="48" t="s">
        <v>87</v>
      </c>
      <c r="O197" s="48">
        <v>1</v>
      </c>
      <c r="P197" s="48">
        <v>114000</v>
      </c>
      <c r="Q197" s="48" t="s">
        <v>34</v>
      </c>
      <c r="R197" s="48"/>
      <c r="S197" s="48"/>
    </row>
    <row r="198" spans="1:19" x14ac:dyDescent="0.3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</row>
    <row r="199" spans="1:19" x14ac:dyDescent="0.3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</row>
    <row r="200" spans="1:19" ht="28.8" x14ac:dyDescent="0.3">
      <c r="A200" s="48"/>
      <c r="B200" s="48" t="s">
        <v>311</v>
      </c>
      <c r="C200" s="48" t="s">
        <v>316</v>
      </c>
      <c r="D200" s="49">
        <v>45887</v>
      </c>
      <c r="E200" s="49">
        <v>45887</v>
      </c>
      <c r="F200" s="48">
        <v>-369.87</v>
      </c>
      <c r="G200" s="48" t="s">
        <v>76</v>
      </c>
      <c r="H200" s="48" t="s">
        <v>235</v>
      </c>
      <c r="I200" s="48"/>
      <c r="J200" s="48">
        <v>-369.87</v>
      </c>
      <c r="K200" s="48">
        <v>-369.87</v>
      </c>
      <c r="L200" s="48"/>
      <c r="M200" s="48"/>
      <c r="N200" s="48" t="s">
        <v>51</v>
      </c>
      <c r="O200" s="48">
        <v>1</v>
      </c>
      <c r="P200" s="48">
        <v>369.87</v>
      </c>
      <c r="Q200" s="48" t="s">
        <v>34</v>
      </c>
      <c r="R200" s="48"/>
      <c r="S200" s="48"/>
    </row>
    <row r="201" spans="1:19" x14ac:dyDescent="0.3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</row>
    <row r="202" spans="1:19" x14ac:dyDescent="0.3">
      <c r="A202" s="48"/>
      <c r="B202" s="48" t="s">
        <v>311</v>
      </c>
      <c r="C202" s="48" t="s">
        <v>312</v>
      </c>
      <c r="D202" s="49">
        <v>45887</v>
      </c>
      <c r="E202" s="49">
        <v>45917</v>
      </c>
      <c r="F202" s="48">
        <v>-356802.14</v>
      </c>
      <c r="G202" s="48" t="s">
        <v>49</v>
      </c>
      <c r="H202" s="48" t="s">
        <v>234</v>
      </c>
      <c r="I202" s="48"/>
      <c r="J202" s="48">
        <v>-431730.59</v>
      </c>
      <c r="K202" s="48">
        <v>-431730.59</v>
      </c>
      <c r="L202" s="48">
        <v>431730.59</v>
      </c>
      <c r="M202" s="48"/>
      <c r="N202" s="48" t="s">
        <v>383</v>
      </c>
      <c r="O202" s="48">
        <v>38</v>
      </c>
      <c r="P202" s="48">
        <v>9389.5300000000007</v>
      </c>
      <c r="Q202" s="48" t="s">
        <v>34</v>
      </c>
      <c r="R202" s="48"/>
      <c r="S202" s="48"/>
    </row>
    <row r="203" spans="1:19" x14ac:dyDescent="0.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</row>
    <row r="204" spans="1:19" x14ac:dyDescent="0.3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</row>
    <row r="205" spans="1:19" ht="28.8" x14ac:dyDescent="0.3">
      <c r="A205" s="48"/>
      <c r="B205" s="48" t="s">
        <v>311</v>
      </c>
      <c r="C205" s="48" t="s">
        <v>381</v>
      </c>
      <c r="D205" s="49">
        <v>45887</v>
      </c>
      <c r="E205" s="49">
        <v>45917</v>
      </c>
      <c r="F205" s="48">
        <v>-5325522</v>
      </c>
      <c r="G205" s="48" t="s">
        <v>89</v>
      </c>
      <c r="H205" s="48" t="s">
        <v>233</v>
      </c>
      <c r="I205" s="48"/>
      <c r="J205" s="48">
        <v>-6443881.6200000001</v>
      </c>
      <c r="K205" s="48">
        <v>-6443881.6200000001</v>
      </c>
      <c r="L205" s="48">
        <v>526478.96</v>
      </c>
      <c r="M205" s="48"/>
      <c r="N205" s="48" t="s">
        <v>369</v>
      </c>
      <c r="O205" s="48">
        <v>3034</v>
      </c>
      <c r="P205" s="48">
        <v>350</v>
      </c>
      <c r="Q205" s="48" t="s">
        <v>34</v>
      </c>
      <c r="R205" s="48"/>
      <c r="S205" s="48"/>
    </row>
    <row r="206" spans="1:19" ht="28.8" x14ac:dyDescent="0.3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 t="s">
        <v>370</v>
      </c>
      <c r="O206" s="48">
        <v>3112</v>
      </c>
      <c r="P206" s="48">
        <v>350</v>
      </c>
      <c r="Q206" s="48" t="s">
        <v>34</v>
      </c>
      <c r="R206" s="48"/>
      <c r="S206" s="48"/>
    </row>
    <row r="207" spans="1:19" ht="28.8" x14ac:dyDescent="0.3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 t="s">
        <v>388</v>
      </c>
      <c r="O207" s="48">
        <v>304</v>
      </c>
      <c r="P207" s="48">
        <v>350</v>
      </c>
      <c r="Q207" s="48" t="s">
        <v>34</v>
      </c>
      <c r="R207" s="48"/>
      <c r="S207" s="48"/>
    </row>
    <row r="208" spans="1:19" ht="28.8" x14ac:dyDescent="0.3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 t="s">
        <v>371</v>
      </c>
      <c r="O208" s="48">
        <v>1103</v>
      </c>
      <c r="P208" s="48">
        <v>350</v>
      </c>
      <c r="Q208" s="48" t="s">
        <v>34</v>
      </c>
      <c r="R208" s="48"/>
      <c r="S208" s="48"/>
    </row>
    <row r="209" spans="1:19" ht="28.8" x14ac:dyDescent="0.3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 t="s">
        <v>389</v>
      </c>
      <c r="O209" s="48">
        <v>594</v>
      </c>
      <c r="P209" s="48">
        <v>288</v>
      </c>
      <c r="Q209" s="48" t="s">
        <v>34</v>
      </c>
      <c r="R209" s="48"/>
      <c r="S209" s="48"/>
    </row>
    <row r="210" spans="1:19" ht="28.8" x14ac:dyDescent="0.3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 t="s">
        <v>390</v>
      </c>
      <c r="O210" s="48">
        <v>594</v>
      </c>
      <c r="P210" s="48">
        <v>350</v>
      </c>
      <c r="Q210" s="48" t="s">
        <v>34</v>
      </c>
      <c r="R210" s="48"/>
      <c r="S210" s="48"/>
    </row>
    <row r="211" spans="1:19" ht="28.8" x14ac:dyDescent="0.3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 t="s">
        <v>391</v>
      </c>
      <c r="O211" s="48">
        <v>1006</v>
      </c>
      <c r="P211" s="48">
        <v>350</v>
      </c>
      <c r="Q211" s="48" t="s">
        <v>34</v>
      </c>
      <c r="R211" s="48"/>
      <c r="S211" s="48"/>
    </row>
    <row r="212" spans="1:19" ht="28.8" x14ac:dyDescent="0.3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 t="s">
        <v>392</v>
      </c>
      <c r="O212" s="48">
        <v>1728</v>
      </c>
      <c r="P212" s="48">
        <v>350</v>
      </c>
      <c r="Q212" s="48" t="s">
        <v>34</v>
      </c>
      <c r="R212" s="48"/>
      <c r="S212" s="48"/>
    </row>
    <row r="213" spans="1:19" ht="28.8" x14ac:dyDescent="0.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 t="s">
        <v>393</v>
      </c>
      <c r="O213" s="48">
        <v>3846</v>
      </c>
      <c r="P213" s="48">
        <v>350</v>
      </c>
      <c r="Q213" s="48" t="s">
        <v>34</v>
      </c>
      <c r="R213" s="48"/>
      <c r="S213" s="48"/>
    </row>
    <row r="214" spans="1:19" x14ac:dyDescent="0.3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</row>
    <row r="215" spans="1:19" x14ac:dyDescent="0.3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</row>
    <row r="216" spans="1:19" x14ac:dyDescent="0.3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</row>
    <row r="217" spans="1:19" x14ac:dyDescent="0.3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</row>
    <row r="218" spans="1:19" x14ac:dyDescent="0.3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</row>
    <row r="219" spans="1:19" x14ac:dyDescent="0.3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</row>
    <row r="220" spans="1:19" x14ac:dyDescent="0.3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</row>
    <row r="221" spans="1:19" x14ac:dyDescent="0.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</row>
    <row r="222" spans="1:19" x14ac:dyDescent="0.3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</row>
    <row r="223" spans="1:19" x14ac:dyDescent="0.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</row>
    <row r="224" spans="1:19" x14ac:dyDescent="0.3">
      <c r="A224" s="48"/>
      <c r="B224" s="48" t="s">
        <v>311</v>
      </c>
      <c r="C224" s="48" t="s">
        <v>312</v>
      </c>
      <c r="D224" s="49">
        <v>45884</v>
      </c>
      <c r="E224" s="49">
        <v>45914</v>
      </c>
      <c r="F224" s="48">
        <v>-5571980.2000000002</v>
      </c>
      <c r="G224" s="48" t="s">
        <v>86</v>
      </c>
      <c r="H224" s="48" t="s">
        <v>236</v>
      </c>
      <c r="I224" s="48"/>
      <c r="J224" s="48">
        <v>-6742096.04</v>
      </c>
      <c r="K224" s="48">
        <v>-6742096.04</v>
      </c>
      <c r="L224" s="48">
        <v>6742096.04</v>
      </c>
      <c r="M224" s="48"/>
      <c r="N224" s="48" t="s">
        <v>394</v>
      </c>
      <c r="O224" s="48">
        <v>600</v>
      </c>
      <c r="P224" s="48">
        <v>1755.4</v>
      </c>
      <c r="Q224" s="48" t="s">
        <v>34</v>
      </c>
      <c r="R224" s="48"/>
      <c r="S224" s="48"/>
    </row>
    <row r="225" spans="1:19" x14ac:dyDescent="0.3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 t="s">
        <v>395</v>
      </c>
      <c r="O225" s="48">
        <v>1054</v>
      </c>
      <c r="P225" s="48">
        <v>1218.3</v>
      </c>
      <c r="Q225" s="48" t="s">
        <v>34</v>
      </c>
      <c r="R225" s="48"/>
      <c r="S225" s="48"/>
    </row>
    <row r="226" spans="1:19" x14ac:dyDescent="0.3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 t="s">
        <v>356</v>
      </c>
      <c r="O226" s="48">
        <v>220</v>
      </c>
      <c r="P226" s="48">
        <v>2148.4</v>
      </c>
      <c r="Q226" s="48" t="s">
        <v>34</v>
      </c>
      <c r="R226" s="48"/>
      <c r="S226" s="48"/>
    </row>
    <row r="227" spans="1:19" x14ac:dyDescent="0.3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 t="s">
        <v>357</v>
      </c>
      <c r="O227" s="48">
        <v>500</v>
      </c>
      <c r="P227" s="48">
        <v>3065.4</v>
      </c>
      <c r="Q227" s="48" t="s">
        <v>34</v>
      </c>
      <c r="R227" s="48"/>
      <c r="S227" s="48"/>
    </row>
    <row r="228" spans="1:19" x14ac:dyDescent="0.3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 t="s">
        <v>396</v>
      </c>
      <c r="O228" s="48">
        <v>570</v>
      </c>
      <c r="P228" s="48">
        <v>1205.2</v>
      </c>
      <c r="Q228" s="48" t="s">
        <v>34</v>
      </c>
      <c r="R228" s="48"/>
      <c r="S228" s="48"/>
    </row>
    <row r="229" spans="1:19" x14ac:dyDescent="0.3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 t="s">
        <v>397</v>
      </c>
      <c r="O229" s="48">
        <v>450</v>
      </c>
      <c r="P229" s="48">
        <v>1205.2</v>
      </c>
      <c r="Q229" s="48" t="s">
        <v>34</v>
      </c>
      <c r="R229" s="48"/>
      <c r="S229" s="48"/>
    </row>
    <row r="230" spans="1:19" x14ac:dyDescent="0.3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</row>
    <row r="231" spans="1:19" x14ac:dyDescent="0.3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</row>
    <row r="232" spans="1:19" x14ac:dyDescent="0.3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</row>
    <row r="233" spans="1:19" x14ac:dyDescent="0.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</row>
    <row r="234" spans="1:19" x14ac:dyDescent="0.3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</row>
    <row r="235" spans="1:19" x14ac:dyDescent="0.3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</row>
    <row r="236" spans="1:19" x14ac:dyDescent="0.3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</row>
    <row r="237" spans="1:19" x14ac:dyDescent="0.3">
      <c r="A237" s="48"/>
      <c r="B237" s="48" t="s">
        <v>311</v>
      </c>
      <c r="C237" s="48" t="s">
        <v>316</v>
      </c>
      <c r="D237" s="49">
        <v>45883</v>
      </c>
      <c r="E237" s="49">
        <v>45883</v>
      </c>
      <c r="F237" s="48">
        <v>-2650283.62</v>
      </c>
      <c r="G237" s="48" t="s">
        <v>48</v>
      </c>
      <c r="H237" s="48" t="s">
        <v>239</v>
      </c>
      <c r="I237" s="48"/>
      <c r="J237" s="48">
        <v>-2650283.62</v>
      </c>
      <c r="K237" s="48">
        <v>-2650283.62</v>
      </c>
      <c r="L237" s="48"/>
      <c r="M237" s="48"/>
      <c r="N237" s="48"/>
      <c r="O237" s="48">
        <v>1</v>
      </c>
      <c r="P237" s="48">
        <v>2650283.62</v>
      </c>
      <c r="Q237" s="48"/>
      <c r="R237" s="48"/>
      <c r="S237" s="48"/>
    </row>
    <row r="238" spans="1:19" x14ac:dyDescent="0.3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</row>
    <row r="239" spans="1:19" x14ac:dyDescent="0.3">
      <c r="A239" s="48"/>
      <c r="B239" s="48" t="s">
        <v>311</v>
      </c>
      <c r="C239" s="48" t="s">
        <v>316</v>
      </c>
      <c r="D239" s="49">
        <v>45883</v>
      </c>
      <c r="E239" s="49">
        <v>45883</v>
      </c>
      <c r="F239" s="48">
        <v>-1965214.32</v>
      </c>
      <c r="G239" s="48" t="s">
        <v>48</v>
      </c>
      <c r="H239" s="48" t="s">
        <v>237</v>
      </c>
      <c r="I239" s="48"/>
      <c r="J239" s="48">
        <v>-1965214.32</v>
      </c>
      <c r="K239" s="48">
        <v>-1965214.32</v>
      </c>
      <c r="L239" s="48"/>
      <c r="M239" s="48"/>
      <c r="N239" s="48"/>
      <c r="O239" s="48">
        <v>1</v>
      </c>
      <c r="P239" s="48">
        <v>1965214.32</v>
      </c>
      <c r="Q239" s="48"/>
      <c r="R239" s="48"/>
      <c r="S239" s="48"/>
    </row>
    <row r="240" spans="1:19" x14ac:dyDescent="0.3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</row>
    <row r="241" spans="1:19" x14ac:dyDescent="0.3">
      <c r="A241" s="48"/>
      <c r="B241" s="48" t="s">
        <v>311</v>
      </c>
      <c r="C241" s="48" t="s">
        <v>316</v>
      </c>
      <c r="D241" s="49">
        <v>45883</v>
      </c>
      <c r="E241" s="49">
        <v>45883</v>
      </c>
      <c r="F241" s="48">
        <v>-2827302.52</v>
      </c>
      <c r="G241" s="48" t="s">
        <v>48</v>
      </c>
      <c r="H241" s="48" t="s">
        <v>238</v>
      </c>
      <c r="I241" s="48"/>
      <c r="J241" s="48">
        <v>-2827302.52</v>
      </c>
      <c r="K241" s="48">
        <v>-2827302.52</v>
      </c>
      <c r="L241" s="48"/>
      <c r="M241" s="48"/>
      <c r="N241" s="48"/>
      <c r="O241" s="48">
        <v>1</v>
      </c>
      <c r="P241" s="48">
        <v>2827302.52</v>
      </c>
      <c r="Q241" s="48"/>
      <c r="R241" s="48"/>
      <c r="S241" s="48"/>
    </row>
    <row r="242" spans="1:19" x14ac:dyDescent="0.3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</row>
    <row r="243" spans="1:19" x14ac:dyDescent="0.3">
      <c r="A243" s="48"/>
      <c r="B243" s="48" t="s">
        <v>311</v>
      </c>
      <c r="C243" s="48" t="s">
        <v>316</v>
      </c>
      <c r="D243" s="49">
        <v>45883</v>
      </c>
      <c r="E243" s="49">
        <v>45883</v>
      </c>
      <c r="F243" s="48">
        <v>-598371.57999999996</v>
      </c>
      <c r="G243" s="48" t="s">
        <v>48</v>
      </c>
      <c r="H243" s="48" t="s">
        <v>240</v>
      </c>
      <c r="I243" s="48"/>
      <c r="J243" s="48">
        <v>-598371.57999999996</v>
      </c>
      <c r="K243" s="48">
        <v>-598371.57999999996</v>
      </c>
      <c r="L243" s="48"/>
      <c r="M243" s="48"/>
      <c r="N243" s="48"/>
      <c r="O243" s="48">
        <v>1</v>
      </c>
      <c r="P243" s="48">
        <v>598371.57999999996</v>
      </c>
      <c r="Q243" s="48"/>
      <c r="R243" s="48"/>
      <c r="S243" s="48"/>
    </row>
    <row r="244" spans="1:19" x14ac:dyDescent="0.3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</row>
    <row r="245" spans="1:19" ht="28.8" x14ac:dyDescent="0.3">
      <c r="A245" s="48"/>
      <c r="B245" s="48" t="s">
        <v>311</v>
      </c>
      <c r="C245" s="48" t="s">
        <v>316</v>
      </c>
      <c r="D245" s="49">
        <v>45882</v>
      </c>
      <c r="E245" s="49">
        <v>45882</v>
      </c>
      <c r="F245" s="48">
        <v>-15940.74</v>
      </c>
      <c r="G245" s="48" t="s">
        <v>76</v>
      </c>
      <c r="H245" s="48" t="s">
        <v>241</v>
      </c>
      <c r="I245" s="48"/>
      <c r="J245" s="48">
        <v>-15940.74</v>
      </c>
      <c r="K245" s="48">
        <v>-15940.74</v>
      </c>
      <c r="L245" s="48"/>
      <c r="M245" s="48"/>
      <c r="N245" s="48" t="s">
        <v>51</v>
      </c>
      <c r="O245" s="48">
        <v>1</v>
      </c>
      <c r="P245" s="48">
        <v>15940.74</v>
      </c>
      <c r="Q245" s="48" t="s">
        <v>34</v>
      </c>
      <c r="R245" s="48"/>
      <c r="S245" s="48"/>
    </row>
    <row r="246" spans="1:19" x14ac:dyDescent="0.3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</row>
    <row r="247" spans="1:19" ht="28.8" x14ac:dyDescent="0.3">
      <c r="A247" s="48"/>
      <c r="B247" s="48" t="s">
        <v>311</v>
      </c>
      <c r="C247" s="48" t="s">
        <v>316</v>
      </c>
      <c r="D247" s="49">
        <v>45881</v>
      </c>
      <c r="E247" s="49">
        <v>45881</v>
      </c>
      <c r="F247" s="48">
        <v>-11014.49</v>
      </c>
      <c r="G247" s="48" t="s">
        <v>76</v>
      </c>
      <c r="H247" s="48" t="s">
        <v>243</v>
      </c>
      <c r="I247" s="48"/>
      <c r="J247" s="48">
        <v>-11014.49</v>
      </c>
      <c r="K247" s="48">
        <v>-11014.49</v>
      </c>
      <c r="L247" s="48"/>
      <c r="M247" s="48"/>
      <c r="N247" s="48" t="s">
        <v>51</v>
      </c>
      <c r="O247" s="48">
        <v>1</v>
      </c>
      <c r="P247" s="48">
        <v>11014.49</v>
      </c>
      <c r="Q247" s="48" t="s">
        <v>34</v>
      </c>
      <c r="R247" s="48"/>
      <c r="S247" s="48"/>
    </row>
    <row r="248" spans="1:19" x14ac:dyDescent="0.3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</row>
    <row r="249" spans="1:19" ht="28.8" x14ac:dyDescent="0.3">
      <c r="A249" s="48"/>
      <c r="B249" s="48" t="s">
        <v>311</v>
      </c>
      <c r="C249" s="48" t="s">
        <v>312</v>
      </c>
      <c r="D249" s="49">
        <v>45881</v>
      </c>
      <c r="E249" s="49">
        <v>45888</v>
      </c>
      <c r="F249" s="48">
        <v>-43041.35</v>
      </c>
      <c r="G249" s="48" t="s">
        <v>28</v>
      </c>
      <c r="H249" s="48" t="s">
        <v>244</v>
      </c>
      <c r="I249" s="48"/>
      <c r="J249" s="48">
        <v>-52080.03</v>
      </c>
      <c r="K249" s="48">
        <v>-52080.03</v>
      </c>
      <c r="L249" s="48">
        <v>52080.03</v>
      </c>
      <c r="M249" s="48"/>
      <c r="N249" s="48" t="s">
        <v>398</v>
      </c>
      <c r="O249" s="48">
        <v>1</v>
      </c>
      <c r="P249" s="48">
        <v>43041.35</v>
      </c>
      <c r="Q249" s="48" t="s">
        <v>34</v>
      </c>
      <c r="R249" s="48"/>
      <c r="S249" s="48"/>
    </row>
    <row r="250" spans="1:19" x14ac:dyDescent="0.3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</row>
    <row r="251" spans="1:19" x14ac:dyDescent="0.3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</row>
    <row r="252" spans="1:19" ht="72" x14ac:dyDescent="0.3">
      <c r="A252" s="48"/>
      <c r="B252" s="48" t="s">
        <v>311</v>
      </c>
      <c r="C252" s="48" t="s">
        <v>316</v>
      </c>
      <c r="D252" s="49">
        <v>45881</v>
      </c>
      <c r="E252" s="49">
        <v>45881</v>
      </c>
      <c r="F252" s="48">
        <v>-499217.77</v>
      </c>
      <c r="G252" s="48" t="s">
        <v>46</v>
      </c>
      <c r="H252" s="48" t="s">
        <v>242</v>
      </c>
      <c r="I252" s="48"/>
      <c r="J252" s="48">
        <v>-604053.5</v>
      </c>
      <c r="K252" s="48">
        <v>-604053.5</v>
      </c>
      <c r="L252" s="48"/>
      <c r="M252" s="48"/>
      <c r="N252" s="48" t="s">
        <v>399</v>
      </c>
      <c r="O252" s="48">
        <v>1</v>
      </c>
      <c r="P252" s="48">
        <v>499217.77</v>
      </c>
      <c r="Q252" s="48" t="s">
        <v>34</v>
      </c>
      <c r="R252" s="48"/>
      <c r="S252" s="48"/>
    </row>
    <row r="253" spans="1:19" x14ac:dyDescent="0.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</row>
    <row r="254" spans="1:19" x14ac:dyDescent="0.3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</row>
    <row r="255" spans="1:19" ht="28.8" x14ac:dyDescent="0.3">
      <c r="A255" s="48"/>
      <c r="B255" s="48" t="s">
        <v>311</v>
      </c>
      <c r="C255" s="48" t="s">
        <v>316</v>
      </c>
      <c r="D255" s="49">
        <v>45880</v>
      </c>
      <c r="E255" s="49">
        <v>45880</v>
      </c>
      <c r="F255" s="48">
        <v>-12421.99</v>
      </c>
      <c r="G255" s="48" t="s">
        <v>76</v>
      </c>
      <c r="H255" s="48" t="s">
        <v>250</v>
      </c>
      <c r="I255" s="48"/>
      <c r="J255" s="48">
        <v>-12421.99</v>
      </c>
      <c r="K255" s="48">
        <v>-12421.99</v>
      </c>
      <c r="L255" s="48"/>
      <c r="M255" s="48"/>
      <c r="N255" s="48" t="s">
        <v>51</v>
      </c>
      <c r="O255" s="48">
        <v>1</v>
      </c>
      <c r="P255" s="48">
        <v>12421.99</v>
      </c>
      <c r="Q255" s="48" t="s">
        <v>34</v>
      </c>
      <c r="R255" s="48"/>
      <c r="S255" s="48"/>
    </row>
    <row r="256" spans="1:19" x14ac:dyDescent="0.3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</row>
    <row r="257" spans="1:19" x14ac:dyDescent="0.3">
      <c r="A257" s="48"/>
      <c r="B257" s="48" t="s">
        <v>311</v>
      </c>
      <c r="C257" s="48" t="s">
        <v>316</v>
      </c>
      <c r="D257" s="49">
        <v>45880</v>
      </c>
      <c r="E257" s="49">
        <v>45880</v>
      </c>
      <c r="F257" s="48">
        <v>-6581093</v>
      </c>
      <c r="G257" s="48" t="s">
        <v>90</v>
      </c>
      <c r="H257" s="48" t="s">
        <v>249</v>
      </c>
      <c r="I257" s="48"/>
      <c r="J257" s="48">
        <v>-6581093</v>
      </c>
      <c r="K257" s="48">
        <v>-6581093</v>
      </c>
      <c r="L257" s="48"/>
      <c r="M257" s="48"/>
      <c r="N257" s="48" t="s">
        <v>400</v>
      </c>
      <c r="O257" s="48">
        <v>1</v>
      </c>
      <c r="P257" s="48">
        <v>6581093</v>
      </c>
      <c r="Q257" s="48"/>
      <c r="R257" s="48"/>
      <c r="S257" s="48"/>
    </row>
    <row r="258" spans="1:19" x14ac:dyDescent="0.3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</row>
    <row r="259" spans="1:19" x14ac:dyDescent="0.3">
      <c r="A259" s="48"/>
      <c r="B259" s="48" t="s">
        <v>311</v>
      </c>
      <c r="C259" s="48" t="s">
        <v>312</v>
      </c>
      <c r="D259" s="49">
        <v>45880</v>
      </c>
      <c r="E259" s="49">
        <v>45910</v>
      </c>
      <c r="F259" s="48">
        <v>-2879284.93</v>
      </c>
      <c r="G259" s="48" t="s">
        <v>54</v>
      </c>
      <c r="H259" s="48" t="s">
        <v>248</v>
      </c>
      <c r="I259" s="48"/>
      <c r="J259" s="48">
        <v>-3483934.77</v>
      </c>
      <c r="K259" s="48">
        <v>-3483934.77</v>
      </c>
      <c r="L259" s="48">
        <v>3483934.77</v>
      </c>
      <c r="M259" s="48"/>
      <c r="N259" s="48" t="s">
        <v>401</v>
      </c>
      <c r="O259" s="48">
        <v>26</v>
      </c>
      <c r="P259" s="48">
        <v>61617.19</v>
      </c>
      <c r="Q259" s="48" t="s">
        <v>34</v>
      </c>
      <c r="R259" s="48"/>
      <c r="S259" s="48"/>
    </row>
    <row r="260" spans="1:19" ht="28.8" x14ac:dyDescent="0.3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 t="s">
        <v>402</v>
      </c>
      <c r="O260" s="48">
        <v>32</v>
      </c>
      <c r="P260" s="48">
        <v>30747.73</v>
      </c>
      <c r="Q260" s="48" t="s">
        <v>34</v>
      </c>
      <c r="R260" s="48"/>
      <c r="S260" s="48"/>
    </row>
    <row r="261" spans="1:19" ht="28.8" x14ac:dyDescent="0.3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 t="s">
        <v>403</v>
      </c>
      <c r="O261" s="48">
        <v>9</v>
      </c>
      <c r="P261" s="48">
        <v>32590.07</v>
      </c>
      <c r="Q261" s="48" t="s">
        <v>34</v>
      </c>
      <c r="R261" s="48"/>
      <c r="S261" s="48"/>
    </row>
    <row r="262" spans="1:19" x14ac:dyDescent="0.3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</row>
    <row r="263" spans="1:19" x14ac:dyDescent="0.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</row>
    <row r="264" spans="1:19" x14ac:dyDescent="0.3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</row>
    <row r="265" spans="1:19" x14ac:dyDescent="0.3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</row>
    <row r="266" spans="1:19" ht="43.2" x14ac:dyDescent="0.3">
      <c r="A266" s="48"/>
      <c r="B266" s="48" t="s">
        <v>311</v>
      </c>
      <c r="C266" s="48" t="s">
        <v>312</v>
      </c>
      <c r="D266" s="49">
        <v>45880</v>
      </c>
      <c r="E266" s="49">
        <v>45910</v>
      </c>
      <c r="F266" s="48">
        <v>-2419722.64</v>
      </c>
      <c r="G266" s="48" t="s">
        <v>54</v>
      </c>
      <c r="H266" s="48" t="s">
        <v>251</v>
      </c>
      <c r="I266" s="48"/>
      <c r="J266" s="48">
        <v>-2927864.39</v>
      </c>
      <c r="K266" s="48">
        <v>-2927864.39</v>
      </c>
      <c r="L266" s="48">
        <v>2927864.39</v>
      </c>
      <c r="M266" s="48"/>
      <c r="N266" s="48" t="s">
        <v>404</v>
      </c>
      <c r="O266" s="48">
        <v>1</v>
      </c>
      <c r="P266" s="48">
        <v>2419722.64</v>
      </c>
      <c r="Q266" s="48" t="s">
        <v>34</v>
      </c>
      <c r="R266" s="48"/>
      <c r="S266" s="48"/>
    </row>
    <row r="267" spans="1:19" x14ac:dyDescent="0.3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</row>
    <row r="268" spans="1:19" x14ac:dyDescent="0.3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</row>
    <row r="269" spans="1:19" ht="43.2" x14ac:dyDescent="0.3">
      <c r="A269" s="48"/>
      <c r="B269" s="48" t="s">
        <v>311</v>
      </c>
      <c r="C269" s="48" t="s">
        <v>312</v>
      </c>
      <c r="D269" s="49">
        <v>45880</v>
      </c>
      <c r="E269" s="49">
        <v>45894</v>
      </c>
      <c r="F269" s="48">
        <v>-114000</v>
      </c>
      <c r="G269" s="48" t="s">
        <v>27</v>
      </c>
      <c r="H269" s="48" t="s">
        <v>253</v>
      </c>
      <c r="I269" s="48"/>
      <c r="J269" s="48">
        <v>-137940</v>
      </c>
      <c r="K269" s="48">
        <v>-137940</v>
      </c>
      <c r="L269" s="48">
        <v>137940</v>
      </c>
      <c r="M269" s="48"/>
      <c r="N269" s="48" t="s">
        <v>87</v>
      </c>
      <c r="O269" s="48">
        <v>1</v>
      </c>
      <c r="P269" s="48">
        <v>114000</v>
      </c>
      <c r="Q269" s="48" t="s">
        <v>34</v>
      </c>
      <c r="R269" s="48"/>
      <c r="S269" s="48"/>
    </row>
    <row r="270" spans="1:19" x14ac:dyDescent="0.3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</row>
    <row r="271" spans="1:19" x14ac:dyDescent="0.3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</row>
    <row r="272" spans="1:19" x14ac:dyDescent="0.3">
      <c r="A272" s="48"/>
      <c r="B272" s="48" t="s">
        <v>311</v>
      </c>
      <c r="C272" s="48" t="s">
        <v>312</v>
      </c>
      <c r="D272" s="49">
        <v>45880</v>
      </c>
      <c r="E272" s="49">
        <v>45910</v>
      </c>
      <c r="F272" s="48">
        <v>-381873.54</v>
      </c>
      <c r="G272" s="48" t="s">
        <v>49</v>
      </c>
      <c r="H272" s="48" t="s">
        <v>254</v>
      </c>
      <c r="I272" s="48"/>
      <c r="J272" s="48">
        <v>-462066.98</v>
      </c>
      <c r="K272" s="48">
        <v>-462066.98</v>
      </c>
      <c r="L272" s="48">
        <v>462066.98</v>
      </c>
      <c r="M272" s="48"/>
      <c r="N272" s="48" t="s">
        <v>405</v>
      </c>
      <c r="O272" s="48">
        <v>6</v>
      </c>
      <c r="P272" s="48">
        <v>63645.59</v>
      </c>
      <c r="Q272" s="48" t="s">
        <v>34</v>
      </c>
      <c r="R272" s="48"/>
      <c r="S272" s="48"/>
    </row>
    <row r="273" spans="1:19" x14ac:dyDescent="0.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</row>
    <row r="274" spans="1:19" x14ac:dyDescent="0.3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</row>
    <row r="275" spans="1:19" x14ac:dyDescent="0.3">
      <c r="A275" s="48"/>
      <c r="B275" s="48" t="s">
        <v>311</v>
      </c>
      <c r="C275" s="48" t="s">
        <v>312</v>
      </c>
      <c r="D275" s="49">
        <v>45880</v>
      </c>
      <c r="E275" s="49">
        <v>45911</v>
      </c>
      <c r="F275" s="48">
        <v>-517362.83</v>
      </c>
      <c r="G275" s="48" t="s">
        <v>49</v>
      </c>
      <c r="H275" s="48" t="s">
        <v>247</v>
      </c>
      <c r="I275" s="48"/>
      <c r="J275" s="48">
        <v>-626009.03</v>
      </c>
      <c r="K275" s="48">
        <v>-626009.03</v>
      </c>
      <c r="L275" s="48">
        <v>626009.03</v>
      </c>
      <c r="M275" s="48"/>
      <c r="N275" s="48" t="s">
        <v>406</v>
      </c>
      <c r="O275" s="48">
        <v>39</v>
      </c>
      <c r="P275" s="48">
        <v>8450.57</v>
      </c>
      <c r="Q275" s="48" t="s">
        <v>34</v>
      </c>
      <c r="R275" s="48"/>
      <c r="S275" s="48"/>
    </row>
    <row r="276" spans="1:19" x14ac:dyDescent="0.3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 t="s">
        <v>407</v>
      </c>
      <c r="O276" s="48">
        <v>20</v>
      </c>
      <c r="P276" s="48">
        <v>9389.5300000000007</v>
      </c>
      <c r="Q276" s="48" t="s">
        <v>34</v>
      </c>
      <c r="R276" s="48"/>
      <c r="S276" s="48"/>
    </row>
    <row r="277" spans="1:19" x14ac:dyDescent="0.3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</row>
    <row r="278" spans="1:19" x14ac:dyDescent="0.3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</row>
    <row r="279" spans="1:19" x14ac:dyDescent="0.3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</row>
    <row r="280" spans="1:19" x14ac:dyDescent="0.3">
      <c r="A280" s="48"/>
      <c r="B280" s="48" t="s">
        <v>311</v>
      </c>
      <c r="C280" s="48" t="s">
        <v>316</v>
      </c>
      <c r="D280" s="49">
        <v>45880</v>
      </c>
      <c r="E280" s="49">
        <v>45894</v>
      </c>
      <c r="F280" s="48">
        <v>-4269240</v>
      </c>
      <c r="G280" s="48" t="s">
        <v>66</v>
      </c>
      <c r="H280" s="48" t="s">
        <v>255</v>
      </c>
      <c r="I280" s="48"/>
      <c r="J280" s="48">
        <v>-4269240</v>
      </c>
      <c r="K280" s="48">
        <v>-4269240</v>
      </c>
      <c r="L280" s="48"/>
      <c r="M280" s="48"/>
      <c r="N280" s="48" t="s">
        <v>408</v>
      </c>
      <c r="O280" s="48">
        <v>1</v>
      </c>
      <c r="P280" s="48">
        <v>4269240</v>
      </c>
      <c r="Q280" s="48" t="s">
        <v>34</v>
      </c>
      <c r="R280" s="48"/>
      <c r="S280" s="48"/>
    </row>
    <row r="281" spans="1:19" x14ac:dyDescent="0.3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</row>
    <row r="282" spans="1:19" x14ac:dyDescent="0.3">
      <c r="A282" s="48"/>
      <c r="B282" s="48" t="s">
        <v>311</v>
      </c>
      <c r="C282" s="48" t="s">
        <v>312</v>
      </c>
      <c r="D282" s="49">
        <v>45880</v>
      </c>
      <c r="E282" s="49">
        <v>45911</v>
      </c>
      <c r="F282" s="48">
        <v>-1879407.03</v>
      </c>
      <c r="G282" s="48" t="s">
        <v>49</v>
      </c>
      <c r="H282" s="48" t="s">
        <v>252</v>
      </c>
      <c r="I282" s="48"/>
      <c r="J282" s="48">
        <v>-2274082.5099999998</v>
      </c>
      <c r="K282" s="48">
        <v>-2274082.5099999998</v>
      </c>
      <c r="L282" s="48">
        <v>2274082.5099999998</v>
      </c>
      <c r="M282" s="48"/>
      <c r="N282" s="48" t="s">
        <v>409</v>
      </c>
      <c r="O282" s="48">
        <v>1</v>
      </c>
      <c r="P282" s="48">
        <v>1879407.03</v>
      </c>
      <c r="Q282" s="48" t="s">
        <v>34</v>
      </c>
      <c r="R282" s="48"/>
      <c r="S282" s="48"/>
    </row>
    <row r="283" spans="1:19" x14ac:dyDescent="0.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</row>
    <row r="284" spans="1:19" x14ac:dyDescent="0.3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</row>
    <row r="285" spans="1:19" ht="28.8" x14ac:dyDescent="0.3">
      <c r="A285" s="48"/>
      <c r="B285" s="48" t="s">
        <v>311</v>
      </c>
      <c r="C285" s="48" t="s">
        <v>381</v>
      </c>
      <c r="D285" s="49">
        <v>45880</v>
      </c>
      <c r="E285" s="49">
        <v>45910</v>
      </c>
      <c r="F285" s="48">
        <v>-1853644.56</v>
      </c>
      <c r="G285" s="48" t="s">
        <v>49</v>
      </c>
      <c r="H285" s="48" t="s">
        <v>257</v>
      </c>
      <c r="I285" s="48"/>
      <c r="J285" s="48">
        <v>-2242909.92</v>
      </c>
      <c r="K285" s="48">
        <v>-2242909.92</v>
      </c>
      <c r="L285" s="48">
        <v>1942046.61</v>
      </c>
      <c r="M285" s="48"/>
      <c r="N285" s="48" t="s">
        <v>410</v>
      </c>
      <c r="O285" s="48">
        <v>1</v>
      </c>
      <c r="P285" s="48">
        <v>1853644.56</v>
      </c>
      <c r="Q285" s="48" t="s">
        <v>34</v>
      </c>
      <c r="R285" s="48"/>
      <c r="S285" s="48"/>
    </row>
    <row r="286" spans="1:19" x14ac:dyDescent="0.3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</row>
    <row r="287" spans="1:19" x14ac:dyDescent="0.3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</row>
    <row r="288" spans="1:19" ht="86.4" x14ac:dyDescent="0.3">
      <c r="A288" s="48"/>
      <c r="B288" s="48" t="s">
        <v>311</v>
      </c>
      <c r="C288" s="48" t="s">
        <v>316</v>
      </c>
      <c r="D288" s="49">
        <v>45880</v>
      </c>
      <c r="E288" s="49">
        <v>45894</v>
      </c>
      <c r="F288" s="48">
        <v>-138370.35999999999</v>
      </c>
      <c r="G288" s="48" t="s">
        <v>52</v>
      </c>
      <c r="H288" s="48" t="s">
        <v>246</v>
      </c>
      <c r="I288" s="48"/>
      <c r="J288" s="48">
        <v>-166766.64000000001</v>
      </c>
      <c r="K288" s="48">
        <v>-166766.64000000001</v>
      </c>
      <c r="L288" s="48"/>
      <c r="M288" s="48"/>
      <c r="N288" s="48" t="s">
        <v>411</v>
      </c>
      <c r="O288" s="48">
        <v>1</v>
      </c>
      <c r="P288" s="48">
        <v>132070.35999999999</v>
      </c>
      <c r="Q288" s="48" t="s">
        <v>34</v>
      </c>
      <c r="R288" s="48"/>
      <c r="S288" s="48"/>
    </row>
    <row r="289" spans="1:19" ht="28.8" x14ac:dyDescent="0.3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 t="s">
        <v>412</v>
      </c>
      <c r="O289" s="48">
        <v>1</v>
      </c>
      <c r="P289" s="48">
        <v>6300</v>
      </c>
      <c r="Q289" s="48" t="s">
        <v>34</v>
      </c>
      <c r="R289" s="48"/>
      <c r="S289" s="48"/>
    </row>
    <row r="290" spans="1:19" x14ac:dyDescent="0.3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</row>
    <row r="291" spans="1:19" x14ac:dyDescent="0.3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</row>
    <row r="292" spans="1:19" x14ac:dyDescent="0.3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</row>
    <row r="293" spans="1:19" x14ac:dyDescent="0.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</row>
    <row r="294" spans="1:19" ht="28.8" x14ac:dyDescent="0.3">
      <c r="A294" s="48"/>
      <c r="B294" s="48" t="s">
        <v>311</v>
      </c>
      <c r="C294" s="48" t="s">
        <v>316</v>
      </c>
      <c r="D294" s="49">
        <v>45878</v>
      </c>
      <c r="E294" s="49">
        <v>45892</v>
      </c>
      <c r="F294" s="48">
        <v>-2300000</v>
      </c>
      <c r="G294" s="48" t="s">
        <v>67</v>
      </c>
      <c r="H294" s="48" t="s">
        <v>258</v>
      </c>
      <c r="I294" s="48"/>
      <c r="J294" s="48">
        <v>-2783000</v>
      </c>
      <c r="K294" s="48">
        <v>-2783000</v>
      </c>
      <c r="L294" s="48"/>
      <c r="M294" s="48"/>
      <c r="N294" s="48" t="s">
        <v>97</v>
      </c>
      <c r="O294" s="48">
        <v>1</v>
      </c>
      <c r="P294" s="48">
        <v>2300000</v>
      </c>
      <c r="Q294" s="48" t="s">
        <v>34</v>
      </c>
      <c r="R294" s="48"/>
      <c r="S294" s="48"/>
    </row>
    <row r="295" spans="1:19" x14ac:dyDescent="0.3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</row>
    <row r="296" spans="1:19" x14ac:dyDescent="0.3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</row>
    <row r="297" spans="1:19" x14ac:dyDescent="0.3">
      <c r="A297" s="48"/>
      <c r="B297" s="48" t="s">
        <v>311</v>
      </c>
      <c r="C297" s="48" t="s">
        <v>316</v>
      </c>
      <c r="D297" s="49">
        <v>45878</v>
      </c>
      <c r="E297" s="49">
        <v>45908</v>
      </c>
      <c r="F297" s="48">
        <v>-3711050</v>
      </c>
      <c r="G297" s="48" t="s">
        <v>89</v>
      </c>
      <c r="H297" s="48" t="s">
        <v>260</v>
      </c>
      <c r="I297" s="48"/>
      <c r="J297" s="48">
        <v>-4490370.5</v>
      </c>
      <c r="K297" s="48">
        <v>-4490370.5</v>
      </c>
      <c r="L297" s="48"/>
      <c r="M297" s="48"/>
      <c r="N297" s="48" t="s">
        <v>95</v>
      </c>
      <c r="O297" s="48">
        <v>1</v>
      </c>
      <c r="P297" s="48">
        <v>3711050</v>
      </c>
      <c r="Q297" s="48" t="s">
        <v>34</v>
      </c>
      <c r="R297" s="48"/>
      <c r="S297" s="48"/>
    </row>
    <row r="298" spans="1:19" x14ac:dyDescent="0.3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</row>
    <row r="299" spans="1:19" x14ac:dyDescent="0.3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</row>
    <row r="300" spans="1:19" x14ac:dyDescent="0.3">
      <c r="A300" s="48"/>
      <c r="B300" s="48" t="s">
        <v>311</v>
      </c>
      <c r="C300" s="48" t="s">
        <v>316</v>
      </c>
      <c r="D300" s="49">
        <v>45877</v>
      </c>
      <c r="E300" s="49">
        <v>45877</v>
      </c>
      <c r="F300" s="48">
        <v>-373517</v>
      </c>
      <c r="G300" s="48" t="s">
        <v>90</v>
      </c>
      <c r="H300" s="48" t="s">
        <v>261</v>
      </c>
      <c r="I300" s="48"/>
      <c r="J300" s="48">
        <v>-373517</v>
      </c>
      <c r="K300" s="48">
        <v>-373517</v>
      </c>
      <c r="L300" s="48"/>
      <c r="M300" s="48"/>
      <c r="N300" s="48" t="s">
        <v>413</v>
      </c>
      <c r="O300" s="48">
        <v>1</v>
      </c>
      <c r="P300" s="48">
        <v>373517</v>
      </c>
      <c r="Q300" s="48"/>
      <c r="R300" s="48"/>
      <c r="S300" s="48"/>
    </row>
    <row r="301" spans="1:19" x14ac:dyDescent="0.3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</row>
    <row r="302" spans="1:19" x14ac:dyDescent="0.3">
      <c r="A302" s="48"/>
      <c r="B302" s="48" t="s">
        <v>311</v>
      </c>
      <c r="C302" s="48" t="s">
        <v>316</v>
      </c>
      <c r="D302" s="49">
        <v>45877</v>
      </c>
      <c r="E302" s="49">
        <v>45877</v>
      </c>
      <c r="F302" s="48">
        <v>-515224</v>
      </c>
      <c r="G302" s="48" t="s">
        <v>90</v>
      </c>
      <c r="H302" s="48" t="s">
        <v>265</v>
      </c>
      <c r="I302" s="48"/>
      <c r="J302" s="48">
        <v>-515224</v>
      </c>
      <c r="K302" s="48">
        <v>-515224</v>
      </c>
      <c r="L302" s="48"/>
      <c r="M302" s="48"/>
      <c r="N302" s="48" t="s">
        <v>414</v>
      </c>
      <c r="O302" s="48">
        <v>1</v>
      </c>
      <c r="P302" s="48">
        <v>515224</v>
      </c>
      <c r="Q302" s="48"/>
      <c r="R302" s="48"/>
      <c r="S302" s="48"/>
    </row>
    <row r="303" spans="1:19" x14ac:dyDescent="0.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</row>
    <row r="304" spans="1:19" x14ac:dyDescent="0.3">
      <c r="A304" s="48"/>
      <c r="B304" s="48" t="s">
        <v>311</v>
      </c>
      <c r="C304" s="48" t="s">
        <v>316</v>
      </c>
      <c r="D304" s="49">
        <v>45877</v>
      </c>
      <c r="E304" s="49">
        <v>45877</v>
      </c>
      <c r="F304" s="48">
        <v>-856116</v>
      </c>
      <c r="G304" s="48" t="s">
        <v>90</v>
      </c>
      <c r="H304" s="48" t="s">
        <v>264</v>
      </c>
      <c r="I304" s="48"/>
      <c r="J304" s="48">
        <v>-856116</v>
      </c>
      <c r="K304" s="48">
        <v>-856116</v>
      </c>
      <c r="L304" s="48"/>
      <c r="M304" s="48"/>
      <c r="N304" s="48" t="s">
        <v>415</v>
      </c>
      <c r="O304" s="48">
        <v>1</v>
      </c>
      <c r="P304" s="48">
        <v>856116</v>
      </c>
      <c r="Q304" s="48"/>
      <c r="R304" s="48"/>
      <c r="S304" s="48"/>
    </row>
    <row r="305" spans="1:19" x14ac:dyDescent="0.3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</row>
    <row r="306" spans="1:19" ht="28.8" x14ac:dyDescent="0.3">
      <c r="A306" s="48"/>
      <c r="B306" s="48" t="s">
        <v>311</v>
      </c>
      <c r="C306" s="48" t="s">
        <v>312</v>
      </c>
      <c r="D306" s="49">
        <v>45877</v>
      </c>
      <c r="E306" s="49">
        <v>45877</v>
      </c>
      <c r="F306" s="48">
        <v>-179250</v>
      </c>
      <c r="G306" s="48" t="s">
        <v>44</v>
      </c>
      <c r="H306" s="48" t="s">
        <v>262</v>
      </c>
      <c r="I306" s="48"/>
      <c r="J306" s="48">
        <v>-216892.5</v>
      </c>
      <c r="K306" s="48">
        <v>-216892.5</v>
      </c>
      <c r="L306" s="48">
        <v>216892.5</v>
      </c>
      <c r="M306" s="48"/>
      <c r="N306" s="48" t="s">
        <v>93</v>
      </c>
      <c r="O306" s="48">
        <v>1</v>
      </c>
      <c r="P306" s="48">
        <v>179250</v>
      </c>
      <c r="Q306" s="48" t="s">
        <v>34</v>
      </c>
      <c r="R306" s="48"/>
      <c r="S306" s="48"/>
    </row>
    <row r="307" spans="1:19" x14ac:dyDescent="0.3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</row>
    <row r="308" spans="1:19" x14ac:dyDescent="0.3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</row>
    <row r="309" spans="1:19" ht="28.8" x14ac:dyDescent="0.3">
      <c r="A309" s="48"/>
      <c r="B309" s="48" t="s">
        <v>311</v>
      </c>
      <c r="C309" s="48" t="s">
        <v>312</v>
      </c>
      <c r="D309" s="49">
        <v>45876</v>
      </c>
      <c r="E309" s="49">
        <v>45890</v>
      </c>
      <c r="F309" s="48">
        <v>-349000</v>
      </c>
      <c r="G309" s="48" t="s">
        <v>63</v>
      </c>
      <c r="H309" s="48" t="s">
        <v>266</v>
      </c>
      <c r="I309" s="48"/>
      <c r="J309" s="48">
        <v>-349000</v>
      </c>
      <c r="K309" s="48">
        <v>-349000</v>
      </c>
      <c r="L309" s="48">
        <v>349000</v>
      </c>
      <c r="M309" s="48"/>
      <c r="N309" s="48" t="s">
        <v>102</v>
      </c>
      <c r="O309" s="48">
        <v>1</v>
      </c>
      <c r="P309" s="48">
        <v>349000</v>
      </c>
      <c r="Q309" s="48" t="s">
        <v>34</v>
      </c>
      <c r="R309" s="48"/>
      <c r="S309" s="48"/>
    </row>
    <row r="310" spans="1:19" x14ac:dyDescent="0.3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</row>
    <row r="311" spans="1:19" x14ac:dyDescent="0.3">
      <c r="A311" s="48"/>
      <c r="B311" s="48" t="s">
        <v>311</v>
      </c>
      <c r="C311" s="48" t="s">
        <v>316</v>
      </c>
      <c r="D311" s="49">
        <v>45876</v>
      </c>
      <c r="E311" s="49">
        <v>45890</v>
      </c>
      <c r="F311" s="48">
        <v>-754917.96</v>
      </c>
      <c r="G311" s="48" t="s">
        <v>49</v>
      </c>
      <c r="H311" s="48" t="s">
        <v>268</v>
      </c>
      <c r="I311" s="48"/>
      <c r="J311" s="48">
        <v>-913450.73</v>
      </c>
      <c r="K311" s="48">
        <v>-913450.73</v>
      </c>
      <c r="L311" s="48"/>
      <c r="M311" s="48"/>
      <c r="N311" s="48" t="s">
        <v>88</v>
      </c>
      <c r="O311" s="48">
        <v>36</v>
      </c>
      <c r="P311" s="48">
        <v>8450.57</v>
      </c>
      <c r="Q311" s="48" t="s">
        <v>34</v>
      </c>
      <c r="R311" s="48"/>
      <c r="S311" s="48"/>
    </row>
    <row r="312" spans="1:19" x14ac:dyDescent="0.3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 t="s">
        <v>416</v>
      </c>
      <c r="O312" s="48">
        <v>48</v>
      </c>
      <c r="P312" s="48">
        <v>9389.5300000000007</v>
      </c>
      <c r="Q312" s="48" t="s">
        <v>34</v>
      </c>
      <c r="R312" s="48"/>
      <c r="S312" s="48"/>
    </row>
    <row r="313" spans="1:19" x14ac:dyDescent="0.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</row>
    <row r="314" spans="1:19" x14ac:dyDescent="0.3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</row>
    <row r="315" spans="1:19" x14ac:dyDescent="0.3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</row>
    <row r="316" spans="1:19" ht="28.8" x14ac:dyDescent="0.3">
      <c r="A316" s="48"/>
      <c r="B316" s="48" t="s">
        <v>311</v>
      </c>
      <c r="C316" s="48" t="s">
        <v>316</v>
      </c>
      <c r="D316" s="49">
        <v>45875</v>
      </c>
      <c r="E316" s="49">
        <v>45875</v>
      </c>
      <c r="F316" s="48">
        <v>-15940.74</v>
      </c>
      <c r="G316" s="48" t="s">
        <v>76</v>
      </c>
      <c r="H316" s="48" t="s">
        <v>269</v>
      </c>
      <c r="I316" s="48"/>
      <c r="J316" s="48">
        <v>-15940.74</v>
      </c>
      <c r="K316" s="48">
        <v>-15940.74</v>
      </c>
      <c r="L316" s="48"/>
      <c r="M316" s="48"/>
      <c r="N316" s="48" t="s">
        <v>51</v>
      </c>
      <c r="O316" s="48">
        <v>1</v>
      </c>
      <c r="P316" s="48">
        <v>15940.74</v>
      </c>
      <c r="Q316" s="48" t="s">
        <v>34</v>
      </c>
      <c r="R316" s="48"/>
      <c r="S316" s="48"/>
    </row>
    <row r="317" spans="1:19" x14ac:dyDescent="0.3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</row>
    <row r="318" spans="1:19" x14ac:dyDescent="0.3">
      <c r="A318" s="48"/>
      <c r="B318" s="48" t="s">
        <v>311</v>
      </c>
      <c r="C318" s="48" t="s">
        <v>316</v>
      </c>
      <c r="D318" s="49">
        <v>45875</v>
      </c>
      <c r="E318" s="49">
        <v>45889</v>
      </c>
      <c r="F318" s="48">
        <v>-1819116</v>
      </c>
      <c r="G318" s="48" t="s">
        <v>64</v>
      </c>
      <c r="H318" s="48" t="s">
        <v>270</v>
      </c>
      <c r="I318" s="48"/>
      <c r="J318" s="48">
        <v>-1819116</v>
      </c>
      <c r="K318" s="48">
        <v>-1819116</v>
      </c>
      <c r="L318" s="48"/>
      <c r="M318" s="48"/>
      <c r="N318" s="48" t="s">
        <v>106</v>
      </c>
      <c r="O318" s="48">
        <v>1</v>
      </c>
      <c r="P318" s="48">
        <v>1819116</v>
      </c>
      <c r="Q318" s="48" t="s">
        <v>34</v>
      </c>
      <c r="R318" s="48"/>
      <c r="S318" s="48"/>
    </row>
    <row r="319" spans="1:19" x14ac:dyDescent="0.3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</row>
    <row r="320" spans="1:19" ht="28.8" x14ac:dyDescent="0.3">
      <c r="A320" s="48"/>
      <c r="B320" s="48" t="s">
        <v>311</v>
      </c>
      <c r="C320" s="48" t="s">
        <v>316</v>
      </c>
      <c r="D320" s="49">
        <v>45874</v>
      </c>
      <c r="E320" s="49">
        <v>45874</v>
      </c>
      <c r="F320" s="48">
        <v>-9976.86</v>
      </c>
      <c r="G320" s="48" t="s">
        <v>76</v>
      </c>
      <c r="H320" s="48" t="s">
        <v>272</v>
      </c>
      <c r="I320" s="48"/>
      <c r="J320" s="48">
        <v>-9976.86</v>
      </c>
      <c r="K320" s="48">
        <v>-9976.86</v>
      </c>
      <c r="L320" s="48"/>
      <c r="M320" s="48"/>
      <c r="N320" s="48" t="s">
        <v>51</v>
      </c>
      <c r="O320" s="48">
        <v>1</v>
      </c>
      <c r="P320" s="48">
        <v>9976.86</v>
      </c>
      <c r="Q320" s="48" t="s">
        <v>34</v>
      </c>
      <c r="R320" s="48"/>
      <c r="S320" s="48"/>
    </row>
    <row r="321" spans="1:19" x14ac:dyDescent="0.3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</row>
    <row r="322" spans="1:19" ht="43.2" x14ac:dyDescent="0.3">
      <c r="A322" s="48"/>
      <c r="B322" s="48" t="s">
        <v>311</v>
      </c>
      <c r="C322" s="48" t="s">
        <v>312</v>
      </c>
      <c r="D322" s="49">
        <v>45874</v>
      </c>
      <c r="E322" s="49">
        <v>45904</v>
      </c>
      <c r="F322" s="48">
        <v>-89000</v>
      </c>
      <c r="G322" s="48" t="s">
        <v>65</v>
      </c>
      <c r="H322" s="48" t="s">
        <v>271</v>
      </c>
      <c r="I322" s="48"/>
      <c r="J322" s="48">
        <v>-107690</v>
      </c>
      <c r="K322" s="48">
        <v>-107690</v>
      </c>
      <c r="L322" s="48">
        <v>107690</v>
      </c>
      <c r="M322" s="48"/>
      <c r="N322" s="48" t="s">
        <v>417</v>
      </c>
      <c r="O322" s="48">
        <v>1</v>
      </c>
      <c r="P322" s="48">
        <v>89000</v>
      </c>
      <c r="Q322" s="48" t="s">
        <v>34</v>
      </c>
      <c r="R322" s="48"/>
      <c r="S322" s="48"/>
    </row>
    <row r="323" spans="1:19" x14ac:dyDescent="0.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</row>
    <row r="324" spans="1:19" x14ac:dyDescent="0.3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</row>
    <row r="325" spans="1:19" ht="28.8" x14ac:dyDescent="0.3">
      <c r="A325" s="48"/>
      <c r="B325" s="48" t="s">
        <v>311</v>
      </c>
      <c r="C325" s="48" t="s">
        <v>316</v>
      </c>
      <c r="D325" s="49">
        <v>45873</v>
      </c>
      <c r="E325" s="49">
        <v>45873</v>
      </c>
      <c r="F325" s="48">
        <v>-12791.86</v>
      </c>
      <c r="G325" s="48" t="s">
        <v>76</v>
      </c>
      <c r="H325" s="48" t="s">
        <v>275</v>
      </c>
      <c r="I325" s="48"/>
      <c r="J325" s="48">
        <v>-12791.86</v>
      </c>
      <c r="K325" s="48">
        <v>-12791.86</v>
      </c>
      <c r="L325" s="48"/>
      <c r="M325" s="48"/>
      <c r="N325" s="48" t="s">
        <v>51</v>
      </c>
      <c r="O325" s="48">
        <v>1</v>
      </c>
      <c r="P325" s="48">
        <v>12791.86</v>
      </c>
      <c r="Q325" s="48" t="s">
        <v>34</v>
      </c>
      <c r="R325" s="48"/>
      <c r="S325" s="48"/>
    </row>
    <row r="326" spans="1:19" x14ac:dyDescent="0.3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</row>
    <row r="327" spans="1:19" ht="43.2" x14ac:dyDescent="0.3">
      <c r="A327" s="48"/>
      <c r="B327" s="48" t="s">
        <v>311</v>
      </c>
      <c r="C327" s="48" t="s">
        <v>312</v>
      </c>
      <c r="D327" s="49">
        <v>45873</v>
      </c>
      <c r="E327" s="49">
        <v>45880</v>
      </c>
      <c r="F327" s="48">
        <v>-114000</v>
      </c>
      <c r="G327" s="48" t="s">
        <v>27</v>
      </c>
      <c r="H327" s="48" t="s">
        <v>276</v>
      </c>
      <c r="I327" s="48"/>
      <c r="J327" s="48">
        <v>-137940</v>
      </c>
      <c r="K327" s="48">
        <v>-137940</v>
      </c>
      <c r="L327" s="48">
        <v>137940</v>
      </c>
      <c r="M327" s="48"/>
      <c r="N327" s="48" t="s">
        <v>87</v>
      </c>
      <c r="O327" s="48">
        <v>1</v>
      </c>
      <c r="P327" s="48">
        <v>114000</v>
      </c>
      <c r="Q327" s="48" t="s">
        <v>34</v>
      </c>
      <c r="R327" s="48"/>
      <c r="S327" s="48"/>
    </row>
    <row r="328" spans="1:19" x14ac:dyDescent="0.3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</row>
    <row r="329" spans="1:19" x14ac:dyDescent="0.3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</row>
    <row r="330" spans="1:19" x14ac:dyDescent="0.3">
      <c r="A330" s="48"/>
      <c r="B330" s="48" t="s">
        <v>311</v>
      </c>
      <c r="C330" s="48" t="s">
        <v>312</v>
      </c>
      <c r="D330" s="49">
        <v>45873</v>
      </c>
      <c r="E330" s="49">
        <v>45887</v>
      </c>
      <c r="F330" s="48">
        <v>-3356496</v>
      </c>
      <c r="G330" s="48" t="s">
        <v>35</v>
      </c>
      <c r="H330" s="48" t="s">
        <v>274</v>
      </c>
      <c r="I330" s="48"/>
      <c r="J330" s="48">
        <v>-4061360.16</v>
      </c>
      <c r="K330" s="48">
        <v>-4061360.16</v>
      </c>
      <c r="L330" s="48">
        <v>4061360.16</v>
      </c>
      <c r="M330" s="48"/>
      <c r="N330" s="48" t="s">
        <v>418</v>
      </c>
      <c r="O330" s="48">
        <v>1</v>
      </c>
      <c r="P330" s="48">
        <v>3356496</v>
      </c>
      <c r="Q330" s="48" t="s">
        <v>34</v>
      </c>
      <c r="R330" s="48"/>
      <c r="S330" s="48"/>
    </row>
    <row r="331" spans="1:19" x14ac:dyDescent="0.3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</row>
    <row r="332" spans="1:19" x14ac:dyDescent="0.3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</row>
    <row r="333" spans="1:19" ht="43.2" x14ac:dyDescent="0.3">
      <c r="A333" s="48"/>
      <c r="B333" s="48" t="s">
        <v>311</v>
      </c>
      <c r="C333" s="48" t="s">
        <v>381</v>
      </c>
      <c r="D333" s="49">
        <v>45873</v>
      </c>
      <c r="E333" s="49">
        <v>45888</v>
      </c>
      <c r="F333" s="48">
        <v>-2235000</v>
      </c>
      <c r="G333" s="48" t="s">
        <v>60</v>
      </c>
      <c r="H333" s="48" t="s">
        <v>273</v>
      </c>
      <c r="I333" s="48"/>
      <c r="J333" s="48">
        <v>-2704350</v>
      </c>
      <c r="K333" s="48">
        <v>-2704350</v>
      </c>
      <c r="L333" s="48">
        <v>35533.910000000003</v>
      </c>
      <c r="M333" s="48"/>
      <c r="N333" s="48" t="s">
        <v>419</v>
      </c>
      <c r="O333" s="48">
        <v>1</v>
      </c>
      <c r="P333" s="48">
        <v>495000</v>
      </c>
      <c r="Q333" s="48" t="s">
        <v>34</v>
      </c>
      <c r="R333" s="48"/>
      <c r="S333" s="48"/>
    </row>
    <row r="334" spans="1:19" ht="43.2" x14ac:dyDescent="0.3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 t="s">
        <v>420</v>
      </c>
      <c r="O334" s="48">
        <v>1</v>
      </c>
      <c r="P334" s="48">
        <v>495000</v>
      </c>
      <c r="Q334" s="48" t="s">
        <v>34</v>
      </c>
      <c r="R334" s="48"/>
      <c r="S334" s="48"/>
    </row>
    <row r="335" spans="1:19" ht="43.2" x14ac:dyDescent="0.3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 t="s">
        <v>421</v>
      </c>
      <c r="O335" s="48">
        <v>1</v>
      </c>
      <c r="P335" s="48">
        <v>415000</v>
      </c>
      <c r="Q335" s="48" t="s">
        <v>34</v>
      </c>
      <c r="R335" s="48"/>
      <c r="S335" s="48"/>
    </row>
    <row r="336" spans="1:19" ht="28.8" x14ac:dyDescent="0.3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 t="s">
        <v>422</v>
      </c>
      <c r="O336" s="48">
        <v>1</v>
      </c>
      <c r="P336" s="48">
        <v>415000</v>
      </c>
      <c r="Q336" s="48" t="s">
        <v>34</v>
      </c>
      <c r="R336" s="48"/>
      <c r="S336" s="48"/>
    </row>
    <row r="337" spans="1:19" ht="28.8" x14ac:dyDescent="0.3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 t="s">
        <v>423</v>
      </c>
      <c r="O337" s="48">
        <v>1</v>
      </c>
      <c r="P337" s="48">
        <v>415000</v>
      </c>
      <c r="Q337" s="48" t="s">
        <v>34</v>
      </c>
      <c r="R337" s="48"/>
      <c r="S337" s="48"/>
    </row>
    <row r="338" spans="1:19" x14ac:dyDescent="0.3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</row>
    <row r="339" spans="1:19" x14ac:dyDescent="0.3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</row>
    <row r="340" spans="1:19" x14ac:dyDescent="0.3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</row>
    <row r="341" spans="1:19" x14ac:dyDescent="0.3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</row>
    <row r="342" spans="1:19" x14ac:dyDescent="0.3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</row>
    <row r="343" spans="1:19" x14ac:dyDescent="0.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</row>
    <row r="344" spans="1:19" x14ac:dyDescent="0.3">
      <c r="A344" s="48"/>
      <c r="B344" s="48" t="s">
        <v>311</v>
      </c>
      <c r="C344" s="48" t="s">
        <v>316</v>
      </c>
      <c r="D344" s="49">
        <v>45873</v>
      </c>
      <c r="E344" s="49">
        <v>45904</v>
      </c>
      <c r="F344" s="48">
        <v>-4103750</v>
      </c>
      <c r="G344" s="48" t="s">
        <v>89</v>
      </c>
      <c r="H344" s="48" t="s">
        <v>278</v>
      </c>
      <c r="I344" s="48"/>
      <c r="J344" s="48">
        <v>-4965537.5</v>
      </c>
      <c r="K344" s="48">
        <v>-4965537.5</v>
      </c>
      <c r="L344" s="48"/>
      <c r="M344" s="48"/>
      <c r="N344" s="48" t="s">
        <v>95</v>
      </c>
      <c r="O344" s="48">
        <v>1</v>
      </c>
      <c r="P344" s="48">
        <v>4103750</v>
      </c>
      <c r="Q344" s="48" t="s">
        <v>34</v>
      </c>
      <c r="R344" s="48"/>
      <c r="S344" s="48"/>
    </row>
    <row r="345" spans="1:19" x14ac:dyDescent="0.3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</row>
    <row r="346" spans="1:19" x14ac:dyDescent="0.3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</row>
    <row r="347" spans="1:19" ht="28.8" x14ac:dyDescent="0.3">
      <c r="A347" s="48"/>
      <c r="B347" s="48" t="s">
        <v>311</v>
      </c>
      <c r="C347" s="48" t="s">
        <v>312</v>
      </c>
      <c r="D347" s="49">
        <v>45873</v>
      </c>
      <c r="E347" s="49">
        <v>45873</v>
      </c>
      <c r="F347" s="48">
        <v>-1910882.71</v>
      </c>
      <c r="G347" s="48" t="s">
        <v>29</v>
      </c>
      <c r="H347" s="48" t="s">
        <v>277</v>
      </c>
      <c r="I347" s="48"/>
      <c r="J347" s="48">
        <v>-2312168.08</v>
      </c>
      <c r="K347" s="48">
        <v>-2312168.08</v>
      </c>
      <c r="L347" s="48">
        <v>2312168.08</v>
      </c>
      <c r="M347" s="48"/>
      <c r="N347" s="48" t="s">
        <v>109</v>
      </c>
      <c r="O347" s="48">
        <v>1</v>
      </c>
      <c r="P347" s="48">
        <v>1910882.71</v>
      </c>
      <c r="Q347" s="48" t="s">
        <v>34</v>
      </c>
      <c r="R347" s="48"/>
      <c r="S347" s="48"/>
    </row>
    <row r="348" spans="1:19" x14ac:dyDescent="0.3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</row>
    <row r="349" spans="1:19" x14ac:dyDescent="0.3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</row>
    <row r="350" spans="1:19" ht="28.8" x14ac:dyDescent="0.3">
      <c r="A350" s="48"/>
      <c r="B350" s="48" t="s">
        <v>311</v>
      </c>
      <c r="C350" s="48" t="s">
        <v>312</v>
      </c>
      <c r="D350" s="49">
        <v>45872</v>
      </c>
      <c r="E350" s="49">
        <v>45872</v>
      </c>
      <c r="F350" s="48">
        <v>-350000</v>
      </c>
      <c r="G350" s="48" t="s">
        <v>62</v>
      </c>
      <c r="H350" s="48" t="s">
        <v>279</v>
      </c>
      <c r="I350" s="48"/>
      <c r="J350" s="48">
        <v>-423500</v>
      </c>
      <c r="K350" s="48">
        <v>-423500</v>
      </c>
      <c r="L350" s="48">
        <v>423500</v>
      </c>
      <c r="M350" s="48"/>
      <c r="N350" s="48" t="s">
        <v>424</v>
      </c>
      <c r="O350" s="48">
        <v>1</v>
      </c>
      <c r="P350" s="48">
        <v>350000</v>
      </c>
      <c r="Q350" s="48" t="s">
        <v>34</v>
      </c>
      <c r="R350" s="48"/>
      <c r="S350" s="48"/>
    </row>
    <row r="351" spans="1:19" x14ac:dyDescent="0.3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</row>
    <row r="352" spans="1:19" x14ac:dyDescent="0.3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</row>
    <row r="353" spans="1:19" ht="72" x14ac:dyDescent="0.3">
      <c r="A353" s="48"/>
      <c r="B353" s="48" t="s">
        <v>311</v>
      </c>
      <c r="C353" s="48" t="s">
        <v>312</v>
      </c>
      <c r="D353" s="49">
        <v>45871</v>
      </c>
      <c r="E353" s="49">
        <v>45880</v>
      </c>
      <c r="F353" s="48">
        <v>-436000</v>
      </c>
      <c r="G353" s="48" t="s">
        <v>31</v>
      </c>
      <c r="H353" s="48" t="s">
        <v>280</v>
      </c>
      <c r="I353" s="48"/>
      <c r="J353" s="48">
        <v>-436000</v>
      </c>
      <c r="K353" s="48">
        <v>-436000</v>
      </c>
      <c r="L353" s="48">
        <v>436000</v>
      </c>
      <c r="M353" s="48"/>
      <c r="N353" s="48" t="s">
        <v>425</v>
      </c>
      <c r="O353" s="48">
        <v>1</v>
      </c>
      <c r="P353" s="48">
        <v>436000</v>
      </c>
      <c r="Q353" s="48" t="s">
        <v>34</v>
      </c>
      <c r="R353" s="48"/>
      <c r="S353" s="48"/>
    </row>
    <row r="354" spans="1:19" x14ac:dyDescent="0.3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</row>
    <row r="355" spans="1:19" ht="28.8" x14ac:dyDescent="0.3">
      <c r="A355" s="48"/>
      <c r="B355" s="48" t="s">
        <v>311</v>
      </c>
      <c r="C355" s="48" t="s">
        <v>316</v>
      </c>
      <c r="D355" s="49">
        <v>45870</v>
      </c>
      <c r="E355" s="49">
        <v>45870</v>
      </c>
      <c r="F355" s="48">
        <v>-180000</v>
      </c>
      <c r="G355" s="48" t="s">
        <v>289</v>
      </c>
      <c r="H355" s="48" t="s">
        <v>288</v>
      </c>
      <c r="I355" s="48"/>
      <c r="J355" s="48">
        <v>-180000</v>
      </c>
      <c r="K355" s="48">
        <v>-180000</v>
      </c>
      <c r="L355" s="48"/>
      <c r="M355" s="48"/>
      <c r="N355" s="48" t="s">
        <v>426</v>
      </c>
      <c r="O355" s="48">
        <v>1</v>
      </c>
      <c r="P355" s="48">
        <v>180000</v>
      </c>
      <c r="Q355" s="48" t="s">
        <v>34</v>
      </c>
      <c r="R355" s="48"/>
      <c r="S355" s="48"/>
    </row>
    <row r="356" spans="1:19" x14ac:dyDescent="0.3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</row>
    <row r="357" spans="1:19" x14ac:dyDescent="0.3">
      <c r="A357" s="48"/>
      <c r="B357" s="48" t="s">
        <v>311</v>
      </c>
      <c r="C357" s="48" t="s">
        <v>316</v>
      </c>
      <c r="D357" s="49">
        <v>45870</v>
      </c>
      <c r="E357" s="49">
        <v>45874</v>
      </c>
      <c r="F357" s="48">
        <v>-1500000</v>
      </c>
      <c r="G357" s="48" t="s">
        <v>78</v>
      </c>
      <c r="H357" s="48" t="s">
        <v>105</v>
      </c>
      <c r="I357" s="48"/>
      <c r="J357" s="48">
        <v>-1500000</v>
      </c>
      <c r="K357" s="48">
        <v>-1500000</v>
      </c>
      <c r="L357" s="48"/>
      <c r="M357" s="48"/>
      <c r="N357" s="48" t="s">
        <v>111</v>
      </c>
      <c r="O357" s="48">
        <v>1</v>
      </c>
      <c r="P357" s="48">
        <v>1500000</v>
      </c>
      <c r="Q357" s="48" t="s">
        <v>34</v>
      </c>
      <c r="R357" s="48"/>
      <c r="S357" s="48"/>
    </row>
    <row r="358" spans="1:19" x14ac:dyDescent="0.3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</row>
    <row r="359" spans="1:19" ht="28.8" x14ac:dyDescent="0.3">
      <c r="A359" s="48"/>
      <c r="B359" s="48" t="s">
        <v>311</v>
      </c>
      <c r="C359" s="48" t="s">
        <v>316</v>
      </c>
      <c r="D359" s="49">
        <v>45870</v>
      </c>
      <c r="E359" s="49">
        <v>45884</v>
      </c>
      <c r="F359" s="48">
        <v>-249048.69</v>
      </c>
      <c r="G359" s="48" t="s">
        <v>32</v>
      </c>
      <c r="H359" s="48" t="s">
        <v>282</v>
      </c>
      <c r="I359" s="48"/>
      <c r="J359" s="48">
        <v>-275198.8</v>
      </c>
      <c r="K359" s="48">
        <v>-275198.8</v>
      </c>
      <c r="L359" s="48"/>
      <c r="M359" s="48"/>
      <c r="N359" s="48" t="s">
        <v>427</v>
      </c>
      <c r="O359" s="48">
        <v>1</v>
      </c>
      <c r="P359" s="48">
        <v>249048.69</v>
      </c>
      <c r="Q359" s="48" t="s">
        <v>34</v>
      </c>
      <c r="R359" s="48"/>
      <c r="S359" s="48"/>
    </row>
    <row r="360" spans="1:19" x14ac:dyDescent="0.3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</row>
    <row r="361" spans="1:19" x14ac:dyDescent="0.3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</row>
    <row r="362" spans="1:19" ht="28.8" x14ac:dyDescent="0.3">
      <c r="A362" s="48"/>
      <c r="B362" s="48" t="s">
        <v>311</v>
      </c>
      <c r="C362" s="48" t="s">
        <v>316</v>
      </c>
      <c r="D362" s="49">
        <v>45870</v>
      </c>
      <c r="E362" s="49">
        <v>45878</v>
      </c>
      <c r="F362" s="48">
        <v>-234281</v>
      </c>
      <c r="G362" s="48" t="s">
        <v>70</v>
      </c>
      <c r="H362" s="48" t="s">
        <v>285</v>
      </c>
      <c r="I362" s="48"/>
      <c r="J362" s="48">
        <v>-283480.01</v>
      </c>
      <c r="K362" s="48">
        <v>-283480.01</v>
      </c>
      <c r="L362" s="48"/>
      <c r="M362" s="48"/>
      <c r="N362" s="48" t="s">
        <v>428</v>
      </c>
      <c r="O362" s="48">
        <v>1</v>
      </c>
      <c r="P362" s="48">
        <v>234281</v>
      </c>
      <c r="Q362" s="48" t="s">
        <v>34</v>
      </c>
      <c r="R362" s="48"/>
      <c r="S362" s="48"/>
    </row>
    <row r="363" spans="1:19" x14ac:dyDescent="0.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</row>
    <row r="364" spans="1:19" x14ac:dyDescent="0.3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</row>
    <row r="365" spans="1:19" x14ac:dyDescent="0.3">
      <c r="A365" s="48"/>
      <c r="B365" s="48" t="s">
        <v>311</v>
      </c>
      <c r="C365" s="48" t="s">
        <v>316</v>
      </c>
      <c r="D365" s="49">
        <v>45870</v>
      </c>
      <c r="E365" s="49">
        <v>45884</v>
      </c>
      <c r="F365" s="48">
        <v>-1340000</v>
      </c>
      <c r="G365" s="48" t="s">
        <v>30</v>
      </c>
      <c r="H365" s="48" t="s">
        <v>284</v>
      </c>
      <c r="I365" s="48"/>
      <c r="J365" s="48">
        <v>-1621400</v>
      </c>
      <c r="K365" s="48">
        <v>-1621400</v>
      </c>
      <c r="L365" s="48"/>
      <c r="M365" s="48"/>
      <c r="N365" s="48" t="s">
        <v>69</v>
      </c>
      <c r="O365" s="48">
        <v>1</v>
      </c>
      <c r="P365" s="48">
        <v>1340000</v>
      </c>
      <c r="Q365" s="48" t="s">
        <v>34</v>
      </c>
      <c r="R365" s="48"/>
      <c r="S365" s="48"/>
    </row>
    <row r="366" spans="1:19" x14ac:dyDescent="0.3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</row>
    <row r="367" spans="1:19" x14ac:dyDescent="0.3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</row>
    <row r="368" spans="1:19" x14ac:dyDescent="0.3">
      <c r="A368" s="48"/>
      <c r="B368" s="48" t="s">
        <v>311</v>
      </c>
      <c r="C368" s="48" t="s">
        <v>312</v>
      </c>
      <c r="D368" s="49">
        <v>45870</v>
      </c>
      <c r="E368" s="49">
        <v>45884</v>
      </c>
      <c r="F368" s="48">
        <v>-179525</v>
      </c>
      <c r="G368" s="48" t="s">
        <v>68</v>
      </c>
      <c r="H368" s="48" t="s">
        <v>287</v>
      </c>
      <c r="I368" s="48"/>
      <c r="J368" s="48">
        <v>-217225.25</v>
      </c>
      <c r="K368" s="48">
        <v>-217225.25</v>
      </c>
      <c r="L368" s="48">
        <v>217225.25</v>
      </c>
      <c r="M368" s="48"/>
      <c r="N368" s="48" t="s">
        <v>112</v>
      </c>
      <c r="O368" s="48">
        <v>1</v>
      </c>
      <c r="P368" s="48">
        <v>179525</v>
      </c>
      <c r="Q368" s="48" t="s">
        <v>34</v>
      </c>
      <c r="R368" s="48"/>
      <c r="S368" s="48"/>
    </row>
    <row r="369" spans="1:19" x14ac:dyDescent="0.3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</row>
    <row r="370" spans="1:19" x14ac:dyDescent="0.3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5987-7984-4E08-89D0-EC64269DFEC2}">
  <dimension ref="A1:J32"/>
  <sheetViews>
    <sheetView topLeftCell="G1" workbookViewId="0">
      <selection activeCell="H33" sqref="H33"/>
    </sheetView>
  </sheetViews>
  <sheetFormatPr defaultColWidth="8.88671875" defaultRowHeight="14.4" x14ac:dyDescent="0.3"/>
  <cols>
    <col min="1" max="1" width="21.88671875" bestFit="1" customWidth="1"/>
    <col min="2" max="2" width="23.5546875" bestFit="1" customWidth="1"/>
    <col min="3" max="3" width="21.88671875" bestFit="1" customWidth="1"/>
    <col min="4" max="4" width="18.109375" bestFit="1" customWidth="1"/>
    <col min="5" max="5" width="11.44140625" bestFit="1" customWidth="1"/>
    <col min="6" max="6" width="50.109375" bestFit="1" customWidth="1"/>
    <col min="7" max="7" width="20.33203125" bestFit="1" customWidth="1"/>
    <col min="8" max="8" width="16.5546875" bestFit="1" customWidth="1"/>
    <col min="9" max="9" width="25.44140625" bestFit="1" customWidth="1"/>
    <col min="10" max="10" width="12.44140625" bestFit="1" customWidth="1"/>
  </cols>
  <sheetData>
    <row r="1" spans="1:10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</row>
    <row r="2" spans="1:10" x14ac:dyDescent="0.3">
      <c r="A2" t="s">
        <v>135</v>
      </c>
      <c r="B2" t="s">
        <v>136</v>
      </c>
      <c r="C2" t="s">
        <v>137</v>
      </c>
      <c r="D2" s="46">
        <v>45898</v>
      </c>
      <c r="E2" t="s">
        <v>138</v>
      </c>
      <c r="G2">
        <v>2081</v>
      </c>
      <c r="H2">
        <v>1330</v>
      </c>
      <c r="I2">
        <v>2767730</v>
      </c>
      <c r="J2">
        <v>3058341.65</v>
      </c>
    </row>
    <row r="3" spans="1:10" x14ac:dyDescent="0.3">
      <c r="A3" t="s">
        <v>139</v>
      </c>
      <c r="B3" t="s">
        <v>136</v>
      </c>
      <c r="C3" t="s">
        <v>137</v>
      </c>
      <c r="D3" s="46">
        <v>45898</v>
      </c>
      <c r="E3" t="s">
        <v>71</v>
      </c>
      <c r="G3">
        <v>3446</v>
      </c>
      <c r="H3">
        <v>1822.26</v>
      </c>
      <c r="I3">
        <v>6279507.96</v>
      </c>
      <c r="J3">
        <v>6938856.2999999998</v>
      </c>
    </row>
    <row r="4" spans="1:10" x14ac:dyDescent="0.3">
      <c r="A4" t="s">
        <v>140</v>
      </c>
      <c r="B4" t="s">
        <v>136</v>
      </c>
      <c r="C4" t="s">
        <v>137</v>
      </c>
      <c r="D4" s="46">
        <v>45897</v>
      </c>
      <c r="E4" t="s">
        <v>71</v>
      </c>
      <c r="G4">
        <v>13142</v>
      </c>
      <c r="H4">
        <v>1838.41</v>
      </c>
      <c r="I4">
        <v>24160384.219999999</v>
      </c>
      <c r="J4">
        <v>26697224.559999999</v>
      </c>
    </row>
    <row r="5" spans="1:10" x14ac:dyDescent="0.3">
      <c r="A5" t="s">
        <v>141</v>
      </c>
      <c r="B5" t="s">
        <v>142</v>
      </c>
      <c r="C5" t="s">
        <v>137</v>
      </c>
      <c r="D5" s="46">
        <v>45897</v>
      </c>
      <c r="E5" t="s">
        <v>71</v>
      </c>
      <c r="G5">
        <v>3324</v>
      </c>
      <c r="H5">
        <v>1330</v>
      </c>
      <c r="I5">
        <v>4420920</v>
      </c>
      <c r="J5">
        <v>4885116.5999999996</v>
      </c>
    </row>
    <row r="6" spans="1:10" x14ac:dyDescent="0.3">
      <c r="A6" t="s">
        <v>143</v>
      </c>
      <c r="B6" t="s">
        <v>136</v>
      </c>
      <c r="C6" t="s">
        <v>137</v>
      </c>
      <c r="D6" s="46">
        <v>45895</v>
      </c>
      <c r="E6" t="s">
        <v>71</v>
      </c>
      <c r="G6">
        <v>5433</v>
      </c>
      <c r="H6">
        <v>1890.56</v>
      </c>
      <c r="I6">
        <v>10271412.48</v>
      </c>
      <c r="J6">
        <v>11349910.789999999</v>
      </c>
    </row>
    <row r="7" spans="1:10" x14ac:dyDescent="0.3">
      <c r="A7" t="s">
        <v>144</v>
      </c>
      <c r="B7" t="s">
        <v>136</v>
      </c>
      <c r="C7" t="s">
        <v>137</v>
      </c>
      <c r="D7" s="46">
        <v>45895</v>
      </c>
      <c r="E7" t="s">
        <v>71</v>
      </c>
      <c r="G7">
        <v>4004</v>
      </c>
      <c r="H7">
        <v>1876.27</v>
      </c>
      <c r="I7">
        <v>7512585.0800000001</v>
      </c>
      <c r="J7">
        <v>8301406.5099999998</v>
      </c>
    </row>
    <row r="8" spans="1:10" x14ac:dyDescent="0.3">
      <c r="A8" t="s">
        <v>145</v>
      </c>
      <c r="B8" t="s">
        <v>136</v>
      </c>
      <c r="C8" t="s">
        <v>137</v>
      </c>
      <c r="D8" s="46">
        <v>45894</v>
      </c>
      <c r="E8" t="s">
        <v>71</v>
      </c>
      <c r="G8">
        <v>3358</v>
      </c>
      <c r="H8">
        <v>1891.51</v>
      </c>
      <c r="I8">
        <v>6351690.5800000001</v>
      </c>
      <c r="J8">
        <v>7018618.0899999999</v>
      </c>
    </row>
    <row r="9" spans="1:10" x14ac:dyDescent="0.3">
      <c r="A9" t="s">
        <v>146</v>
      </c>
      <c r="B9" t="s">
        <v>136</v>
      </c>
      <c r="C9" t="s">
        <v>137</v>
      </c>
      <c r="D9" s="46">
        <v>45894</v>
      </c>
      <c r="E9" t="s">
        <v>138</v>
      </c>
      <c r="G9">
        <v>1079</v>
      </c>
      <c r="H9">
        <v>1330</v>
      </c>
      <c r="I9">
        <v>1435070</v>
      </c>
      <c r="J9">
        <v>1585752.35</v>
      </c>
    </row>
    <row r="10" spans="1:10" x14ac:dyDescent="0.3">
      <c r="A10" t="s">
        <v>147</v>
      </c>
      <c r="B10" t="s">
        <v>136</v>
      </c>
      <c r="C10" t="s">
        <v>137</v>
      </c>
      <c r="D10" s="46">
        <v>45894</v>
      </c>
      <c r="E10" t="s">
        <v>138</v>
      </c>
      <c r="G10">
        <v>2403</v>
      </c>
      <c r="H10">
        <v>1330</v>
      </c>
      <c r="I10">
        <v>3195990</v>
      </c>
      <c r="J10">
        <v>3531568.95</v>
      </c>
    </row>
    <row r="11" spans="1:10" x14ac:dyDescent="0.3">
      <c r="A11" t="s">
        <v>148</v>
      </c>
      <c r="B11" t="s">
        <v>142</v>
      </c>
      <c r="C11" t="s">
        <v>137</v>
      </c>
      <c r="D11" s="46">
        <v>45890</v>
      </c>
      <c r="E11" t="s">
        <v>71</v>
      </c>
      <c r="G11">
        <v>3090</v>
      </c>
      <c r="H11">
        <v>1450</v>
      </c>
      <c r="I11">
        <v>4480500</v>
      </c>
      <c r="J11">
        <v>4950952.5</v>
      </c>
    </row>
    <row r="12" spans="1:10" x14ac:dyDescent="0.3">
      <c r="A12" t="s">
        <v>149</v>
      </c>
      <c r="B12" t="s">
        <v>136</v>
      </c>
      <c r="C12" t="s">
        <v>137</v>
      </c>
      <c r="D12" s="46">
        <v>45890</v>
      </c>
      <c r="E12" t="s">
        <v>71</v>
      </c>
      <c r="G12">
        <v>13908</v>
      </c>
      <c r="H12">
        <v>1798.36</v>
      </c>
      <c r="I12">
        <v>25011590.879999999</v>
      </c>
      <c r="J12">
        <v>27637807.920000002</v>
      </c>
    </row>
    <row r="13" spans="1:10" x14ac:dyDescent="0.3">
      <c r="A13" t="s">
        <v>150</v>
      </c>
      <c r="B13" t="s">
        <v>142</v>
      </c>
      <c r="C13" t="s">
        <v>137</v>
      </c>
      <c r="D13" s="46">
        <v>45890</v>
      </c>
      <c r="E13" t="s">
        <v>71</v>
      </c>
      <c r="G13">
        <v>3831</v>
      </c>
      <c r="H13">
        <v>1550</v>
      </c>
      <c r="I13">
        <v>5938050</v>
      </c>
      <c r="J13">
        <v>6561545.25</v>
      </c>
    </row>
    <row r="14" spans="1:10" x14ac:dyDescent="0.3">
      <c r="A14" t="s">
        <v>151</v>
      </c>
      <c r="B14" t="s">
        <v>136</v>
      </c>
      <c r="C14" t="s">
        <v>137</v>
      </c>
      <c r="D14" s="46">
        <v>45888</v>
      </c>
      <c r="E14" t="s">
        <v>71</v>
      </c>
      <c r="G14">
        <v>138</v>
      </c>
      <c r="H14">
        <v>1789.86</v>
      </c>
      <c r="I14">
        <v>247000.68</v>
      </c>
      <c r="J14">
        <v>272935.75</v>
      </c>
    </row>
    <row r="15" spans="1:10" x14ac:dyDescent="0.3">
      <c r="A15" t="s">
        <v>152</v>
      </c>
      <c r="B15" t="s">
        <v>136</v>
      </c>
      <c r="C15" t="s">
        <v>137</v>
      </c>
      <c r="D15" s="46">
        <v>45888</v>
      </c>
      <c r="E15" t="s">
        <v>71</v>
      </c>
      <c r="G15">
        <v>6436</v>
      </c>
      <c r="H15">
        <v>1799.04</v>
      </c>
      <c r="I15">
        <v>11578621.439999999</v>
      </c>
      <c r="J15">
        <v>12794376.689999999</v>
      </c>
    </row>
    <row r="16" spans="1:10" x14ac:dyDescent="0.3">
      <c r="A16" t="s">
        <v>153</v>
      </c>
      <c r="B16" t="s">
        <v>136</v>
      </c>
      <c r="C16" t="s">
        <v>137</v>
      </c>
      <c r="D16" s="46">
        <v>45888</v>
      </c>
      <c r="E16" t="s">
        <v>71</v>
      </c>
      <c r="G16">
        <v>4613</v>
      </c>
      <c r="H16">
        <v>1762.43</v>
      </c>
      <c r="I16">
        <v>8130089.5899999999</v>
      </c>
      <c r="J16">
        <v>8983749</v>
      </c>
    </row>
    <row r="17" spans="1:10" x14ac:dyDescent="0.3">
      <c r="A17" t="s">
        <v>154</v>
      </c>
      <c r="B17" t="s">
        <v>136</v>
      </c>
      <c r="C17" t="s">
        <v>137</v>
      </c>
      <c r="D17" s="46">
        <v>45884</v>
      </c>
      <c r="E17" t="s">
        <v>71</v>
      </c>
      <c r="G17">
        <v>254</v>
      </c>
      <c r="H17">
        <v>1260</v>
      </c>
      <c r="I17">
        <v>320040</v>
      </c>
      <c r="J17">
        <v>353644.2</v>
      </c>
    </row>
    <row r="18" spans="1:10" x14ac:dyDescent="0.3">
      <c r="A18" t="s">
        <v>155</v>
      </c>
      <c r="B18" t="s">
        <v>136</v>
      </c>
      <c r="C18" t="s">
        <v>137</v>
      </c>
      <c r="D18" s="46">
        <v>45884</v>
      </c>
      <c r="E18" t="s">
        <v>71</v>
      </c>
      <c r="G18">
        <v>10080</v>
      </c>
      <c r="H18">
        <v>1723.75</v>
      </c>
      <c r="I18">
        <v>17375400</v>
      </c>
      <c r="J18">
        <v>19199817</v>
      </c>
    </row>
    <row r="19" spans="1:10" x14ac:dyDescent="0.3">
      <c r="A19" t="s">
        <v>156</v>
      </c>
      <c r="B19" t="s">
        <v>136</v>
      </c>
      <c r="C19" t="s">
        <v>137</v>
      </c>
      <c r="D19" s="46">
        <v>45883</v>
      </c>
      <c r="E19" t="s">
        <v>71</v>
      </c>
      <c r="G19">
        <v>3761</v>
      </c>
      <c r="H19">
        <v>1260</v>
      </c>
      <c r="I19">
        <v>4738860</v>
      </c>
      <c r="J19">
        <v>5236440.3</v>
      </c>
    </row>
    <row r="20" spans="1:10" x14ac:dyDescent="0.3">
      <c r="A20" t="s">
        <v>157</v>
      </c>
      <c r="B20" t="s">
        <v>136</v>
      </c>
      <c r="C20" t="s">
        <v>137</v>
      </c>
      <c r="D20" s="46">
        <v>45883</v>
      </c>
      <c r="E20" t="s">
        <v>71</v>
      </c>
      <c r="G20">
        <v>7770</v>
      </c>
      <c r="H20">
        <v>1708.73</v>
      </c>
      <c r="I20">
        <v>13276832.1</v>
      </c>
      <c r="J20">
        <v>14670899.470000001</v>
      </c>
    </row>
    <row r="21" spans="1:10" x14ac:dyDescent="0.3">
      <c r="A21" t="s">
        <v>158</v>
      </c>
      <c r="B21" t="s">
        <v>136</v>
      </c>
      <c r="C21" t="s">
        <v>137</v>
      </c>
      <c r="D21" s="46">
        <v>45881</v>
      </c>
      <c r="E21" t="s">
        <v>71</v>
      </c>
      <c r="G21">
        <v>4448</v>
      </c>
      <c r="H21">
        <v>1740.5</v>
      </c>
      <c r="I21">
        <v>7741744</v>
      </c>
      <c r="J21">
        <v>8554627.1199999992</v>
      </c>
    </row>
    <row r="22" spans="1:10" x14ac:dyDescent="0.3">
      <c r="A22" t="s">
        <v>159</v>
      </c>
      <c r="B22" t="s">
        <v>136</v>
      </c>
      <c r="C22" t="s">
        <v>137</v>
      </c>
      <c r="D22" s="46">
        <v>45881</v>
      </c>
      <c r="E22" t="s">
        <v>71</v>
      </c>
      <c r="G22">
        <v>6925</v>
      </c>
      <c r="H22">
        <v>1642.74</v>
      </c>
      <c r="I22">
        <v>11375974.5</v>
      </c>
      <c r="J22">
        <v>12570451.82</v>
      </c>
    </row>
    <row r="23" spans="1:10" x14ac:dyDescent="0.3">
      <c r="A23" t="s">
        <v>160</v>
      </c>
      <c r="B23" t="s">
        <v>142</v>
      </c>
      <c r="C23" t="s">
        <v>137</v>
      </c>
      <c r="D23" s="46">
        <v>45880</v>
      </c>
      <c r="E23" t="s">
        <v>71</v>
      </c>
      <c r="G23">
        <v>4146</v>
      </c>
      <c r="H23">
        <v>1450</v>
      </c>
      <c r="I23">
        <v>6011700</v>
      </c>
      <c r="J23">
        <v>6642928.5</v>
      </c>
    </row>
    <row r="24" spans="1:10" x14ac:dyDescent="0.3">
      <c r="A24" t="s">
        <v>161</v>
      </c>
      <c r="B24" t="s">
        <v>136</v>
      </c>
      <c r="C24" t="s">
        <v>137</v>
      </c>
      <c r="D24" s="46">
        <v>45880</v>
      </c>
      <c r="E24" t="s">
        <v>71</v>
      </c>
      <c r="G24">
        <v>10906</v>
      </c>
      <c r="H24">
        <v>1663.34</v>
      </c>
      <c r="I24">
        <v>18140386.039999999</v>
      </c>
      <c r="J24">
        <v>20045126.57</v>
      </c>
    </row>
    <row r="25" spans="1:10" x14ac:dyDescent="0.3">
      <c r="A25" t="s">
        <v>162</v>
      </c>
      <c r="B25" t="s">
        <v>142</v>
      </c>
      <c r="C25" t="s">
        <v>137</v>
      </c>
      <c r="D25" s="46">
        <v>45880</v>
      </c>
      <c r="E25" t="s">
        <v>71</v>
      </c>
      <c r="G25">
        <v>3449</v>
      </c>
      <c r="H25">
        <v>1450</v>
      </c>
      <c r="I25">
        <v>5001050</v>
      </c>
      <c r="J25">
        <v>5526160.25</v>
      </c>
    </row>
    <row r="26" spans="1:10" x14ac:dyDescent="0.3">
      <c r="A26" t="s">
        <v>163</v>
      </c>
      <c r="B26" t="s">
        <v>136</v>
      </c>
      <c r="C26" t="s">
        <v>137</v>
      </c>
      <c r="D26" s="46">
        <v>45875</v>
      </c>
      <c r="E26" t="s">
        <v>71</v>
      </c>
      <c r="G26">
        <v>319</v>
      </c>
      <c r="H26">
        <v>1080</v>
      </c>
      <c r="I26">
        <v>344520</v>
      </c>
      <c r="J26">
        <v>380694.6</v>
      </c>
    </row>
    <row r="27" spans="1:10" x14ac:dyDescent="0.3">
      <c r="A27" t="s">
        <v>164</v>
      </c>
      <c r="B27" t="s">
        <v>136</v>
      </c>
      <c r="C27" t="s">
        <v>137</v>
      </c>
      <c r="D27" s="46">
        <v>45875</v>
      </c>
      <c r="E27" t="s">
        <v>71</v>
      </c>
      <c r="G27">
        <v>6881</v>
      </c>
      <c r="H27">
        <v>1762.85</v>
      </c>
      <c r="I27">
        <v>12130170.85</v>
      </c>
      <c r="J27">
        <v>13403838.789999999</v>
      </c>
    </row>
    <row r="28" spans="1:10" x14ac:dyDescent="0.3">
      <c r="A28" t="s">
        <v>165</v>
      </c>
      <c r="B28" t="s">
        <v>136</v>
      </c>
      <c r="C28" t="s">
        <v>137</v>
      </c>
      <c r="D28" s="46">
        <v>45875</v>
      </c>
      <c r="E28" t="s">
        <v>71</v>
      </c>
      <c r="G28">
        <v>2306</v>
      </c>
      <c r="H28">
        <v>1260</v>
      </c>
      <c r="I28">
        <v>2905560</v>
      </c>
      <c r="J28">
        <v>3210643.8</v>
      </c>
    </row>
    <row r="29" spans="1:10" x14ac:dyDescent="0.3">
      <c r="A29" t="s">
        <v>166</v>
      </c>
      <c r="B29" t="s">
        <v>136</v>
      </c>
      <c r="C29" t="s">
        <v>137</v>
      </c>
      <c r="D29" s="46">
        <v>45874</v>
      </c>
      <c r="E29" t="s">
        <v>71</v>
      </c>
      <c r="G29">
        <v>6491</v>
      </c>
      <c r="H29">
        <v>1714.87</v>
      </c>
      <c r="I29">
        <v>11131221.17</v>
      </c>
      <c r="J29">
        <v>12299999.390000001</v>
      </c>
    </row>
    <row r="30" spans="1:10" x14ac:dyDescent="0.3">
      <c r="A30" t="s">
        <v>167</v>
      </c>
      <c r="B30" t="s">
        <v>136</v>
      </c>
      <c r="C30" t="s">
        <v>137</v>
      </c>
      <c r="D30" s="46">
        <v>45874</v>
      </c>
      <c r="E30" t="s">
        <v>71</v>
      </c>
      <c r="G30">
        <v>4411</v>
      </c>
      <c r="H30">
        <v>1750.62</v>
      </c>
      <c r="I30">
        <v>7721984.8200000003</v>
      </c>
      <c r="J30">
        <v>8532793.2300000004</v>
      </c>
    </row>
    <row r="31" spans="1:10" x14ac:dyDescent="0.3">
      <c r="A31" t="s">
        <v>168</v>
      </c>
      <c r="B31" t="s">
        <v>136</v>
      </c>
      <c r="C31" t="s">
        <v>137</v>
      </c>
      <c r="D31" s="46">
        <v>45873</v>
      </c>
      <c r="E31" t="s">
        <v>71</v>
      </c>
      <c r="G31">
        <v>140</v>
      </c>
      <c r="H31">
        <v>1671.43</v>
      </c>
      <c r="I31">
        <v>234000.2</v>
      </c>
      <c r="J31">
        <v>258570.22</v>
      </c>
    </row>
    <row r="32" spans="1:10" x14ac:dyDescent="0.3">
      <c r="A32" t="s">
        <v>169</v>
      </c>
      <c r="B32" t="s">
        <v>136</v>
      </c>
      <c r="C32" t="s">
        <v>137</v>
      </c>
      <c r="D32" s="46">
        <v>45873</v>
      </c>
      <c r="E32" t="s">
        <v>71</v>
      </c>
      <c r="G32">
        <v>10823</v>
      </c>
      <c r="H32">
        <v>1754.26</v>
      </c>
      <c r="I32">
        <v>18986355.98</v>
      </c>
      <c r="J32">
        <v>20979923.359999999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C9A2-7764-4F53-AE21-37EFAC4A4414}">
  <dimension ref="A2:E34"/>
  <sheetViews>
    <sheetView tabSelected="1" zoomScaleNormal="100" workbookViewId="0">
      <selection activeCell="E6" sqref="E6"/>
    </sheetView>
  </sheetViews>
  <sheetFormatPr defaultColWidth="11.44140625" defaultRowHeight="13.8" x14ac:dyDescent="0.3"/>
  <cols>
    <col min="1" max="1" width="11.33203125" style="2" customWidth="1"/>
    <col min="2" max="2" width="33.5546875" style="5" customWidth="1"/>
    <col min="3" max="3" width="26.5546875" style="2" bestFit="1" customWidth="1"/>
    <col min="4" max="4" width="22.109375" style="1" customWidth="1"/>
    <col min="5" max="5" width="10.6640625" style="2" customWidth="1"/>
    <col min="6" max="16384" width="11.44140625" style="2"/>
  </cols>
  <sheetData>
    <row r="2" spans="2:5" x14ac:dyDescent="0.3">
      <c r="B2" s="84" t="s">
        <v>79</v>
      </c>
      <c r="C2" s="85"/>
    </row>
    <row r="3" spans="2:5" s="10" customFormat="1" x14ac:dyDescent="0.3">
      <c r="B3" s="58" t="s">
        <v>24</v>
      </c>
      <c r="C3" s="76">
        <f>SUM(venta_nico!F:F)</f>
        <v>384252317.96999997</v>
      </c>
    </row>
    <row r="4" spans="2:5" x14ac:dyDescent="0.3">
      <c r="B4" s="56" t="s">
        <v>11</v>
      </c>
      <c r="C4" s="77">
        <f>D11</f>
        <v>339107244.24000001</v>
      </c>
    </row>
    <row r="5" spans="2:5" x14ac:dyDescent="0.3">
      <c r="B5" s="56" t="s">
        <v>3656</v>
      </c>
      <c r="C5" s="57">
        <f>C3-C4</f>
        <v>45145073.729999959</v>
      </c>
    </row>
    <row r="6" spans="2:5" x14ac:dyDescent="0.3">
      <c r="B6" s="56" t="s">
        <v>12</v>
      </c>
      <c r="C6" s="77">
        <f>SUMIFS(union_gastos!$D:$D,union_gastos!$J:$J,B6)</f>
        <v>0</v>
      </c>
    </row>
    <row r="7" spans="2:5" x14ac:dyDescent="0.3">
      <c r="B7" s="56" t="s">
        <v>113</v>
      </c>
      <c r="C7" s="77">
        <f>SUMIFS(union_gastos!$D:$D,union_gastos!$J:$J,B7)*-1</f>
        <v>225721.37</v>
      </c>
    </row>
    <row r="8" spans="2:5" x14ac:dyDescent="0.3">
      <c r="B8" s="55" t="s">
        <v>3657</v>
      </c>
      <c r="C8" s="59">
        <f>C5-C6-C7</f>
        <v>44919352.359999962</v>
      </c>
      <c r="D8" s="17"/>
      <c r="E8" s="17"/>
    </row>
    <row r="10" spans="2:5" s="4" customFormat="1" x14ac:dyDescent="0.3">
      <c r="B10" s="3"/>
      <c r="D10" s="19"/>
    </row>
    <row r="11" spans="2:5" x14ac:dyDescent="0.3">
      <c r="B11" s="3" t="s">
        <v>11</v>
      </c>
      <c r="C11" s="4"/>
      <c r="D11" s="18">
        <f>SUM(D12:D22)</f>
        <v>339107244.24000001</v>
      </c>
    </row>
    <row r="12" spans="2:5" x14ac:dyDescent="0.3">
      <c r="B12" s="53">
        <v>2</v>
      </c>
      <c r="C12" s="2" t="s">
        <v>3716</v>
      </c>
      <c r="D12" s="19">
        <f>SUMIFS(union_gastos!$D:$D,union_gastos!$J:$J,"OPEX",union_gastos!$P:$P,Vista_RUBRO!C12)*-1</f>
        <v>201057213.15000004</v>
      </c>
      <c r="E12" s="38">
        <f>D12/$D$11</f>
        <v>0.5929015571478139</v>
      </c>
    </row>
    <row r="13" spans="2:5" x14ac:dyDescent="0.3">
      <c r="B13" s="53">
        <v>9</v>
      </c>
      <c r="C13" s="2" t="s">
        <v>3717</v>
      </c>
      <c r="D13" s="19">
        <f>SUMIFS(union_gastos!$D:$D,union_gastos!$J:$J,"OPEX",union_gastos!$P:$P,Vista_RUBRO!C13)</f>
        <v>49609364</v>
      </c>
      <c r="E13" s="38">
        <f t="shared" ref="E13:E20" si="0">D13/$D$11</f>
        <v>0.14629402598338309</v>
      </c>
    </row>
    <row r="14" spans="2:5" ht="12.75" customHeight="1" x14ac:dyDescent="0.3">
      <c r="B14" s="53">
        <v>1</v>
      </c>
      <c r="C14" s="2" t="s">
        <v>3718</v>
      </c>
      <c r="D14" s="19">
        <f>SUMIFS(union_gastos!$D:$D,union_gastos!$J:$J,"OPEX",union_gastos!$P:$P,Vista_RUBRO!C14)*-1</f>
        <v>23353554.09</v>
      </c>
      <c r="E14" s="38">
        <f t="shared" si="0"/>
        <v>6.8867753451683084E-2</v>
      </c>
    </row>
    <row r="15" spans="2:5" ht="12" customHeight="1" x14ac:dyDescent="0.3">
      <c r="B15" s="53">
        <v>7</v>
      </c>
      <c r="C15" s="2" t="s">
        <v>3719</v>
      </c>
      <c r="D15" s="19">
        <f>SUMIFS(union_gastos!$D:$D,union_gastos!$J:$J,"OPEX",union_gastos!$P:$P,Vista_RUBRO!C15)*-1</f>
        <v>8511805.6699999981</v>
      </c>
      <c r="E15" s="38">
        <f t="shared" si="0"/>
        <v>2.5100630595717519E-2</v>
      </c>
    </row>
    <row r="16" spans="2:5" x14ac:dyDescent="0.3">
      <c r="B16" s="53">
        <v>10</v>
      </c>
      <c r="C16" s="2" t="s">
        <v>3720</v>
      </c>
      <c r="D16" s="19">
        <f>SUMIFS(union_gastos!$D:$D,union_gastos!$J:$J,"OPEX",union_gastos!$P:$P,Vista_RUBRO!C16)*-1</f>
        <v>6921200</v>
      </c>
      <c r="E16" s="38">
        <f t="shared" si="0"/>
        <v>2.0410062355086654E-2</v>
      </c>
    </row>
    <row r="17" spans="1:5" x14ac:dyDescent="0.3">
      <c r="B17" s="53">
        <v>3</v>
      </c>
      <c r="C17" s="2" t="s">
        <v>3721</v>
      </c>
      <c r="D17" s="19">
        <f>SUMIFS(union_gastos!$D:$D,union_gastos!$J:$J,"OPEX",union_gastos!$P:$P,Vista_RUBRO!C17)*-1</f>
        <v>12284041.65</v>
      </c>
      <c r="E17" s="38">
        <f t="shared" si="0"/>
        <v>3.6224651223629077E-2</v>
      </c>
    </row>
    <row r="18" spans="1:5" x14ac:dyDescent="0.3">
      <c r="B18" s="53">
        <v>8</v>
      </c>
      <c r="C18" s="2" t="s">
        <v>3841</v>
      </c>
      <c r="D18" s="19">
        <f>SUMIFS(union_gastos!$D:$D,union_gastos!$J:$J,"OPEX",union_gastos!$P:$P,Vista_RUBRO!C18)*-1</f>
        <v>5755846.2800000003</v>
      </c>
      <c r="E18" s="38">
        <f t="shared" si="0"/>
        <v>1.6973527925951217E-2</v>
      </c>
    </row>
    <row r="19" spans="1:5" x14ac:dyDescent="0.3">
      <c r="B19" s="53">
        <v>6</v>
      </c>
      <c r="C19" s="2" t="s">
        <v>3722</v>
      </c>
      <c r="D19" s="19">
        <f>SUMIFS(union_gastos!$D:$D,union_gastos!$J:$J,"OPEX",union_gastos!$P:$P,Vista_RUBRO!C19)*-1</f>
        <v>23312174.299999997</v>
      </c>
      <c r="E19" s="38">
        <f t="shared" si="0"/>
        <v>6.8745727777791213E-2</v>
      </c>
    </row>
    <row r="20" spans="1:5" x14ac:dyDescent="0.3">
      <c r="B20" s="53">
        <v>5</v>
      </c>
      <c r="C20" s="2" t="s">
        <v>3715</v>
      </c>
      <c r="D20" s="19">
        <f>SUMIFS(union_gastos!$D:$D,union_gastos!$J:$J,"OPEX",union_gastos!$P:$P,Vista_RUBRO!C20)*-1</f>
        <v>6008871.5599999996</v>
      </c>
      <c r="E20" s="38">
        <f t="shared" si="0"/>
        <v>1.771967913415402E-2</v>
      </c>
    </row>
    <row r="21" spans="1:5" x14ac:dyDescent="0.3">
      <c r="B21" s="53">
        <v>11</v>
      </c>
      <c r="C21" s="2" t="s">
        <v>3723</v>
      </c>
      <c r="D21" s="19">
        <f>SUMIFS(union_gastos!$D:$D,union_gastos!$J:$J,"OPEX",union_gastos!$P:$P,Vista_RUBRO!C21)*-1</f>
        <v>2293173.54</v>
      </c>
      <c r="E21" s="38">
        <f>D21/$D$11</f>
        <v>6.762384404790326E-3</v>
      </c>
    </row>
    <row r="22" spans="1:5" x14ac:dyDescent="0.3">
      <c r="B22" s="3"/>
      <c r="C22" s="2" t="s">
        <v>3724</v>
      </c>
      <c r="D22" s="19">
        <f>SUMIFS(union_gastos!$D:$D,union_gastos!$J:$J,"OPEX",union_gastos!$P:$P,Vista_RUBRO!C22)*-1</f>
        <v>0</v>
      </c>
      <c r="E22" s="38">
        <f>D22/$D$11</f>
        <v>0</v>
      </c>
    </row>
    <row r="23" spans="1:5" x14ac:dyDescent="0.3">
      <c r="B23" s="3"/>
      <c r="C23" s="4"/>
      <c r="D23" s="19"/>
    </row>
    <row r="24" spans="1:5" x14ac:dyDescent="0.3">
      <c r="B24" s="3" t="s">
        <v>3726</v>
      </c>
      <c r="C24" s="4"/>
      <c r="D24" s="18">
        <f>C3</f>
        <v>384252317.96999997</v>
      </c>
    </row>
    <row r="25" spans="1:5" x14ac:dyDescent="0.3">
      <c r="B25" s="6"/>
      <c r="C25" s="7"/>
      <c r="D25" s="8"/>
    </row>
    <row r="26" spans="1:5" hidden="1" x14ac:dyDescent="0.3">
      <c r="B26" s="24" t="s">
        <v>124</v>
      </c>
      <c r="C26" s="25"/>
      <c r="D26" s="23">
        <f>D22-D11</f>
        <v>-339107244.24000001</v>
      </c>
    </row>
    <row r="27" spans="1:5" x14ac:dyDescent="0.3">
      <c r="B27" s="41" t="s">
        <v>3638</v>
      </c>
      <c r="C27" s="25"/>
      <c r="D27" s="26">
        <f>D29/D24</f>
        <v>0.11748809732235527</v>
      </c>
    </row>
    <row r="28" spans="1:5" x14ac:dyDescent="0.3">
      <c r="D28" s="42"/>
    </row>
    <row r="29" spans="1:5" x14ac:dyDescent="0.3">
      <c r="B29" s="41" t="s">
        <v>122</v>
      </c>
      <c r="C29" s="25"/>
      <c r="D29" s="23">
        <f>D24-D11</f>
        <v>45145073.729999959</v>
      </c>
    </row>
    <row r="30" spans="1:5" s="43" customFormat="1" x14ac:dyDescent="0.3">
      <c r="B30" s="44"/>
      <c r="D30" s="45"/>
    </row>
    <row r="31" spans="1:5" x14ac:dyDescent="0.3">
      <c r="B31" s="41" t="s">
        <v>113</v>
      </c>
      <c r="C31" s="25"/>
      <c r="D31" s="23">
        <f>SUMIFS('BD Gastos_DICIEMBRE'!$V:$V,'BD Gastos_DICIEMBRE'!$Z:$Z,1,'BD Gastos_DICIEMBRE'!A:A,1)</f>
        <v>0</v>
      </c>
    </row>
    <row r="32" spans="1:5" x14ac:dyDescent="0.3">
      <c r="A32" s="5"/>
      <c r="B32" s="41" t="s">
        <v>12</v>
      </c>
      <c r="C32" s="25"/>
      <c r="D32" s="23">
        <f>SUMIFS('BD Gastos_DICIEMBRE'!$V:$V,'BD Gastos_DICIEMBRE'!$AA:$AA,1,'BD Gastos_DICIEMBRE'!A:A,1)</f>
        <v>0</v>
      </c>
      <c r="E32" s="5"/>
    </row>
    <row r="34" spans="2:4" x14ac:dyDescent="0.3">
      <c r="B34" s="60" t="s">
        <v>3657</v>
      </c>
      <c r="C34" s="61"/>
      <c r="D34" s="62">
        <f>D29-D31-D32</f>
        <v>45145073.729999959</v>
      </c>
    </row>
  </sheetData>
  <mergeCells count="1">
    <mergeCell ref="B2:C2"/>
  </mergeCells>
  <conditionalFormatting sqref="C5">
    <cfRule type="cellIs" dxfId="23" priority="7" operator="lessThan">
      <formula>0</formula>
    </cfRule>
    <cfRule type="cellIs" dxfId="22" priority="8" operator="greaterThan">
      <formula>0</formula>
    </cfRule>
  </conditionalFormatting>
  <conditionalFormatting sqref="C8">
    <cfRule type="cellIs" dxfId="21" priority="51" operator="lessThan">
      <formula>0</formula>
    </cfRule>
    <cfRule type="cellIs" dxfId="20" priority="52" operator="greaterThan">
      <formula>0</formula>
    </cfRule>
  </conditionalFormatting>
  <conditionalFormatting sqref="D26:D30">
    <cfRule type="cellIs" dxfId="19" priority="9" operator="lessThan">
      <formula>0</formula>
    </cfRule>
    <cfRule type="cellIs" dxfId="18" priority="10" operator="greaterThan">
      <formula>0</formula>
    </cfRule>
  </conditionalFormatting>
  <conditionalFormatting sqref="D34">
    <cfRule type="cellIs" dxfId="17" priority="53" operator="lessThan">
      <formula>0</formula>
    </cfRule>
    <cfRule type="cellIs" dxfId="16" priority="54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11E-DC0E-4123-8992-79A7F130F258}">
  <dimension ref="A1:J157"/>
  <sheetViews>
    <sheetView workbookViewId="0">
      <selection activeCell="A20" sqref="A20"/>
    </sheetView>
  </sheetViews>
  <sheetFormatPr defaultColWidth="8.88671875" defaultRowHeight="14.4" x14ac:dyDescent="0.3"/>
  <cols>
    <col min="1" max="1" width="53.109375" bestFit="1" customWidth="1"/>
    <col min="2" max="2" width="70.6640625" bestFit="1" customWidth="1"/>
    <col min="3" max="3" width="36.33203125" bestFit="1" customWidth="1"/>
    <col min="4" max="4" width="18.109375" bestFit="1" customWidth="1"/>
    <col min="5" max="5" width="31.88671875" bestFit="1" customWidth="1"/>
    <col min="6" max="6" width="20.33203125" bestFit="1" customWidth="1"/>
    <col min="7" max="7" width="16.5546875" bestFit="1" customWidth="1"/>
    <col min="8" max="8" width="25.44140625" bestFit="1" customWidth="1"/>
    <col min="9" max="9" width="12.6640625" bestFit="1" customWidth="1"/>
    <col min="10" max="10" width="19" bestFit="1" customWidth="1"/>
  </cols>
  <sheetData>
    <row r="1" spans="1:10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131</v>
      </c>
      <c r="G1" t="s">
        <v>132</v>
      </c>
      <c r="H1" t="s">
        <v>133</v>
      </c>
      <c r="I1" t="s">
        <v>134</v>
      </c>
      <c r="J1" t="s">
        <v>173</v>
      </c>
    </row>
    <row r="2" spans="1:10" x14ac:dyDescent="0.3">
      <c r="A2" t="s">
        <v>174</v>
      </c>
      <c r="B2" t="s">
        <v>175</v>
      </c>
      <c r="C2" t="s">
        <v>137</v>
      </c>
      <c r="D2" s="46">
        <v>45900</v>
      </c>
      <c r="E2" t="s">
        <v>51</v>
      </c>
      <c r="F2">
        <v>-33</v>
      </c>
      <c r="G2">
        <v>3600</v>
      </c>
      <c r="H2">
        <v>-118800</v>
      </c>
      <c r="I2">
        <v>-118800</v>
      </c>
      <c r="J2" t="s">
        <v>176</v>
      </c>
    </row>
    <row r="3" spans="1:10" x14ac:dyDescent="0.3">
      <c r="A3" t="s">
        <v>177</v>
      </c>
      <c r="B3" t="s">
        <v>49</v>
      </c>
      <c r="C3" t="s">
        <v>178</v>
      </c>
      <c r="D3" s="46">
        <v>45900</v>
      </c>
      <c r="E3" t="s">
        <v>50</v>
      </c>
      <c r="F3">
        <v>-15</v>
      </c>
      <c r="G3">
        <v>9389.5300000000007</v>
      </c>
      <c r="H3">
        <v>-140842.95000000001</v>
      </c>
      <c r="I3">
        <v>-170419.97</v>
      </c>
      <c r="J3" t="s">
        <v>176</v>
      </c>
    </row>
    <row r="4" spans="1:10" x14ac:dyDescent="0.3">
      <c r="A4" t="s">
        <v>179</v>
      </c>
      <c r="B4" t="s">
        <v>90</v>
      </c>
      <c r="D4" s="46">
        <v>45898</v>
      </c>
      <c r="F4">
        <v>-1</v>
      </c>
      <c r="G4">
        <v>1459831.4</v>
      </c>
      <c r="H4">
        <v>-1459831.4</v>
      </c>
      <c r="I4">
        <v>-1459831.4</v>
      </c>
      <c r="J4" t="s">
        <v>176</v>
      </c>
    </row>
    <row r="5" spans="1:10" x14ac:dyDescent="0.3">
      <c r="A5" t="s">
        <v>180</v>
      </c>
      <c r="B5" t="s">
        <v>90</v>
      </c>
      <c r="D5" s="46">
        <v>45898</v>
      </c>
      <c r="F5">
        <v>-1</v>
      </c>
      <c r="G5">
        <v>2137500</v>
      </c>
      <c r="H5">
        <v>-2137500</v>
      </c>
      <c r="I5">
        <v>-2137500</v>
      </c>
      <c r="J5" t="s">
        <v>176</v>
      </c>
    </row>
    <row r="6" spans="1:10" x14ac:dyDescent="0.3">
      <c r="A6" t="s">
        <v>181</v>
      </c>
      <c r="B6" t="s">
        <v>90</v>
      </c>
      <c r="D6" s="46">
        <v>45898</v>
      </c>
      <c r="F6">
        <v>-1</v>
      </c>
      <c r="G6">
        <v>1754639</v>
      </c>
      <c r="H6">
        <v>-1754639</v>
      </c>
      <c r="I6">
        <v>-1754639</v>
      </c>
      <c r="J6" t="s">
        <v>176</v>
      </c>
    </row>
    <row r="7" spans="1:10" x14ac:dyDescent="0.3">
      <c r="A7" t="s">
        <v>182</v>
      </c>
      <c r="B7" t="s">
        <v>90</v>
      </c>
      <c r="D7" s="46">
        <v>45898</v>
      </c>
      <c r="F7">
        <v>-1</v>
      </c>
      <c r="G7">
        <v>200000</v>
      </c>
      <c r="H7">
        <v>-200000</v>
      </c>
      <c r="I7">
        <v>-200000</v>
      </c>
      <c r="J7" t="s">
        <v>176</v>
      </c>
    </row>
    <row r="8" spans="1:10" x14ac:dyDescent="0.3">
      <c r="A8" t="s">
        <v>183</v>
      </c>
      <c r="B8" t="s">
        <v>52</v>
      </c>
      <c r="C8" t="s">
        <v>137</v>
      </c>
      <c r="D8" s="46">
        <v>45898</v>
      </c>
      <c r="E8" t="s">
        <v>53</v>
      </c>
      <c r="F8">
        <v>-1</v>
      </c>
      <c r="G8">
        <v>33265.9</v>
      </c>
      <c r="H8">
        <v>-33265.9</v>
      </c>
      <c r="I8">
        <v>-40251.74</v>
      </c>
      <c r="J8" t="s">
        <v>176</v>
      </c>
    </row>
    <row r="9" spans="1:10" x14ac:dyDescent="0.3">
      <c r="A9" t="s">
        <v>183</v>
      </c>
      <c r="B9" t="s">
        <v>52</v>
      </c>
      <c r="C9" t="s">
        <v>137</v>
      </c>
      <c r="D9" s="46">
        <v>45898</v>
      </c>
      <c r="E9" t="s">
        <v>53</v>
      </c>
      <c r="F9">
        <v>-1</v>
      </c>
      <c r="G9">
        <v>33265.9</v>
      </c>
      <c r="H9">
        <v>-33265.9</v>
      </c>
      <c r="I9">
        <v>-40251.74</v>
      </c>
      <c r="J9" t="s">
        <v>176</v>
      </c>
    </row>
    <row r="10" spans="1:10" x14ac:dyDescent="0.3">
      <c r="A10" t="s">
        <v>184</v>
      </c>
      <c r="B10" t="s">
        <v>52</v>
      </c>
      <c r="C10" t="s">
        <v>137</v>
      </c>
      <c r="D10" s="46">
        <v>45898</v>
      </c>
      <c r="E10" t="s">
        <v>53</v>
      </c>
      <c r="F10">
        <v>-1</v>
      </c>
      <c r="G10">
        <v>15580.8</v>
      </c>
      <c r="H10">
        <v>-15580.8</v>
      </c>
      <c r="I10">
        <v>-18852.77</v>
      </c>
      <c r="J10" t="s">
        <v>176</v>
      </c>
    </row>
    <row r="11" spans="1:10" x14ac:dyDescent="0.3">
      <c r="A11" t="s">
        <v>184</v>
      </c>
      <c r="B11" t="s">
        <v>52</v>
      </c>
      <c r="C11" t="s">
        <v>137</v>
      </c>
      <c r="D11" s="46">
        <v>45898</v>
      </c>
      <c r="E11" t="s">
        <v>53</v>
      </c>
      <c r="F11">
        <v>-1</v>
      </c>
      <c r="G11">
        <v>5193.6000000000004</v>
      </c>
      <c r="H11">
        <v>-5193.6000000000004</v>
      </c>
      <c r="I11">
        <v>-6284.26</v>
      </c>
      <c r="J11" t="s">
        <v>176</v>
      </c>
    </row>
    <row r="12" spans="1:10" x14ac:dyDescent="0.3">
      <c r="A12" t="s">
        <v>185</v>
      </c>
      <c r="B12" t="s">
        <v>90</v>
      </c>
      <c r="D12" s="46">
        <v>45898</v>
      </c>
      <c r="F12">
        <v>-1</v>
      </c>
      <c r="G12">
        <v>1302502</v>
      </c>
      <c r="H12">
        <v>-1302502</v>
      </c>
      <c r="I12">
        <v>-1302502</v>
      </c>
      <c r="J12" t="s">
        <v>176</v>
      </c>
    </row>
    <row r="13" spans="1:10" x14ac:dyDescent="0.3">
      <c r="A13" t="s">
        <v>186</v>
      </c>
      <c r="B13" t="s">
        <v>46</v>
      </c>
      <c r="C13" t="s">
        <v>137</v>
      </c>
      <c r="D13" s="46">
        <v>45898</v>
      </c>
      <c r="E13" t="s">
        <v>57</v>
      </c>
      <c r="F13">
        <v>-1</v>
      </c>
      <c r="G13">
        <v>1240</v>
      </c>
      <c r="H13">
        <v>-1240</v>
      </c>
      <c r="I13">
        <v>-1500.4</v>
      </c>
      <c r="J13" t="s">
        <v>176</v>
      </c>
    </row>
    <row r="14" spans="1:10" x14ac:dyDescent="0.3">
      <c r="A14" t="s">
        <v>186</v>
      </c>
      <c r="B14" t="s">
        <v>46</v>
      </c>
      <c r="C14" t="s">
        <v>137</v>
      </c>
      <c r="D14" s="46">
        <v>45898</v>
      </c>
      <c r="E14" t="s">
        <v>57</v>
      </c>
      <c r="F14">
        <v>-8</v>
      </c>
      <c r="G14">
        <v>4463.04</v>
      </c>
      <c r="H14">
        <v>-35704.32</v>
      </c>
      <c r="I14">
        <v>-43202.23</v>
      </c>
      <c r="J14" t="s">
        <v>176</v>
      </c>
    </row>
    <row r="15" spans="1:10" x14ac:dyDescent="0.3">
      <c r="A15" t="s">
        <v>185</v>
      </c>
      <c r="B15" t="s">
        <v>90</v>
      </c>
      <c r="D15" s="46">
        <v>45898</v>
      </c>
      <c r="F15">
        <v>-1</v>
      </c>
      <c r="J15" t="s">
        <v>176</v>
      </c>
    </row>
    <row r="16" spans="1:10" x14ac:dyDescent="0.3">
      <c r="A16" t="s">
        <v>186</v>
      </c>
      <c r="B16" t="s">
        <v>46</v>
      </c>
      <c r="C16" t="s">
        <v>137</v>
      </c>
      <c r="D16" s="46">
        <v>45898</v>
      </c>
      <c r="E16" t="s">
        <v>57</v>
      </c>
      <c r="F16">
        <v>-12</v>
      </c>
      <c r="G16">
        <v>4463.04</v>
      </c>
      <c r="H16">
        <v>-53556.480000000003</v>
      </c>
      <c r="I16">
        <v>-64803.34</v>
      </c>
      <c r="J16" t="s">
        <v>176</v>
      </c>
    </row>
    <row r="17" spans="1:10" x14ac:dyDescent="0.3">
      <c r="A17" t="s">
        <v>187</v>
      </c>
      <c r="B17" t="s">
        <v>90</v>
      </c>
      <c r="D17" s="46">
        <v>45898</v>
      </c>
      <c r="F17">
        <v>-1</v>
      </c>
      <c r="G17">
        <v>2479500</v>
      </c>
      <c r="H17">
        <v>-2479500</v>
      </c>
      <c r="I17">
        <v>-2479500</v>
      </c>
      <c r="J17" t="s">
        <v>176</v>
      </c>
    </row>
    <row r="18" spans="1:10" x14ac:dyDescent="0.3">
      <c r="A18" t="s">
        <v>188</v>
      </c>
      <c r="B18" t="s">
        <v>75</v>
      </c>
      <c r="C18" t="s">
        <v>178</v>
      </c>
      <c r="D18" s="46">
        <v>45897</v>
      </c>
      <c r="E18" t="s">
        <v>50</v>
      </c>
      <c r="F18">
        <v>-1</v>
      </c>
      <c r="G18">
        <v>11172374.5</v>
      </c>
      <c r="H18">
        <v>-11172374.5</v>
      </c>
      <c r="I18">
        <v>-12345473.82</v>
      </c>
      <c r="J18" t="s">
        <v>176</v>
      </c>
    </row>
    <row r="19" spans="1:10" x14ac:dyDescent="0.3">
      <c r="A19" t="s">
        <v>189</v>
      </c>
      <c r="B19" t="s">
        <v>47</v>
      </c>
      <c r="C19" t="s">
        <v>137</v>
      </c>
      <c r="D19" s="46">
        <v>45897</v>
      </c>
      <c r="E19" t="s">
        <v>56</v>
      </c>
      <c r="F19">
        <v>-1</v>
      </c>
      <c r="G19">
        <v>4500</v>
      </c>
      <c r="H19">
        <v>-4500</v>
      </c>
      <c r="I19">
        <v>-4500</v>
      </c>
      <c r="J19" t="s">
        <v>176</v>
      </c>
    </row>
    <row r="20" spans="1:10" x14ac:dyDescent="0.3">
      <c r="A20" t="s">
        <v>190</v>
      </c>
      <c r="B20" t="s">
        <v>47</v>
      </c>
      <c r="C20" t="s">
        <v>137</v>
      </c>
      <c r="D20" s="46">
        <v>45897</v>
      </c>
      <c r="E20" t="s">
        <v>56</v>
      </c>
      <c r="F20">
        <v>-1</v>
      </c>
      <c r="G20">
        <v>57999</v>
      </c>
      <c r="H20">
        <v>-57999</v>
      </c>
      <c r="I20">
        <v>-57999</v>
      </c>
      <c r="J20" t="s">
        <v>176</v>
      </c>
    </row>
    <row r="21" spans="1:10" x14ac:dyDescent="0.3">
      <c r="A21" t="s">
        <v>191</v>
      </c>
      <c r="B21" t="s">
        <v>48</v>
      </c>
      <c r="D21" s="46">
        <v>45897</v>
      </c>
      <c r="F21">
        <v>-1</v>
      </c>
      <c r="G21">
        <v>190449.86</v>
      </c>
      <c r="H21">
        <v>-190449.86</v>
      </c>
      <c r="I21">
        <v>-190449.86</v>
      </c>
      <c r="J21" t="s">
        <v>176</v>
      </c>
    </row>
    <row r="22" spans="1:10" x14ac:dyDescent="0.3">
      <c r="A22" t="s">
        <v>192</v>
      </c>
      <c r="B22" t="s">
        <v>76</v>
      </c>
      <c r="C22" t="s">
        <v>178</v>
      </c>
      <c r="D22" s="46">
        <v>45896</v>
      </c>
      <c r="E22" t="s">
        <v>51</v>
      </c>
      <c r="F22">
        <v>-1</v>
      </c>
      <c r="G22">
        <v>10539.86</v>
      </c>
      <c r="H22">
        <v>-10539.86</v>
      </c>
      <c r="I22">
        <v>-10539.86</v>
      </c>
      <c r="J22" t="s">
        <v>176</v>
      </c>
    </row>
    <row r="23" spans="1:10" x14ac:dyDescent="0.3">
      <c r="A23" t="s">
        <v>193</v>
      </c>
      <c r="B23" t="s">
        <v>60</v>
      </c>
      <c r="C23" t="s">
        <v>137</v>
      </c>
      <c r="D23" s="46">
        <v>45896</v>
      </c>
      <c r="E23" t="s">
        <v>61</v>
      </c>
      <c r="F23">
        <v>-1</v>
      </c>
      <c r="G23">
        <v>495000</v>
      </c>
      <c r="H23">
        <v>-495000</v>
      </c>
      <c r="I23">
        <v>-598950</v>
      </c>
      <c r="J23" t="s">
        <v>176</v>
      </c>
    </row>
    <row r="24" spans="1:10" x14ac:dyDescent="0.3">
      <c r="A24" t="s">
        <v>193</v>
      </c>
      <c r="B24" t="s">
        <v>60</v>
      </c>
      <c r="C24" t="s">
        <v>137</v>
      </c>
      <c r="D24" s="46">
        <v>45896</v>
      </c>
      <c r="E24" t="s">
        <v>61</v>
      </c>
      <c r="F24">
        <v>-1</v>
      </c>
      <c r="G24">
        <v>415000</v>
      </c>
      <c r="H24">
        <v>-415000</v>
      </c>
      <c r="I24">
        <v>-502150</v>
      </c>
      <c r="J24" t="s">
        <v>176</v>
      </c>
    </row>
    <row r="25" spans="1:10" x14ac:dyDescent="0.3">
      <c r="A25" t="s">
        <v>193</v>
      </c>
      <c r="B25" t="s">
        <v>60</v>
      </c>
      <c r="C25" t="s">
        <v>137</v>
      </c>
      <c r="D25" s="46">
        <v>45896</v>
      </c>
      <c r="E25" t="s">
        <v>61</v>
      </c>
      <c r="F25">
        <v>-1</v>
      </c>
      <c r="G25">
        <v>415000</v>
      </c>
      <c r="H25">
        <v>-415000</v>
      </c>
      <c r="I25">
        <v>-502150</v>
      </c>
      <c r="J25" t="s">
        <v>176</v>
      </c>
    </row>
    <row r="26" spans="1:10" x14ac:dyDescent="0.3">
      <c r="A26" t="s">
        <v>193</v>
      </c>
      <c r="B26" t="s">
        <v>60</v>
      </c>
      <c r="C26" t="s">
        <v>137</v>
      </c>
      <c r="D26" s="46">
        <v>45896</v>
      </c>
      <c r="E26" t="s">
        <v>61</v>
      </c>
      <c r="F26">
        <v>-1</v>
      </c>
      <c r="G26">
        <v>495000</v>
      </c>
      <c r="H26">
        <v>-495000</v>
      </c>
      <c r="I26">
        <v>-598950</v>
      </c>
      <c r="J26" t="s">
        <v>176</v>
      </c>
    </row>
    <row r="27" spans="1:10" x14ac:dyDescent="0.3">
      <c r="A27" t="s">
        <v>193</v>
      </c>
      <c r="B27" t="s">
        <v>60</v>
      </c>
      <c r="C27" t="s">
        <v>137</v>
      </c>
      <c r="D27" s="46">
        <v>45896</v>
      </c>
      <c r="E27" t="s">
        <v>61</v>
      </c>
      <c r="F27">
        <v>-1</v>
      </c>
      <c r="G27">
        <v>415000</v>
      </c>
      <c r="H27">
        <v>-415000</v>
      </c>
      <c r="I27">
        <v>-502150</v>
      </c>
      <c r="J27" t="s">
        <v>176</v>
      </c>
    </row>
    <row r="28" spans="1:10" x14ac:dyDescent="0.3">
      <c r="A28" t="s">
        <v>193</v>
      </c>
      <c r="B28" t="s">
        <v>60</v>
      </c>
      <c r="C28" t="s">
        <v>137</v>
      </c>
      <c r="D28" s="46">
        <v>45896</v>
      </c>
      <c r="E28" t="s">
        <v>61</v>
      </c>
      <c r="F28">
        <v>-1</v>
      </c>
      <c r="G28">
        <v>415000</v>
      </c>
      <c r="H28">
        <v>-415000</v>
      </c>
      <c r="I28">
        <v>-502150</v>
      </c>
      <c r="J28" t="s">
        <v>176</v>
      </c>
    </row>
    <row r="29" spans="1:10" x14ac:dyDescent="0.3">
      <c r="A29" t="s">
        <v>194</v>
      </c>
      <c r="B29" t="s">
        <v>90</v>
      </c>
      <c r="D29" s="46">
        <v>45896</v>
      </c>
      <c r="F29">
        <v>-1</v>
      </c>
      <c r="G29">
        <v>1500000</v>
      </c>
      <c r="H29">
        <v>-1500000</v>
      </c>
      <c r="I29">
        <v>-1500000</v>
      </c>
      <c r="J29" t="s">
        <v>176</v>
      </c>
    </row>
    <row r="30" spans="1:10" x14ac:dyDescent="0.3">
      <c r="A30" t="s">
        <v>195</v>
      </c>
      <c r="B30" t="s">
        <v>196</v>
      </c>
      <c r="C30" t="s">
        <v>137</v>
      </c>
      <c r="D30" s="46">
        <v>45896</v>
      </c>
      <c r="E30" t="s">
        <v>57</v>
      </c>
      <c r="F30">
        <v>1</v>
      </c>
      <c r="G30">
        <v>72865</v>
      </c>
      <c r="H30">
        <v>72865</v>
      </c>
      <c r="I30">
        <v>88166.65</v>
      </c>
      <c r="J30" t="s">
        <v>176</v>
      </c>
    </row>
    <row r="31" spans="1:10" x14ac:dyDescent="0.3">
      <c r="A31" t="s">
        <v>197</v>
      </c>
      <c r="B31" t="s">
        <v>46</v>
      </c>
      <c r="C31" t="s">
        <v>137</v>
      </c>
      <c r="D31" s="46">
        <v>45896</v>
      </c>
      <c r="E31" t="s">
        <v>57</v>
      </c>
      <c r="F31">
        <v>-1</v>
      </c>
      <c r="G31">
        <v>36323.980000000003</v>
      </c>
      <c r="H31">
        <v>-36323.980000000003</v>
      </c>
      <c r="I31">
        <v>-43952.02</v>
      </c>
      <c r="J31" t="s">
        <v>176</v>
      </c>
    </row>
    <row r="32" spans="1:10" x14ac:dyDescent="0.3">
      <c r="A32" t="s">
        <v>198</v>
      </c>
      <c r="B32" t="s">
        <v>52</v>
      </c>
      <c r="C32" t="s">
        <v>137</v>
      </c>
      <c r="D32" s="46">
        <v>45896</v>
      </c>
      <c r="E32" t="s">
        <v>53</v>
      </c>
      <c r="F32">
        <v>-1</v>
      </c>
      <c r="G32">
        <v>21409.9</v>
      </c>
      <c r="H32">
        <v>-21409.9</v>
      </c>
      <c r="I32">
        <v>-25905.98</v>
      </c>
      <c r="J32" t="s">
        <v>176</v>
      </c>
    </row>
    <row r="33" spans="1:10" x14ac:dyDescent="0.3">
      <c r="A33" t="s">
        <v>199</v>
      </c>
      <c r="B33" t="s">
        <v>52</v>
      </c>
      <c r="C33" t="s">
        <v>137</v>
      </c>
      <c r="D33" s="46">
        <v>45896</v>
      </c>
      <c r="E33" t="s">
        <v>53</v>
      </c>
      <c r="F33">
        <v>-1</v>
      </c>
      <c r="G33">
        <v>14355.27</v>
      </c>
      <c r="H33">
        <v>-14355.27</v>
      </c>
      <c r="I33">
        <v>-17369.88</v>
      </c>
      <c r="J33" t="s">
        <v>176</v>
      </c>
    </row>
    <row r="34" spans="1:10" x14ac:dyDescent="0.3">
      <c r="A34" t="s">
        <v>200</v>
      </c>
      <c r="B34" t="s">
        <v>59</v>
      </c>
      <c r="C34" t="s">
        <v>137</v>
      </c>
      <c r="D34" s="46">
        <v>45896</v>
      </c>
      <c r="E34" t="s">
        <v>55</v>
      </c>
      <c r="F34">
        <v>-1</v>
      </c>
      <c r="G34">
        <v>1200</v>
      </c>
      <c r="H34">
        <v>-1200</v>
      </c>
      <c r="I34">
        <v>-1452</v>
      </c>
      <c r="J34" t="s">
        <v>176</v>
      </c>
    </row>
    <row r="35" spans="1:10" x14ac:dyDescent="0.3">
      <c r="A35" t="s">
        <v>193</v>
      </c>
      <c r="B35" t="s">
        <v>60</v>
      </c>
      <c r="C35" t="s">
        <v>137</v>
      </c>
      <c r="D35" s="46">
        <v>45896</v>
      </c>
      <c r="E35" t="s">
        <v>61</v>
      </c>
      <c r="F35">
        <v>-1</v>
      </c>
      <c r="G35">
        <v>287500</v>
      </c>
      <c r="H35">
        <v>-287500</v>
      </c>
      <c r="I35">
        <v>-347875</v>
      </c>
      <c r="J35" t="s">
        <v>176</v>
      </c>
    </row>
    <row r="36" spans="1:10" x14ac:dyDescent="0.3">
      <c r="A36" t="s">
        <v>193</v>
      </c>
      <c r="B36" t="s">
        <v>60</v>
      </c>
      <c r="C36" t="s">
        <v>137</v>
      </c>
      <c r="D36" s="46">
        <v>45896</v>
      </c>
      <c r="E36" t="s">
        <v>61</v>
      </c>
      <c r="F36">
        <v>-1</v>
      </c>
      <c r="G36">
        <v>415000</v>
      </c>
      <c r="H36">
        <v>-415000</v>
      </c>
      <c r="I36">
        <v>-502150</v>
      </c>
      <c r="J36" t="s">
        <v>176</v>
      </c>
    </row>
    <row r="37" spans="1:10" x14ac:dyDescent="0.3">
      <c r="A37" t="s">
        <v>108</v>
      </c>
      <c r="B37" t="s">
        <v>46</v>
      </c>
      <c r="C37" t="s">
        <v>137</v>
      </c>
      <c r="D37" s="46">
        <v>45895</v>
      </c>
      <c r="E37" t="s">
        <v>57</v>
      </c>
      <c r="F37">
        <v>-1</v>
      </c>
      <c r="G37">
        <v>266479.34000000003</v>
      </c>
      <c r="H37">
        <v>-266479.34000000003</v>
      </c>
      <c r="I37">
        <v>-322440</v>
      </c>
      <c r="J37" t="s">
        <v>176</v>
      </c>
    </row>
    <row r="38" spans="1:10" x14ac:dyDescent="0.3">
      <c r="A38" t="s">
        <v>201</v>
      </c>
      <c r="B38" t="s">
        <v>76</v>
      </c>
      <c r="C38" t="s">
        <v>178</v>
      </c>
      <c r="D38" s="46">
        <v>45895</v>
      </c>
      <c r="E38" t="s">
        <v>51</v>
      </c>
      <c r="F38">
        <v>-1</v>
      </c>
      <c r="G38">
        <v>15711.62</v>
      </c>
      <c r="H38">
        <v>-15711.62</v>
      </c>
      <c r="I38">
        <v>-15711.62</v>
      </c>
      <c r="J38" t="s">
        <v>176</v>
      </c>
    </row>
    <row r="39" spans="1:10" x14ac:dyDescent="0.3">
      <c r="A39" t="s">
        <v>202</v>
      </c>
      <c r="B39" t="s">
        <v>52</v>
      </c>
      <c r="C39" t="s">
        <v>137</v>
      </c>
      <c r="D39" s="46">
        <v>45894</v>
      </c>
      <c r="E39" t="s">
        <v>53</v>
      </c>
      <c r="F39">
        <v>-1</v>
      </c>
      <c r="G39">
        <v>37110.11</v>
      </c>
      <c r="H39">
        <v>-37110.11</v>
      </c>
      <c r="I39">
        <v>-44903.23</v>
      </c>
      <c r="J39" t="s">
        <v>176</v>
      </c>
    </row>
    <row r="40" spans="1:10" x14ac:dyDescent="0.3">
      <c r="A40" t="s">
        <v>203</v>
      </c>
      <c r="B40" t="s">
        <v>46</v>
      </c>
      <c r="C40" t="s">
        <v>137</v>
      </c>
      <c r="D40" s="46">
        <v>45894</v>
      </c>
      <c r="E40" t="s">
        <v>57</v>
      </c>
      <c r="F40">
        <v>-1</v>
      </c>
      <c r="G40">
        <v>176269.65</v>
      </c>
      <c r="H40">
        <v>-176269.65</v>
      </c>
      <c r="I40">
        <v>-213286.28</v>
      </c>
      <c r="J40" t="s">
        <v>176</v>
      </c>
    </row>
    <row r="41" spans="1:10" x14ac:dyDescent="0.3">
      <c r="A41" t="s">
        <v>204</v>
      </c>
      <c r="B41" t="s">
        <v>27</v>
      </c>
      <c r="C41" t="s">
        <v>137</v>
      </c>
      <c r="D41" s="46">
        <v>45894</v>
      </c>
      <c r="E41" t="s">
        <v>51</v>
      </c>
      <c r="F41">
        <v>-1</v>
      </c>
      <c r="G41">
        <v>114000</v>
      </c>
      <c r="H41">
        <v>-114000</v>
      </c>
      <c r="I41">
        <v>-137940</v>
      </c>
      <c r="J41" t="s">
        <v>176</v>
      </c>
    </row>
    <row r="42" spans="1:10" x14ac:dyDescent="0.3">
      <c r="A42" t="s">
        <v>205</v>
      </c>
      <c r="B42" t="s">
        <v>49</v>
      </c>
      <c r="C42" t="s">
        <v>178</v>
      </c>
      <c r="D42" s="46">
        <v>45894</v>
      </c>
      <c r="E42" t="s">
        <v>50</v>
      </c>
      <c r="F42">
        <v>-27</v>
      </c>
      <c r="G42">
        <v>8450.57</v>
      </c>
      <c r="H42">
        <v>-228165.39</v>
      </c>
      <c r="I42">
        <v>-276080.12</v>
      </c>
      <c r="J42" t="s">
        <v>176</v>
      </c>
    </row>
    <row r="43" spans="1:10" x14ac:dyDescent="0.3">
      <c r="A43" t="s">
        <v>205</v>
      </c>
      <c r="B43" t="s">
        <v>49</v>
      </c>
      <c r="C43" t="s">
        <v>178</v>
      </c>
      <c r="D43" s="46">
        <v>45894</v>
      </c>
      <c r="E43" t="s">
        <v>50</v>
      </c>
      <c r="F43">
        <v>-38</v>
      </c>
      <c r="G43">
        <v>9389.5300000000007</v>
      </c>
      <c r="H43">
        <v>-356802.14</v>
      </c>
      <c r="I43">
        <v>-431730.59</v>
      </c>
      <c r="J43" t="s">
        <v>176</v>
      </c>
    </row>
    <row r="44" spans="1:10" x14ac:dyDescent="0.3">
      <c r="A44" t="s">
        <v>206</v>
      </c>
      <c r="B44" t="s">
        <v>49</v>
      </c>
      <c r="C44" t="s">
        <v>178</v>
      </c>
      <c r="D44" s="46">
        <v>45894</v>
      </c>
      <c r="E44" t="s">
        <v>50</v>
      </c>
      <c r="F44">
        <v>-6</v>
      </c>
      <c r="G44">
        <v>63645.59</v>
      </c>
      <c r="H44">
        <v>-381873.54</v>
      </c>
      <c r="I44">
        <v>-462066.98</v>
      </c>
      <c r="J44" t="s">
        <v>176</v>
      </c>
    </row>
    <row r="45" spans="1:10" x14ac:dyDescent="0.3">
      <c r="A45" t="s">
        <v>207</v>
      </c>
      <c r="B45" t="s">
        <v>208</v>
      </c>
      <c r="C45" t="s">
        <v>137</v>
      </c>
      <c r="D45" s="46">
        <v>45894</v>
      </c>
      <c r="E45" t="s">
        <v>56</v>
      </c>
      <c r="F45">
        <v>-1</v>
      </c>
      <c r="G45">
        <v>4500000</v>
      </c>
      <c r="H45">
        <v>-4500000</v>
      </c>
      <c r="I45">
        <v>-4500000</v>
      </c>
      <c r="J45" t="s">
        <v>176</v>
      </c>
    </row>
    <row r="46" spans="1:10" x14ac:dyDescent="0.3">
      <c r="A46" t="s">
        <v>209</v>
      </c>
      <c r="B46" t="s">
        <v>89</v>
      </c>
      <c r="C46" t="s">
        <v>137</v>
      </c>
      <c r="D46" s="46">
        <v>45894</v>
      </c>
      <c r="E46" t="s">
        <v>95</v>
      </c>
      <c r="F46">
        <v>-2426</v>
      </c>
      <c r="G46">
        <v>350</v>
      </c>
      <c r="H46">
        <v>-849100</v>
      </c>
      <c r="I46">
        <v>-1027411</v>
      </c>
      <c r="J46" t="s">
        <v>176</v>
      </c>
    </row>
    <row r="47" spans="1:10" x14ac:dyDescent="0.3">
      <c r="A47" t="s">
        <v>209</v>
      </c>
      <c r="B47" t="s">
        <v>89</v>
      </c>
      <c r="C47" t="s">
        <v>137</v>
      </c>
      <c r="D47" s="46">
        <v>45894</v>
      </c>
      <c r="E47" t="s">
        <v>95</v>
      </c>
      <c r="F47">
        <v>-1586</v>
      </c>
      <c r="G47">
        <v>350</v>
      </c>
      <c r="H47">
        <v>-555100</v>
      </c>
      <c r="I47">
        <v>-671671</v>
      </c>
      <c r="J47" t="s">
        <v>176</v>
      </c>
    </row>
    <row r="48" spans="1:10" x14ac:dyDescent="0.3">
      <c r="A48" t="s">
        <v>209</v>
      </c>
      <c r="B48" t="s">
        <v>89</v>
      </c>
      <c r="C48" t="s">
        <v>137</v>
      </c>
      <c r="D48" s="46">
        <v>45894</v>
      </c>
      <c r="E48" t="s">
        <v>95</v>
      </c>
      <c r="F48">
        <v>-1024</v>
      </c>
      <c r="G48">
        <v>350</v>
      </c>
      <c r="H48">
        <v>-358400</v>
      </c>
      <c r="I48">
        <v>-433664</v>
      </c>
      <c r="J48" t="s">
        <v>176</v>
      </c>
    </row>
    <row r="49" spans="1:10" x14ac:dyDescent="0.3">
      <c r="A49" t="s">
        <v>209</v>
      </c>
      <c r="B49" t="s">
        <v>89</v>
      </c>
      <c r="C49" t="s">
        <v>137</v>
      </c>
      <c r="D49" s="46">
        <v>45894</v>
      </c>
      <c r="E49" t="s">
        <v>95</v>
      </c>
      <c r="F49">
        <v>-1101</v>
      </c>
      <c r="G49">
        <v>350</v>
      </c>
      <c r="H49">
        <v>-385350</v>
      </c>
      <c r="I49">
        <v>-466273.5</v>
      </c>
      <c r="J49" t="s">
        <v>176</v>
      </c>
    </row>
    <row r="50" spans="1:10" x14ac:dyDescent="0.3">
      <c r="A50" t="s">
        <v>209</v>
      </c>
      <c r="B50" t="s">
        <v>89</v>
      </c>
      <c r="C50" t="s">
        <v>137</v>
      </c>
      <c r="D50" s="46">
        <v>45894</v>
      </c>
      <c r="E50" t="s">
        <v>95</v>
      </c>
      <c r="F50">
        <v>-1235</v>
      </c>
      <c r="G50">
        <v>350</v>
      </c>
      <c r="H50">
        <v>-432250</v>
      </c>
      <c r="I50">
        <v>-523022.5</v>
      </c>
      <c r="J50" t="s">
        <v>176</v>
      </c>
    </row>
    <row r="51" spans="1:10" x14ac:dyDescent="0.3">
      <c r="A51" t="s">
        <v>209</v>
      </c>
      <c r="B51" t="s">
        <v>89</v>
      </c>
      <c r="C51" t="s">
        <v>137</v>
      </c>
      <c r="D51" s="46">
        <v>45894</v>
      </c>
      <c r="E51" t="s">
        <v>95</v>
      </c>
      <c r="F51">
        <v>-2976</v>
      </c>
      <c r="G51">
        <v>350</v>
      </c>
      <c r="H51">
        <v>-1041600</v>
      </c>
      <c r="I51">
        <v>-1260336</v>
      </c>
      <c r="J51" t="s">
        <v>176</v>
      </c>
    </row>
    <row r="52" spans="1:10" x14ac:dyDescent="0.3">
      <c r="A52" t="s">
        <v>210</v>
      </c>
      <c r="B52" t="s">
        <v>211</v>
      </c>
      <c r="C52" t="s">
        <v>137</v>
      </c>
      <c r="D52" s="46">
        <v>45894</v>
      </c>
      <c r="E52" t="s">
        <v>212</v>
      </c>
      <c r="F52">
        <v>-1</v>
      </c>
      <c r="G52">
        <v>332727.7</v>
      </c>
      <c r="H52">
        <v>-332727.7</v>
      </c>
      <c r="I52">
        <v>-332727.7</v>
      </c>
      <c r="J52" t="s">
        <v>176</v>
      </c>
    </row>
    <row r="53" spans="1:10" x14ac:dyDescent="0.3">
      <c r="A53" t="s">
        <v>213</v>
      </c>
      <c r="B53" t="s">
        <v>76</v>
      </c>
      <c r="C53" t="s">
        <v>178</v>
      </c>
      <c r="D53" s="46">
        <v>45894</v>
      </c>
      <c r="E53" t="s">
        <v>51</v>
      </c>
      <c r="F53">
        <v>-1</v>
      </c>
      <c r="G53">
        <v>12421.99</v>
      </c>
      <c r="H53">
        <v>-12421.99</v>
      </c>
      <c r="I53">
        <v>-12421.99</v>
      </c>
      <c r="J53" t="s">
        <v>176</v>
      </c>
    </row>
    <row r="54" spans="1:10" x14ac:dyDescent="0.3">
      <c r="A54" t="s">
        <v>214</v>
      </c>
      <c r="B54" t="s">
        <v>211</v>
      </c>
      <c r="C54" t="s">
        <v>137</v>
      </c>
      <c r="D54" s="46">
        <v>45894</v>
      </c>
      <c r="E54" t="s">
        <v>212</v>
      </c>
      <c r="F54">
        <v>-1</v>
      </c>
      <c r="G54">
        <v>342773.24</v>
      </c>
      <c r="H54">
        <v>-342773.24</v>
      </c>
      <c r="I54">
        <v>-342773.24</v>
      </c>
      <c r="J54" t="s">
        <v>176</v>
      </c>
    </row>
    <row r="55" spans="1:10" x14ac:dyDescent="0.3">
      <c r="A55" t="s">
        <v>215</v>
      </c>
      <c r="B55" t="s">
        <v>86</v>
      </c>
      <c r="C55" t="s">
        <v>216</v>
      </c>
      <c r="D55" s="46">
        <v>45894</v>
      </c>
      <c r="E55" t="s">
        <v>104</v>
      </c>
      <c r="F55">
        <v>-25</v>
      </c>
      <c r="G55">
        <v>10055.799999999999</v>
      </c>
      <c r="H55">
        <v>-251395</v>
      </c>
      <c r="I55">
        <v>-304187.95</v>
      </c>
      <c r="J55" t="s">
        <v>176</v>
      </c>
    </row>
    <row r="56" spans="1:10" x14ac:dyDescent="0.3">
      <c r="A56" t="s">
        <v>215</v>
      </c>
      <c r="B56" t="s">
        <v>86</v>
      </c>
      <c r="C56" t="s">
        <v>216</v>
      </c>
      <c r="D56" s="46">
        <v>45894</v>
      </c>
      <c r="E56" t="s">
        <v>104</v>
      </c>
      <c r="F56">
        <v>-1000</v>
      </c>
      <c r="G56">
        <v>2246.8000000000002</v>
      </c>
      <c r="H56">
        <v>-2246800</v>
      </c>
      <c r="I56">
        <v>-2718628</v>
      </c>
      <c r="J56" t="s">
        <v>176</v>
      </c>
    </row>
    <row r="57" spans="1:10" x14ac:dyDescent="0.3">
      <c r="A57" t="s">
        <v>215</v>
      </c>
      <c r="B57" t="s">
        <v>86</v>
      </c>
      <c r="C57" t="s">
        <v>216</v>
      </c>
      <c r="D57" s="46">
        <v>45894</v>
      </c>
      <c r="E57" t="s">
        <v>104</v>
      </c>
      <c r="F57">
        <v>-2100</v>
      </c>
      <c r="G57">
        <v>3205.8</v>
      </c>
      <c r="H57">
        <v>-6732180</v>
      </c>
      <c r="I57">
        <v>-8145937.7999999998</v>
      </c>
      <c r="J57" t="s">
        <v>176</v>
      </c>
    </row>
    <row r="58" spans="1:10" x14ac:dyDescent="0.3">
      <c r="A58" t="s">
        <v>215</v>
      </c>
      <c r="B58" t="s">
        <v>86</v>
      </c>
      <c r="C58" t="s">
        <v>216</v>
      </c>
      <c r="D58" s="46">
        <v>45894</v>
      </c>
      <c r="E58" t="s">
        <v>104</v>
      </c>
      <c r="F58">
        <v>-25</v>
      </c>
      <c r="G58">
        <v>10055.799999999999</v>
      </c>
      <c r="H58">
        <v>-251395</v>
      </c>
      <c r="I58">
        <v>-304187.95</v>
      </c>
      <c r="J58" t="s">
        <v>176</v>
      </c>
    </row>
    <row r="59" spans="1:10" x14ac:dyDescent="0.3">
      <c r="A59" t="s">
        <v>215</v>
      </c>
      <c r="B59" t="s">
        <v>86</v>
      </c>
      <c r="C59" t="s">
        <v>216</v>
      </c>
      <c r="D59" s="46">
        <v>45894</v>
      </c>
      <c r="E59" t="s">
        <v>104</v>
      </c>
      <c r="F59">
        <v>-2015</v>
      </c>
      <c r="G59">
        <v>1274.0999999999999</v>
      </c>
      <c r="H59">
        <v>-2567311.5</v>
      </c>
      <c r="I59">
        <v>-3106446.92</v>
      </c>
      <c r="J59" t="s">
        <v>176</v>
      </c>
    </row>
    <row r="60" spans="1:10" x14ac:dyDescent="0.3">
      <c r="A60" t="s">
        <v>215</v>
      </c>
      <c r="B60" t="s">
        <v>86</v>
      </c>
      <c r="C60" t="s">
        <v>216</v>
      </c>
      <c r="D60" s="46">
        <v>45894</v>
      </c>
      <c r="E60" t="s">
        <v>104</v>
      </c>
      <c r="F60">
        <v>-100</v>
      </c>
      <c r="G60">
        <v>11576.5</v>
      </c>
      <c r="H60">
        <v>-1157650</v>
      </c>
      <c r="I60">
        <v>-1400756.5</v>
      </c>
      <c r="J60" t="s">
        <v>176</v>
      </c>
    </row>
    <row r="61" spans="1:10" x14ac:dyDescent="0.3">
      <c r="A61" t="s">
        <v>215</v>
      </c>
      <c r="B61" t="s">
        <v>86</v>
      </c>
      <c r="C61" t="s">
        <v>216</v>
      </c>
      <c r="D61" s="46">
        <v>45894</v>
      </c>
      <c r="E61" t="s">
        <v>104</v>
      </c>
      <c r="F61">
        <v>-50</v>
      </c>
      <c r="G61">
        <v>7302.1</v>
      </c>
      <c r="H61">
        <v>-365105</v>
      </c>
      <c r="I61">
        <v>-441777.05</v>
      </c>
      <c r="J61" t="s">
        <v>176</v>
      </c>
    </row>
    <row r="62" spans="1:10" x14ac:dyDescent="0.3">
      <c r="A62" t="s">
        <v>215</v>
      </c>
      <c r="B62" t="s">
        <v>86</v>
      </c>
      <c r="C62" t="s">
        <v>216</v>
      </c>
      <c r="D62" s="46">
        <v>45894</v>
      </c>
      <c r="E62" t="s">
        <v>104</v>
      </c>
      <c r="F62">
        <v>-9</v>
      </c>
      <c r="G62">
        <v>31016.799999999999</v>
      </c>
      <c r="H62">
        <v>-279151.2</v>
      </c>
      <c r="I62">
        <v>-337772.95</v>
      </c>
      <c r="J62" t="s">
        <v>176</v>
      </c>
    </row>
    <row r="63" spans="1:10" x14ac:dyDescent="0.3">
      <c r="A63" t="s">
        <v>215</v>
      </c>
      <c r="B63" t="s">
        <v>86</v>
      </c>
      <c r="C63" t="s">
        <v>216</v>
      </c>
      <c r="D63" s="46">
        <v>45894</v>
      </c>
      <c r="E63" t="s">
        <v>104</v>
      </c>
      <c r="F63">
        <v>-250</v>
      </c>
      <c r="G63">
        <v>3973</v>
      </c>
      <c r="H63">
        <v>-993250</v>
      </c>
      <c r="I63">
        <v>-1201832.5</v>
      </c>
      <c r="J63" t="s">
        <v>176</v>
      </c>
    </row>
    <row r="64" spans="1:10" x14ac:dyDescent="0.3">
      <c r="A64" t="s">
        <v>215</v>
      </c>
      <c r="B64" t="s">
        <v>86</v>
      </c>
      <c r="C64" t="s">
        <v>216</v>
      </c>
      <c r="D64" s="46">
        <v>45894</v>
      </c>
      <c r="E64" t="s">
        <v>104</v>
      </c>
      <c r="F64">
        <v>-50</v>
      </c>
      <c r="G64">
        <v>2575.6</v>
      </c>
      <c r="H64">
        <v>-128780</v>
      </c>
      <c r="I64">
        <v>-155823.79999999999</v>
      </c>
      <c r="J64" t="s">
        <v>176</v>
      </c>
    </row>
    <row r="65" spans="1:10" x14ac:dyDescent="0.3">
      <c r="A65" t="s">
        <v>215</v>
      </c>
      <c r="B65" t="s">
        <v>86</v>
      </c>
      <c r="C65" t="s">
        <v>216</v>
      </c>
      <c r="D65" s="46">
        <v>45894</v>
      </c>
      <c r="E65" t="s">
        <v>104</v>
      </c>
      <c r="F65">
        <v>-2600</v>
      </c>
      <c r="G65">
        <v>1972.8</v>
      </c>
      <c r="H65">
        <v>-5129280</v>
      </c>
      <c r="I65">
        <v>-6206428.7999999998</v>
      </c>
      <c r="J65" t="s">
        <v>176</v>
      </c>
    </row>
    <row r="66" spans="1:10" x14ac:dyDescent="0.3">
      <c r="A66" t="s">
        <v>215</v>
      </c>
      <c r="B66" t="s">
        <v>86</v>
      </c>
      <c r="C66" t="s">
        <v>216</v>
      </c>
      <c r="D66" s="46">
        <v>45894</v>
      </c>
      <c r="E66" t="s">
        <v>104</v>
      </c>
      <c r="F66">
        <v>-4400</v>
      </c>
      <c r="G66">
        <v>1685.1</v>
      </c>
      <c r="H66">
        <v>-7414440</v>
      </c>
      <c r="I66">
        <v>-8971472.4000000004</v>
      </c>
      <c r="J66" t="s">
        <v>176</v>
      </c>
    </row>
    <row r="67" spans="1:10" x14ac:dyDescent="0.3">
      <c r="A67" t="s">
        <v>217</v>
      </c>
      <c r="B67" t="s">
        <v>86</v>
      </c>
      <c r="C67" t="s">
        <v>216</v>
      </c>
      <c r="D67" s="46">
        <v>45894</v>
      </c>
      <c r="E67" t="s">
        <v>104</v>
      </c>
      <c r="F67">
        <v>-300</v>
      </c>
      <c r="G67">
        <v>1876.9</v>
      </c>
      <c r="H67">
        <v>-563070</v>
      </c>
      <c r="I67">
        <v>-681314.7</v>
      </c>
      <c r="J67" t="s">
        <v>176</v>
      </c>
    </row>
    <row r="68" spans="1:10" x14ac:dyDescent="0.3">
      <c r="A68" t="s">
        <v>217</v>
      </c>
      <c r="B68" t="s">
        <v>86</v>
      </c>
      <c r="C68" t="s">
        <v>216</v>
      </c>
      <c r="D68" s="46">
        <v>45894</v>
      </c>
      <c r="E68" t="s">
        <v>104</v>
      </c>
      <c r="F68">
        <v>-1550</v>
      </c>
      <c r="G68">
        <v>1835.8</v>
      </c>
      <c r="H68">
        <v>-2845490</v>
      </c>
      <c r="I68">
        <v>-3443042.9</v>
      </c>
      <c r="J68" t="s">
        <v>176</v>
      </c>
    </row>
    <row r="69" spans="1:10" x14ac:dyDescent="0.3">
      <c r="A69" t="s">
        <v>217</v>
      </c>
      <c r="B69" t="s">
        <v>86</v>
      </c>
      <c r="C69" t="s">
        <v>216</v>
      </c>
      <c r="D69" s="46">
        <v>45894</v>
      </c>
      <c r="E69" t="s">
        <v>104</v>
      </c>
      <c r="F69">
        <v>-2750</v>
      </c>
      <c r="G69">
        <v>1479.6</v>
      </c>
      <c r="H69">
        <v>-4068900</v>
      </c>
      <c r="I69">
        <v>-4923369</v>
      </c>
      <c r="J69" t="s">
        <v>176</v>
      </c>
    </row>
    <row r="70" spans="1:10" x14ac:dyDescent="0.3">
      <c r="A70" t="s">
        <v>218</v>
      </c>
      <c r="B70" t="s">
        <v>59</v>
      </c>
      <c r="C70" t="s">
        <v>137</v>
      </c>
      <c r="D70" s="46">
        <v>45891</v>
      </c>
      <c r="E70" t="s">
        <v>55</v>
      </c>
      <c r="F70">
        <v>-1</v>
      </c>
      <c r="G70">
        <v>434593.38</v>
      </c>
      <c r="H70">
        <v>-434593.38</v>
      </c>
      <c r="I70">
        <v>-525857.99</v>
      </c>
      <c r="J70" t="s">
        <v>176</v>
      </c>
    </row>
    <row r="71" spans="1:10" x14ac:dyDescent="0.3">
      <c r="A71" t="s">
        <v>219</v>
      </c>
      <c r="B71" t="s">
        <v>91</v>
      </c>
      <c r="C71" t="s">
        <v>137</v>
      </c>
      <c r="D71" s="46">
        <v>45891</v>
      </c>
      <c r="E71" t="s">
        <v>57</v>
      </c>
      <c r="F71">
        <v>-30</v>
      </c>
      <c r="G71">
        <v>10335</v>
      </c>
      <c r="H71">
        <v>-310050</v>
      </c>
      <c r="I71">
        <v>-375160.5</v>
      </c>
      <c r="J71" t="s">
        <v>176</v>
      </c>
    </row>
    <row r="72" spans="1:10" x14ac:dyDescent="0.3">
      <c r="A72" t="s">
        <v>220</v>
      </c>
      <c r="B72" t="s">
        <v>46</v>
      </c>
      <c r="C72" t="s">
        <v>137</v>
      </c>
      <c r="D72" s="46">
        <v>45890</v>
      </c>
      <c r="E72" t="s">
        <v>57</v>
      </c>
      <c r="F72">
        <v>-1</v>
      </c>
      <c r="G72">
        <v>18843</v>
      </c>
      <c r="H72">
        <v>-18843</v>
      </c>
      <c r="I72">
        <v>-22800.03</v>
      </c>
      <c r="J72" t="s">
        <v>176</v>
      </c>
    </row>
    <row r="73" spans="1:10" x14ac:dyDescent="0.3">
      <c r="A73" t="s">
        <v>221</v>
      </c>
      <c r="B73" t="s">
        <v>59</v>
      </c>
      <c r="C73" t="s">
        <v>137</v>
      </c>
      <c r="D73" s="46">
        <v>45890</v>
      </c>
      <c r="E73" t="s">
        <v>55</v>
      </c>
      <c r="F73">
        <v>-1</v>
      </c>
      <c r="G73">
        <v>644579.92000000004</v>
      </c>
      <c r="H73">
        <v>-644579.92000000004</v>
      </c>
      <c r="I73">
        <v>-779941.7</v>
      </c>
      <c r="J73" t="s">
        <v>176</v>
      </c>
    </row>
    <row r="74" spans="1:10" x14ac:dyDescent="0.3">
      <c r="A74" t="s">
        <v>222</v>
      </c>
      <c r="B74" t="s">
        <v>54</v>
      </c>
      <c r="C74" t="s">
        <v>137</v>
      </c>
      <c r="D74" s="46">
        <v>45890</v>
      </c>
      <c r="E74" t="s">
        <v>55</v>
      </c>
      <c r="F74">
        <v>-1</v>
      </c>
      <c r="G74">
        <v>36000</v>
      </c>
      <c r="H74">
        <v>-36000</v>
      </c>
      <c r="I74">
        <v>-36000</v>
      </c>
      <c r="J74" t="s">
        <v>176</v>
      </c>
    </row>
    <row r="75" spans="1:10" x14ac:dyDescent="0.3">
      <c r="A75" t="s">
        <v>222</v>
      </c>
      <c r="B75" t="s">
        <v>54</v>
      </c>
      <c r="C75" t="s">
        <v>137</v>
      </c>
      <c r="D75" s="46">
        <v>45890</v>
      </c>
      <c r="E75" t="s">
        <v>55</v>
      </c>
      <c r="F75">
        <v>-54</v>
      </c>
      <c r="G75">
        <v>40989</v>
      </c>
      <c r="H75">
        <v>-2213406</v>
      </c>
      <c r="I75">
        <v>-2678221.2599999998</v>
      </c>
      <c r="J75" t="s">
        <v>176</v>
      </c>
    </row>
    <row r="76" spans="1:10" x14ac:dyDescent="0.3">
      <c r="A76" t="s">
        <v>222</v>
      </c>
      <c r="B76" t="s">
        <v>54</v>
      </c>
      <c r="C76" t="s">
        <v>137</v>
      </c>
      <c r="D76" s="46">
        <v>45890</v>
      </c>
      <c r="E76" t="s">
        <v>55</v>
      </c>
      <c r="F76">
        <v>-4</v>
      </c>
      <c r="G76">
        <v>49280</v>
      </c>
      <c r="H76">
        <v>-197120</v>
      </c>
      <c r="I76">
        <v>-238515.20000000001</v>
      </c>
      <c r="J76" t="s">
        <v>176</v>
      </c>
    </row>
    <row r="77" spans="1:10" x14ac:dyDescent="0.3">
      <c r="A77" t="s">
        <v>223</v>
      </c>
      <c r="B77" t="s">
        <v>49</v>
      </c>
      <c r="C77" t="s">
        <v>178</v>
      </c>
      <c r="D77" s="46">
        <v>45890</v>
      </c>
      <c r="E77" t="s">
        <v>50</v>
      </c>
      <c r="F77">
        <v>-40</v>
      </c>
      <c r="G77">
        <v>8450.57</v>
      </c>
      <c r="H77">
        <v>-338022.8</v>
      </c>
      <c r="I77">
        <v>-409007.59</v>
      </c>
      <c r="J77" t="s">
        <v>176</v>
      </c>
    </row>
    <row r="78" spans="1:10" x14ac:dyDescent="0.3">
      <c r="A78" t="s">
        <v>224</v>
      </c>
      <c r="B78" t="s">
        <v>35</v>
      </c>
      <c r="C78" t="s">
        <v>137</v>
      </c>
      <c r="D78" s="46">
        <v>45889</v>
      </c>
      <c r="E78" t="s">
        <v>225</v>
      </c>
      <c r="F78">
        <v>-1</v>
      </c>
      <c r="G78">
        <v>2951468</v>
      </c>
      <c r="H78">
        <v>-2951468</v>
      </c>
      <c r="I78">
        <v>-3571276.28</v>
      </c>
      <c r="J78" t="s">
        <v>176</v>
      </c>
    </row>
    <row r="79" spans="1:10" x14ac:dyDescent="0.3">
      <c r="A79" t="s">
        <v>226</v>
      </c>
      <c r="B79" t="s">
        <v>98</v>
      </c>
      <c r="C79" t="s">
        <v>178</v>
      </c>
      <c r="D79" s="46">
        <v>45889</v>
      </c>
      <c r="E79" t="s">
        <v>227</v>
      </c>
      <c r="F79">
        <v>-1</v>
      </c>
      <c r="G79">
        <v>3061085.83</v>
      </c>
      <c r="H79">
        <v>-3061085.83</v>
      </c>
      <c r="I79">
        <v>-3703913.85</v>
      </c>
      <c r="J79" t="s">
        <v>176</v>
      </c>
    </row>
    <row r="80" spans="1:10" x14ac:dyDescent="0.3">
      <c r="A80" t="s">
        <v>228</v>
      </c>
      <c r="B80" t="s">
        <v>58</v>
      </c>
      <c r="C80" t="s">
        <v>137</v>
      </c>
      <c r="D80" s="46">
        <v>45889</v>
      </c>
      <c r="E80" t="s">
        <v>55</v>
      </c>
      <c r="F80">
        <v>-1</v>
      </c>
      <c r="G80">
        <v>3097534.61</v>
      </c>
      <c r="H80">
        <v>-3097534.61</v>
      </c>
      <c r="I80">
        <v>-3748017.88</v>
      </c>
      <c r="J80" t="s">
        <v>176</v>
      </c>
    </row>
    <row r="81" spans="1:10" x14ac:dyDescent="0.3">
      <c r="A81" t="s">
        <v>229</v>
      </c>
      <c r="B81" t="s">
        <v>52</v>
      </c>
      <c r="C81" t="s">
        <v>137</v>
      </c>
      <c r="D81" s="46">
        <v>45889</v>
      </c>
      <c r="E81" t="s">
        <v>53</v>
      </c>
      <c r="F81">
        <v>-1</v>
      </c>
      <c r="G81">
        <v>26996.28</v>
      </c>
      <c r="H81">
        <v>-26996.28</v>
      </c>
      <c r="I81">
        <v>-32665.5</v>
      </c>
      <c r="J81" t="s">
        <v>176</v>
      </c>
    </row>
    <row r="82" spans="1:10" x14ac:dyDescent="0.3">
      <c r="A82" t="s">
        <v>230</v>
      </c>
      <c r="B82" t="s">
        <v>76</v>
      </c>
      <c r="C82" t="s">
        <v>178</v>
      </c>
      <c r="D82" s="46">
        <v>45889</v>
      </c>
      <c r="E82" t="s">
        <v>51</v>
      </c>
      <c r="F82">
        <v>-1</v>
      </c>
      <c r="G82">
        <v>27554.22</v>
      </c>
      <c r="H82">
        <v>-27554.22</v>
      </c>
      <c r="I82">
        <v>-27554.22</v>
      </c>
      <c r="J82" t="s">
        <v>176</v>
      </c>
    </row>
    <row r="83" spans="1:10" x14ac:dyDescent="0.3">
      <c r="A83" t="s">
        <v>231</v>
      </c>
      <c r="B83" t="s">
        <v>27</v>
      </c>
      <c r="C83" t="s">
        <v>137</v>
      </c>
      <c r="D83" s="46">
        <v>45888</v>
      </c>
      <c r="E83" t="s">
        <v>51</v>
      </c>
      <c r="F83">
        <v>-1</v>
      </c>
      <c r="G83">
        <v>114000</v>
      </c>
      <c r="H83">
        <v>-114000</v>
      </c>
      <c r="I83">
        <v>-137940</v>
      </c>
      <c r="J83" t="s">
        <v>176</v>
      </c>
    </row>
    <row r="84" spans="1:10" x14ac:dyDescent="0.3">
      <c r="A84" t="s">
        <v>232</v>
      </c>
      <c r="B84" t="s">
        <v>76</v>
      </c>
      <c r="C84" t="s">
        <v>178</v>
      </c>
      <c r="D84" s="46">
        <v>45888</v>
      </c>
      <c r="E84" t="s">
        <v>51</v>
      </c>
      <c r="F84">
        <v>-1</v>
      </c>
      <c r="G84">
        <v>12421.99</v>
      </c>
      <c r="H84">
        <v>-12421.99</v>
      </c>
      <c r="I84">
        <v>-12421.99</v>
      </c>
      <c r="J84" t="s">
        <v>176</v>
      </c>
    </row>
    <row r="85" spans="1:10" x14ac:dyDescent="0.3">
      <c r="A85" t="s">
        <v>233</v>
      </c>
      <c r="B85" t="s">
        <v>89</v>
      </c>
      <c r="C85" t="s">
        <v>137</v>
      </c>
      <c r="D85" s="46">
        <v>45887</v>
      </c>
      <c r="E85" t="s">
        <v>95</v>
      </c>
      <c r="F85">
        <v>-1006</v>
      </c>
      <c r="G85">
        <v>350</v>
      </c>
      <c r="H85">
        <v>-352100</v>
      </c>
      <c r="I85">
        <v>-426041</v>
      </c>
      <c r="J85" t="s">
        <v>176</v>
      </c>
    </row>
    <row r="86" spans="1:10" x14ac:dyDescent="0.3">
      <c r="A86" t="s">
        <v>233</v>
      </c>
      <c r="B86" t="s">
        <v>89</v>
      </c>
      <c r="C86" t="s">
        <v>137</v>
      </c>
      <c r="D86" s="46">
        <v>45887</v>
      </c>
      <c r="E86" t="s">
        <v>95</v>
      </c>
      <c r="F86">
        <v>-594</v>
      </c>
      <c r="G86">
        <v>350</v>
      </c>
      <c r="H86">
        <v>-207900</v>
      </c>
      <c r="I86">
        <v>-251559</v>
      </c>
      <c r="J86" t="s">
        <v>176</v>
      </c>
    </row>
    <row r="87" spans="1:10" x14ac:dyDescent="0.3">
      <c r="A87" t="s">
        <v>233</v>
      </c>
      <c r="B87" t="s">
        <v>89</v>
      </c>
      <c r="C87" t="s">
        <v>137</v>
      </c>
      <c r="D87" s="46">
        <v>45887</v>
      </c>
      <c r="E87" t="s">
        <v>95</v>
      </c>
      <c r="F87">
        <v>-594</v>
      </c>
      <c r="G87">
        <v>288</v>
      </c>
      <c r="H87">
        <v>-171072</v>
      </c>
      <c r="I87">
        <v>-206997.12</v>
      </c>
      <c r="J87" t="s">
        <v>176</v>
      </c>
    </row>
    <row r="88" spans="1:10" x14ac:dyDescent="0.3">
      <c r="A88" t="s">
        <v>233</v>
      </c>
      <c r="B88" t="s">
        <v>89</v>
      </c>
      <c r="C88" t="s">
        <v>137</v>
      </c>
      <c r="D88" s="46">
        <v>45887</v>
      </c>
      <c r="E88" t="s">
        <v>95</v>
      </c>
      <c r="F88">
        <v>-3034</v>
      </c>
      <c r="G88">
        <v>350</v>
      </c>
      <c r="H88">
        <v>-1061900</v>
      </c>
      <c r="I88">
        <v>-1284899</v>
      </c>
      <c r="J88" t="s">
        <v>176</v>
      </c>
    </row>
    <row r="89" spans="1:10" x14ac:dyDescent="0.3">
      <c r="A89" t="s">
        <v>233</v>
      </c>
      <c r="B89" t="s">
        <v>89</v>
      </c>
      <c r="C89" t="s">
        <v>137</v>
      </c>
      <c r="D89" s="46">
        <v>45887</v>
      </c>
      <c r="E89" t="s">
        <v>95</v>
      </c>
      <c r="F89">
        <v>-1103</v>
      </c>
      <c r="G89">
        <v>350</v>
      </c>
      <c r="H89">
        <v>-386050</v>
      </c>
      <c r="I89">
        <v>-467120.5</v>
      </c>
      <c r="J89" t="s">
        <v>176</v>
      </c>
    </row>
    <row r="90" spans="1:10" x14ac:dyDescent="0.3">
      <c r="A90" t="s">
        <v>234</v>
      </c>
      <c r="B90" t="s">
        <v>49</v>
      </c>
      <c r="C90" t="s">
        <v>178</v>
      </c>
      <c r="D90" s="46">
        <v>45887</v>
      </c>
      <c r="E90" t="s">
        <v>50</v>
      </c>
      <c r="F90">
        <v>-38</v>
      </c>
      <c r="G90">
        <v>9389.5300000000007</v>
      </c>
      <c r="H90">
        <v>-356802.14</v>
      </c>
      <c r="I90">
        <v>-431730.59</v>
      </c>
      <c r="J90" t="s">
        <v>176</v>
      </c>
    </row>
    <row r="91" spans="1:10" x14ac:dyDescent="0.3">
      <c r="A91" t="s">
        <v>235</v>
      </c>
      <c r="B91" t="s">
        <v>76</v>
      </c>
      <c r="C91" t="s">
        <v>178</v>
      </c>
      <c r="D91" s="46">
        <v>45887</v>
      </c>
      <c r="E91" t="s">
        <v>51</v>
      </c>
      <c r="F91">
        <v>-1</v>
      </c>
      <c r="G91">
        <v>369.87</v>
      </c>
      <c r="H91">
        <v>-369.87</v>
      </c>
      <c r="I91">
        <v>-369.87</v>
      </c>
      <c r="J91" t="s">
        <v>176</v>
      </c>
    </row>
    <row r="92" spans="1:10" x14ac:dyDescent="0.3">
      <c r="A92" t="s">
        <v>233</v>
      </c>
      <c r="B92" t="s">
        <v>89</v>
      </c>
      <c r="C92" t="s">
        <v>137</v>
      </c>
      <c r="D92" s="46">
        <v>45887</v>
      </c>
      <c r="E92" t="s">
        <v>95</v>
      </c>
      <c r="F92">
        <v>-304</v>
      </c>
      <c r="G92">
        <v>350</v>
      </c>
      <c r="H92">
        <v>-106400</v>
      </c>
      <c r="I92">
        <v>-128744</v>
      </c>
      <c r="J92" t="s">
        <v>176</v>
      </c>
    </row>
    <row r="93" spans="1:10" x14ac:dyDescent="0.3">
      <c r="A93" t="s">
        <v>233</v>
      </c>
      <c r="B93" t="s">
        <v>89</v>
      </c>
      <c r="C93" t="s">
        <v>137</v>
      </c>
      <c r="D93" s="46">
        <v>45887</v>
      </c>
      <c r="E93" t="s">
        <v>95</v>
      </c>
      <c r="F93">
        <v>-3112</v>
      </c>
      <c r="G93">
        <v>350</v>
      </c>
      <c r="H93">
        <v>-1089200</v>
      </c>
      <c r="I93">
        <v>-1317932</v>
      </c>
      <c r="J93" t="s">
        <v>176</v>
      </c>
    </row>
    <row r="94" spans="1:10" x14ac:dyDescent="0.3">
      <c r="A94" t="s">
        <v>233</v>
      </c>
      <c r="B94" t="s">
        <v>89</v>
      </c>
      <c r="C94" t="s">
        <v>137</v>
      </c>
      <c r="D94" s="46">
        <v>45887</v>
      </c>
      <c r="E94" t="s">
        <v>95</v>
      </c>
      <c r="F94">
        <v>-3846</v>
      </c>
      <c r="G94">
        <v>350</v>
      </c>
      <c r="H94">
        <v>-1346100</v>
      </c>
      <c r="I94">
        <v>-1628781</v>
      </c>
      <c r="J94" t="s">
        <v>176</v>
      </c>
    </row>
    <row r="95" spans="1:10" x14ac:dyDescent="0.3">
      <c r="A95" t="s">
        <v>233</v>
      </c>
      <c r="B95" t="s">
        <v>89</v>
      </c>
      <c r="C95" t="s">
        <v>137</v>
      </c>
      <c r="D95" s="46">
        <v>45887</v>
      </c>
      <c r="E95" t="s">
        <v>95</v>
      </c>
      <c r="F95">
        <v>-1728</v>
      </c>
      <c r="G95">
        <v>350</v>
      </c>
      <c r="H95">
        <v>-604800</v>
      </c>
      <c r="I95">
        <v>-731808</v>
      </c>
      <c r="J95" t="s">
        <v>176</v>
      </c>
    </row>
    <row r="96" spans="1:10" x14ac:dyDescent="0.3">
      <c r="A96" t="s">
        <v>236</v>
      </c>
      <c r="B96" t="s">
        <v>86</v>
      </c>
      <c r="C96" t="s">
        <v>216</v>
      </c>
      <c r="D96" s="46">
        <v>45884</v>
      </c>
      <c r="E96" t="s">
        <v>104</v>
      </c>
      <c r="F96">
        <v>-570</v>
      </c>
      <c r="G96">
        <v>1205.2</v>
      </c>
      <c r="H96">
        <v>-686964</v>
      </c>
      <c r="I96">
        <v>-831226.44</v>
      </c>
      <c r="J96" t="s">
        <v>176</v>
      </c>
    </row>
    <row r="97" spans="1:10" x14ac:dyDescent="0.3">
      <c r="A97" t="s">
        <v>236</v>
      </c>
      <c r="B97" t="s">
        <v>86</v>
      </c>
      <c r="C97" t="s">
        <v>216</v>
      </c>
      <c r="D97" s="46">
        <v>45884</v>
      </c>
      <c r="E97" t="s">
        <v>104</v>
      </c>
      <c r="F97">
        <v>-600</v>
      </c>
      <c r="G97">
        <v>1755.4</v>
      </c>
      <c r="H97">
        <v>-1053240</v>
      </c>
      <c r="I97">
        <v>-1274420.3999999999</v>
      </c>
      <c r="J97" t="s">
        <v>176</v>
      </c>
    </row>
    <row r="98" spans="1:10" x14ac:dyDescent="0.3">
      <c r="A98" t="s">
        <v>236</v>
      </c>
      <c r="B98" t="s">
        <v>86</v>
      </c>
      <c r="C98" t="s">
        <v>216</v>
      </c>
      <c r="D98" s="46">
        <v>45884</v>
      </c>
      <c r="E98" t="s">
        <v>104</v>
      </c>
      <c r="F98">
        <v>-1054</v>
      </c>
      <c r="G98">
        <v>1218.3</v>
      </c>
      <c r="H98">
        <v>-1284088.2</v>
      </c>
      <c r="I98">
        <v>-1553746.72</v>
      </c>
      <c r="J98" t="s">
        <v>176</v>
      </c>
    </row>
    <row r="99" spans="1:10" x14ac:dyDescent="0.3">
      <c r="A99" t="s">
        <v>236</v>
      </c>
      <c r="B99" t="s">
        <v>86</v>
      </c>
      <c r="C99" t="s">
        <v>216</v>
      </c>
      <c r="D99" s="46">
        <v>45884</v>
      </c>
      <c r="E99" t="s">
        <v>104</v>
      </c>
      <c r="F99">
        <v>-220</v>
      </c>
      <c r="G99">
        <v>2148.4</v>
      </c>
      <c r="H99">
        <v>-472648</v>
      </c>
      <c r="I99">
        <v>-571904.07999999996</v>
      </c>
      <c r="J99" t="s">
        <v>176</v>
      </c>
    </row>
    <row r="100" spans="1:10" x14ac:dyDescent="0.3">
      <c r="A100" t="s">
        <v>236</v>
      </c>
      <c r="B100" t="s">
        <v>86</v>
      </c>
      <c r="C100" t="s">
        <v>216</v>
      </c>
      <c r="D100" s="46">
        <v>45884</v>
      </c>
      <c r="E100" t="s">
        <v>104</v>
      </c>
      <c r="F100">
        <v>-500</v>
      </c>
      <c r="G100">
        <v>3065.4</v>
      </c>
      <c r="H100">
        <v>-1532700</v>
      </c>
      <c r="I100">
        <v>-1854567</v>
      </c>
      <c r="J100" t="s">
        <v>176</v>
      </c>
    </row>
    <row r="101" spans="1:10" x14ac:dyDescent="0.3">
      <c r="A101" t="s">
        <v>236</v>
      </c>
      <c r="B101" t="s">
        <v>86</v>
      </c>
      <c r="C101" t="s">
        <v>216</v>
      </c>
      <c r="D101" s="46">
        <v>45884</v>
      </c>
      <c r="E101" t="s">
        <v>104</v>
      </c>
      <c r="F101">
        <v>-450</v>
      </c>
      <c r="G101">
        <v>1205.2</v>
      </c>
      <c r="H101">
        <v>-542340</v>
      </c>
      <c r="I101">
        <v>-656231.4</v>
      </c>
      <c r="J101" t="s">
        <v>176</v>
      </c>
    </row>
    <row r="102" spans="1:10" x14ac:dyDescent="0.3">
      <c r="A102" t="s">
        <v>237</v>
      </c>
      <c r="B102" t="s">
        <v>48</v>
      </c>
      <c r="D102" s="46">
        <v>45883</v>
      </c>
      <c r="F102">
        <v>-1</v>
      </c>
      <c r="G102">
        <v>1965214.32</v>
      </c>
      <c r="H102">
        <v>-1965214.32</v>
      </c>
      <c r="I102">
        <v>-1965214.32</v>
      </c>
      <c r="J102" t="s">
        <v>176</v>
      </c>
    </row>
    <row r="103" spans="1:10" x14ac:dyDescent="0.3">
      <c r="A103" t="s">
        <v>238</v>
      </c>
      <c r="B103" t="s">
        <v>48</v>
      </c>
      <c r="D103" s="46">
        <v>45883</v>
      </c>
      <c r="F103">
        <v>-1</v>
      </c>
      <c r="G103">
        <v>2827302.52</v>
      </c>
      <c r="H103">
        <v>-2827302.52</v>
      </c>
      <c r="I103">
        <v>-2827302.52</v>
      </c>
      <c r="J103" t="s">
        <v>176</v>
      </c>
    </row>
    <row r="104" spans="1:10" x14ac:dyDescent="0.3">
      <c r="A104" t="s">
        <v>239</v>
      </c>
      <c r="B104" t="s">
        <v>48</v>
      </c>
      <c r="D104" s="46">
        <v>45883</v>
      </c>
      <c r="F104">
        <v>-1</v>
      </c>
      <c r="G104">
        <v>2650283.62</v>
      </c>
      <c r="H104">
        <v>-2650283.62</v>
      </c>
      <c r="I104">
        <v>-2650283.62</v>
      </c>
      <c r="J104" t="s">
        <v>176</v>
      </c>
    </row>
    <row r="105" spans="1:10" x14ac:dyDescent="0.3">
      <c r="A105" t="s">
        <v>240</v>
      </c>
      <c r="B105" t="s">
        <v>48</v>
      </c>
      <c r="D105" s="46">
        <v>45883</v>
      </c>
      <c r="F105">
        <v>-1</v>
      </c>
      <c r="G105">
        <v>598371.57999999996</v>
      </c>
      <c r="H105">
        <v>-598371.57999999996</v>
      </c>
      <c r="I105">
        <v>-598371.57999999996</v>
      </c>
      <c r="J105" t="s">
        <v>176</v>
      </c>
    </row>
    <row r="106" spans="1:10" x14ac:dyDescent="0.3">
      <c r="A106" t="s">
        <v>241</v>
      </c>
      <c r="B106" t="s">
        <v>76</v>
      </c>
      <c r="C106" t="s">
        <v>178</v>
      </c>
      <c r="D106" s="46">
        <v>45882</v>
      </c>
      <c r="E106" t="s">
        <v>51</v>
      </c>
      <c r="F106">
        <v>-1</v>
      </c>
      <c r="G106">
        <v>15940.74</v>
      </c>
      <c r="H106">
        <v>-15940.74</v>
      </c>
      <c r="I106">
        <v>-15940.74</v>
      </c>
      <c r="J106" t="s">
        <v>176</v>
      </c>
    </row>
    <row r="107" spans="1:10" x14ac:dyDescent="0.3">
      <c r="A107" t="s">
        <v>242</v>
      </c>
      <c r="B107" t="s">
        <v>46</v>
      </c>
      <c r="C107" t="s">
        <v>137</v>
      </c>
      <c r="D107" s="46">
        <v>45881</v>
      </c>
      <c r="E107" t="s">
        <v>57</v>
      </c>
      <c r="F107">
        <v>-1</v>
      </c>
      <c r="G107">
        <v>499217.77</v>
      </c>
      <c r="H107">
        <v>-499217.77</v>
      </c>
      <c r="I107">
        <v>-604053.5</v>
      </c>
      <c r="J107" t="s">
        <v>176</v>
      </c>
    </row>
    <row r="108" spans="1:10" x14ac:dyDescent="0.3">
      <c r="A108" t="s">
        <v>243</v>
      </c>
      <c r="B108" t="s">
        <v>76</v>
      </c>
      <c r="C108" t="s">
        <v>178</v>
      </c>
      <c r="D108" s="46">
        <v>45881</v>
      </c>
      <c r="E108" t="s">
        <v>51</v>
      </c>
      <c r="F108">
        <v>-1</v>
      </c>
      <c r="G108">
        <v>11014.49</v>
      </c>
      <c r="H108">
        <v>-11014.49</v>
      </c>
      <c r="I108">
        <v>-11014.49</v>
      </c>
      <c r="J108" t="s">
        <v>176</v>
      </c>
    </row>
    <row r="109" spans="1:10" x14ac:dyDescent="0.3">
      <c r="A109" t="s">
        <v>244</v>
      </c>
      <c r="B109" t="s">
        <v>28</v>
      </c>
      <c r="C109" t="s">
        <v>137</v>
      </c>
      <c r="D109" s="46">
        <v>45881</v>
      </c>
      <c r="E109" t="s">
        <v>245</v>
      </c>
      <c r="F109">
        <v>-1</v>
      </c>
      <c r="G109">
        <v>43041.35</v>
      </c>
      <c r="H109">
        <v>-43041.35</v>
      </c>
      <c r="I109">
        <v>-52080.03</v>
      </c>
      <c r="J109" t="s">
        <v>176</v>
      </c>
    </row>
    <row r="110" spans="1:10" x14ac:dyDescent="0.3">
      <c r="A110" t="s">
        <v>246</v>
      </c>
      <c r="B110" t="s">
        <v>52</v>
      </c>
      <c r="C110" t="s">
        <v>137</v>
      </c>
      <c r="D110" s="46">
        <v>45880</v>
      </c>
      <c r="E110" t="s">
        <v>53</v>
      </c>
      <c r="F110">
        <v>-1</v>
      </c>
      <c r="G110">
        <v>132070.35999999999</v>
      </c>
      <c r="H110">
        <v>-132070.35999999999</v>
      </c>
      <c r="I110">
        <v>-159805.14000000001</v>
      </c>
      <c r="J110" t="s">
        <v>176</v>
      </c>
    </row>
    <row r="111" spans="1:10" x14ac:dyDescent="0.3">
      <c r="A111" t="s">
        <v>246</v>
      </c>
      <c r="B111" t="s">
        <v>52</v>
      </c>
      <c r="C111" t="s">
        <v>137</v>
      </c>
      <c r="D111" s="46">
        <v>45880</v>
      </c>
      <c r="E111" t="s">
        <v>53</v>
      </c>
      <c r="F111">
        <v>-1</v>
      </c>
      <c r="G111">
        <v>6300</v>
      </c>
      <c r="H111">
        <v>-6300</v>
      </c>
      <c r="I111">
        <v>-6961.5</v>
      </c>
      <c r="J111" t="s">
        <v>176</v>
      </c>
    </row>
    <row r="112" spans="1:10" x14ac:dyDescent="0.3">
      <c r="A112" t="s">
        <v>247</v>
      </c>
      <c r="B112" t="s">
        <v>49</v>
      </c>
      <c r="C112" t="s">
        <v>178</v>
      </c>
      <c r="D112" s="46">
        <v>45880</v>
      </c>
      <c r="E112" t="s">
        <v>50</v>
      </c>
      <c r="F112">
        <v>-39</v>
      </c>
      <c r="G112">
        <v>8450.57</v>
      </c>
      <c r="H112">
        <v>-329572.23</v>
      </c>
      <c r="I112">
        <v>-398782.4</v>
      </c>
      <c r="J112" t="s">
        <v>176</v>
      </c>
    </row>
    <row r="113" spans="1:10" x14ac:dyDescent="0.3">
      <c r="A113" t="s">
        <v>247</v>
      </c>
      <c r="B113" t="s">
        <v>49</v>
      </c>
      <c r="C113" t="s">
        <v>178</v>
      </c>
      <c r="D113" s="46">
        <v>45880</v>
      </c>
      <c r="E113" t="s">
        <v>50</v>
      </c>
      <c r="F113">
        <v>-20</v>
      </c>
      <c r="G113">
        <v>9389.5300000000007</v>
      </c>
      <c r="H113">
        <v>-187790.6</v>
      </c>
      <c r="I113">
        <v>-227226.63</v>
      </c>
      <c r="J113" t="s">
        <v>176</v>
      </c>
    </row>
    <row r="114" spans="1:10" x14ac:dyDescent="0.3">
      <c r="A114" t="s">
        <v>248</v>
      </c>
      <c r="B114" t="s">
        <v>54</v>
      </c>
      <c r="C114" t="s">
        <v>137</v>
      </c>
      <c r="D114" s="46">
        <v>45880</v>
      </c>
      <c r="E114" t="s">
        <v>55</v>
      </c>
      <c r="F114">
        <v>-26</v>
      </c>
      <c r="G114">
        <v>61617.19</v>
      </c>
      <c r="H114">
        <v>-1602046.94</v>
      </c>
      <c r="I114">
        <v>-1938476.8</v>
      </c>
      <c r="J114" t="s">
        <v>176</v>
      </c>
    </row>
    <row r="115" spans="1:10" x14ac:dyDescent="0.3">
      <c r="A115" t="s">
        <v>248</v>
      </c>
      <c r="B115" t="s">
        <v>54</v>
      </c>
      <c r="C115" t="s">
        <v>137</v>
      </c>
      <c r="D115" s="46">
        <v>45880</v>
      </c>
      <c r="E115" t="s">
        <v>55</v>
      </c>
      <c r="F115">
        <v>-32</v>
      </c>
      <c r="G115">
        <v>30747.73</v>
      </c>
      <c r="H115">
        <v>-983927.36</v>
      </c>
      <c r="I115">
        <v>-1190552.1100000001</v>
      </c>
      <c r="J115" t="s">
        <v>176</v>
      </c>
    </row>
    <row r="116" spans="1:10" x14ac:dyDescent="0.3">
      <c r="A116" t="s">
        <v>248</v>
      </c>
      <c r="B116" t="s">
        <v>54</v>
      </c>
      <c r="C116" t="s">
        <v>137</v>
      </c>
      <c r="D116" s="46">
        <v>45880</v>
      </c>
      <c r="E116" t="s">
        <v>55</v>
      </c>
      <c r="F116">
        <v>-9</v>
      </c>
      <c r="G116">
        <v>32590.07</v>
      </c>
      <c r="H116">
        <v>-293310.63</v>
      </c>
      <c r="I116">
        <v>-354905.86</v>
      </c>
      <c r="J116" t="s">
        <v>176</v>
      </c>
    </row>
    <row r="117" spans="1:10" x14ac:dyDescent="0.3">
      <c r="A117" t="s">
        <v>249</v>
      </c>
      <c r="B117" t="s">
        <v>90</v>
      </c>
      <c r="D117" s="46">
        <v>45880</v>
      </c>
      <c r="F117">
        <v>-1</v>
      </c>
      <c r="G117">
        <v>6581093</v>
      </c>
      <c r="H117">
        <v>-6581093</v>
      </c>
      <c r="I117">
        <v>-6581093</v>
      </c>
      <c r="J117" t="s">
        <v>176</v>
      </c>
    </row>
    <row r="118" spans="1:10" x14ac:dyDescent="0.3">
      <c r="A118" t="s">
        <v>250</v>
      </c>
      <c r="B118" t="s">
        <v>76</v>
      </c>
      <c r="C118" t="s">
        <v>178</v>
      </c>
      <c r="D118" s="46">
        <v>45880</v>
      </c>
      <c r="E118" t="s">
        <v>51</v>
      </c>
      <c r="F118">
        <v>-1</v>
      </c>
      <c r="G118">
        <v>12421.99</v>
      </c>
      <c r="H118">
        <v>-12421.99</v>
      </c>
      <c r="I118">
        <v>-12421.99</v>
      </c>
      <c r="J118" t="s">
        <v>176</v>
      </c>
    </row>
    <row r="119" spans="1:10" x14ac:dyDescent="0.3">
      <c r="A119" t="s">
        <v>251</v>
      </c>
      <c r="B119" t="s">
        <v>54</v>
      </c>
      <c r="C119" t="s">
        <v>137</v>
      </c>
      <c r="D119" s="46">
        <v>45880</v>
      </c>
      <c r="E119" t="s">
        <v>55</v>
      </c>
      <c r="F119">
        <v>-1</v>
      </c>
      <c r="G119">
        <v>2419722.64</v>
      </c>
      <c r="H119">
        <v>-2419722.64</v>
      </c>
      <c r="I119">
        <v>-2927864.39</v>
      </c>
      <c r="J119" t="s">
        <v>176</v>
      </c>
    </row>
    <row r="120" spans="1:10" x14ac:dyDescent="0.3">
      <c r="A120" t="s">
        <v>252</v>
      </c>
      <c r="B120" t="s">
        <v>49</v>
      </c>
      <c r="C120" t="s">
        <v>178</v>
      </c>
      <c r="D120" s="46">
        <v>45880</v>
      </c>
      <c r="E120" t="s">
        <v>50</v>
      </c>
      <c r="F120">
        <v>-1</v>
      </c>
      <c r="G120">
        <v>1879407.03</v>
      </c>
      <c r="H120">
        <v>-1879407.03</v>
      </c>
      <c r="I120">
        <v>-2274082.5099999998</v>
      </c>
      <c r="J120" t="s">
        <v>176</v>
      </c>
    </row>
    <row r="121" spans="1:10" x14ac:dyDescent="0.3">
      <c r="A121" t="s">
        <v>253</v>
      </c>
      <c r="B121" t="s">
        <v>27</v>
      </c>
      <c r="C121" t="s">
        <v>137</v>
      </c>
      <c r="D121" s="46">
        <v>45880</v>
      </c>
      <c r="E121" t="s">
        <v>51</v>
      </c>
      <c r="F121">
        <v>-1</v>
      </c>
      <c r="G121">
        <v>114000</v>
      </c>
      <c r="H121">
        <v>-114000</v>
      </c>
      <c r="I121">
        <v>-137940</v>
      </c>
      <c r="J121" t="s">
        <v>176</v>
      </c>
    </row>
    <row r="122" spans="1:10" x14ac:dyDescent="0.3">
      <c r="A122" t="s">
        <v>254</v>
      </c>
      <c r="B122" t="s">
        <v>49</v>
      </c>
      <c r="C122" t="s">
        <v>178</v>
      </c>
      <c r="D122" s="46">
        <v>45880</v>
      </c>
      <c r="E122" t="s">
        <v>50</v>
      </c>
      <c r="F122">
        <v>-6</v>
      </c>
      <c r="G122">
        <v>63645.59</v>
      </c>
      <c r="H122">
        <v>-381873.54</v>
      </c>
      <c r="I122">
        <v>-462066.98</v>
      </c>
      <c r="J122" t="s">
        <v>176</v>
      </c>
    </row>
    <row r="123" spans="1:10" x14ac:dyDescent="0.3">
      <c r="A123" t="s">
        <v>255</v>
      </c>
      <c r="B123" t="s">
        <v>66</v>
      </c>
      <c r="C123" t="s">
        <v>137</v>
      </c>
      <c r="D123" s="46">
        <v>45880</v>
      </c>
      <c r="E123" t="s">
        <v>256</v>
      </c>
      <c r="F123">
        <v>-1</v>
      </c>
      <c r="G123">
        <v>4269240</v>
      </c>
      <c r="H123">
        <v>-4269240</v>
      </c>
      <c r="I123">
        <v>-4269240</v>
      </c>
      <c r="J123" t="s">
        <v>176</v>
      </c>
    </row>
    <row r="124" spans="1:10" x14ac:dyDescent="0.3">
      <c r="A124" t="s">
        <v>257</v>
      </c>
      <c r="B124" t="s">
        <v>49</v>
      </c>
      <c r="C124" t="s">
        <v>178</v>
      </c>
      <c r="D124" s="46">
        <v>45880</v>
      </c>
      <c r="E124" t="s">
        <v>50</v>
      </c>
      <c r="F124">
        <v>-1</v>
      </c>
      <c r="G124">
        <v>1853644.56</v>
      </c>
      <c r="H124">
        <v>-1853644.56</v>
      </c>
      <c r="I124">
        <v>-2242909.92</v>
      </c>
      <c r="J124" t="s">
        <v>176</v>
      </c>
    </row>
    <row r="125" spans="1:10" x14ac:dyDescent="0.3">
      <c r="A125" t="s">
        <v>258</v>
      </c>
      <c r="B125" t="s">
        <v>67</v>
      </c>
      <c r="C125" t="s">
        <v>137</v>
      </c>
      <c r="D125" s="46">
        <v>45878</v>
      </c>
      <c r="E125" t="s">
        <v>259</v>
      </c>
      <c r="F125">
        <v>-1</v>
      </c>
      <c r="G125">
        <v>2300000</v>
      </c>
      <c r="H125">
        <v>-2300000</v>
      </c>
      <c r="I125">
        <v>-2783000</v>
      </c>
      <c r="J125" t="s">
        <v>176</v>
      </c>
    </row>
    <row r="126" spans="1:10" x14ac:dyDescent="0.3">
      <c r="A126" t="s">
        <v>260</v>
      </c>
      <c r="B126" t="s">
        <v>89</v>
      </c>
      <c r="C126" t="s">
        <v>137</v>
      </c>
      <c r="D126" s="46">
        <v>45878</v>
      </c>
      <c r="E126" t="s">
        <v>95</v>
      </c>
      <c r="F126">
        <v>-1</v>
      </c>
      <c r="G126">
        <v>3711050</v>
      </c>
      <c r="H126">
        <v>-3711050</v>
      </c>
      <c r="I126">
        <v>-4490370.5</v>
      </c>
      <c r="J126" t="s">
        <v>176</v>
      </c>
    </row>
    <row r="127" spans="1:10" x14ac:dyDescent="0.3">
      <c r="A127" t="s">
        <v>261</v>
      </c>
      <c r="B127" t="s">
        <v>90</v>
      </c>
      <c r="D127" s="46">
        <v>45877</v>
      </c>
      <c r="F127">
        <v>-1</v>
      </c>
      <c r="G127">
        <v>373517</v>
      </c>
      <c r="H127">
        <v>-373517</v>
      </c>
      <c r="I127">
        <v>-373517</v>
      </c>
      <c r="J127" t="s">
        <v>176</v>
      </c>
    </row>
    <row r="128" spans="1:10" x14ac:dyDescent="0.3">
      <c r="A128" t="s">
        <v>262</v>
      </c>
      <c r="B128" t="s">
        <v>44</v>
      </c>
      <c r="C128" t="s">
        <v>137</v>
      </c>
      <c r="D128" s="46">
        <v>45877</v>
      </c>
      <c r="E128" t="s">
        <v>263</v>
      </c>
      <c r="F128">
        <v>-1</v>
      </c>
      <c r="G128">
        <v>179250</v>
      </c>
      <c r="H128">
        <v>-179250</v>
      </c>
      <c r="I128">
        <v>-216892.5</v>
      </c>
      <c r="J128" t="s">
        <v>176</v>
      </c>
    </row>
    <row r="129" spans="1:10" x14ac:dyDescent="0.3">
      <c r="A129" t="s">
        <v>264</v>
      </c>
      <c r="B129" t="s">
        <v>90</v>
      </c>
      <c r="D129" s="46">
        <v>45877</v>
      </c>
      <c r="F129">
        <v>-1</v>
      </c>
      <c r="G129">
        <v>856116</v>
      </c>
      <c r="H129">
        <v>-856116</v>
      </c>
      <c r="I129">
        <v>-856116</v>
      </c>
      <c r="J129" t="s">
        <v>176</v>
      </c>
    </row>
    <row r="130" spans="1:10" x14ac:dyDescent="0.3">
      <c r="A130" t="s">
        <v>265</v>
      </c>
      <c r="B130" t="s">
        <v>90</v>
      </c>
      <c r="D130" s="46">
        <v>45877</v>
      </c>
      <c r="F130">
        <v>-1</v>
      </c>
      <c r="G130">
        <v>515224</v>
      </c>
      <c r="H130">
        <v>-515224</v>
      </c>
      <c r="I130">
        <v>-515224</v>
      </c>
      <c r="J130" t="s">
        <v>176</v>
      </c>
    </row>
    <row r="131" spans="1:10" x14ac:dyDescent="0.3">
      <c r="A131" t="s">
        <v>266</v>
      </c>
      <c r="B131" t="s">
        <v>63</v>
      </c>
      <c r="C131" t="s">
        <v>216</v>
      </c>
      <c r="D131" s="46">
        <v>45876</v>
      </c>
      <c r="E131" t="s">
        <v>259</v>
      </c>
      <c r="F131">
        <v>-1</v>
      </c>
      <c r="G131">
        <v>349000</v>
      </c>
      <c r="H131">
        <v>-349000</v>
      </c>
      <c r="I131">
        <v>-349000</v>
      </c>
      <c r="J131" t="s">
        <v>176</v>
      </c>
    </row>
    <row r="132" spans="1:10" x14ac:dyDescent="0.3">
      <c r="A132" t="s">
        <v>267</v>
      </c>
      <c r="B132" t="s">
        <v>37</v>
      </c>
      <c r="C132" t="s">
        <v>137</v>
      </c>
      <c r="D132" s="46">
        <v>45876</v>
      </c>
      <c r="E132" t="s">
        <v>53</v>
      </c>
      <c r="F132">
        <v>1</v>
      </c>
      <c r="G132">
        <v>121880.22</v>
      </c>
      <c r="H132">
        <v>121880.22</v>
      </c>
      <c r="I132">
        <v>147475.07</v>
      </c>
      <c r="J132" t="s">
        <v>176</v>
      </c>
    </row>
    <row r="133" spans="1:10" x14ac:dyDescent="0.3">
      <c r="A133" t="s">
        <v>268</v>
      </c>
      <c r="B133" t="s">
        <v>49</v>
      </c>
      <c r="C133" t="s">
        <v>178</v>
      </c>
      <c r="D133" s="46">
        <v>45876</v>
      </c>
      <c r="E133" t="s">
        <v>50</v>
      </c>
      <c r="F133">
        <v>-48</v>
      </c>
      <c r="G133">
        <v>9389.5300000000007</v>
      </c>
      <c r="H133">
        <v>-450697.44</v>
      </c>
      <c r="I133">
        <v>-545343.9</v>
      </c>
      <c r="J133" t="s">
        <v>176</v>
      </c>
    </row>
    <row r="134" spans="1:10" x14ac:dyDescent="0.3">
      <c r="A134" t="s">
        <v>268</v>
      </c>
      <c r="B134" t="s">
        <v>49</v>
      </c>
      <c r="C134" t="s">
        <v>178</v>
      </c>
      <c r="D134" s="46">
        <v>45876</v>
      </c>
      <c r="E134" t="s">
        <v>50</v>
      </c>
      <c r="F134">
        <v>-36</v>
      </c>
      <c r="G134">
        <v>8450.57</v>
      </c>
      <c r="H134">
        <v>-304220.52</v>
      </c>
      <c r="I134">
        <v>-368106.83</v>
      </c>
      <c r="J134" t="s">
        <v>176</v>
      </c>
    </row>
    <row r="135" spans="1:10" x14ac:dyDescent="0.3">
      <c r="A135" t="s">
        <v>269</v>
      </c>
      <c r="B135" t="s">
        <v>76</v>
      </c>
      <c r="C135" t="s">
        <v>178</v>
      </c>
      <c r="D135" s="46">
        <v>45875</v>
      </c>
      <c r="E135" t="s">
        <v>51</v>
      </c>
      <c r="F135">
        <v>-1</v>
      </c>
      <c r="G135">
        <v>15940.74</v>
      </c>
      <c r="H135">
        <v>-15940.74</v>
      </c>
      <c r="I135">
        <v>-15940.74</v>
      </c>
      <c r="J135" t="s">
        <v>176</v>
      </c>
    </row>
    <row r="136" spans="1:10" x14ac:dyDescent="0.3">
      <c r="A136" t="s">
        <v>270</v>
      </c>
      <c r="B136" t="s">
        <v>64</v>
      </c>
      <c r="C136" t="s">
        <v>137</v>
      </c>
      <c r="D136" s="46">
        <v>45875</v>
      </c>
      <c r="E136" t="s">
        <v>56</v>
      </c>
      <c r="F136">
        <v>-1</v>
      </c>
      <c r="G136">
        <v>1819116</v>
      </c>
      <c r="H136">
        <v>-1819116</v>
      </c>
      <c r="I136">
        <v>-1819116</v>
      </c>
      <c r="J136" t="s">
        <v>176</v>
      </c>
    </row>
    <row r="137" spans="1:10" x14ac:dyDescent="0.3">
      <c r="A137" t="s">
        <v>271</v>
      </c>
      <c r="B137" t="s">
        <v>65</v>
      </c>
      <c r="C137" t="s">
        <v>137</v>
      </c>
      <c r="D137" s="46">
        <v>45874</v>
      </c>
      <c r="E137" t="s">
        <v>256</v>
      </c>
      <c r="F137">
        <v>-1</v>
      </c>
      <c r="G137">
        <v>89000</v>
      </c>
      <c r="H137">
        <v>-89000</v>
      </c>
      <c r="I137">
        <v>-107690</v>
      </c>
      <c r="J137" t="s">
        <v>176</v>
      </c>
    </row>
    <row r="138" spans="1:10" x14ac:dyDescent="0.3">
      <c r="A138" t="s">
        <v>272</v>
      </c>
      <c r="B138" t="s">
        <v>76</v>
      </c>
      <c r="C138" t="s">
        <v>178</v>
      </c>
      <c r="D138" s="46">
        <v>45874</v>
      </c>
      <c r="E138" t="s">
        <v>51</v>
      </c>
      <c r="F138">
        <v>-1</v>
      </c>
      <c r="G138">
        <v>9976.86</v>
      </c>
      <c r="H138">
        <v>-9976.86</v>
      </c>
      <c r="I138">
        <v>-9976.86</v>
      </c>
      <c r="J138" t="s">
        <v>176</v>
      </c>
    </row>
    <row r="139" spans="1:10" x14ac:dyDescent="0.3">
      <c r="A139" t="s">
        <v>273</v>
      </c>
      <c r="B139" t="s">
        <v>60</v>
      </c>
      <c r="C139" t="s">
        <v>137</v>
      </c>
      <c r="D139" s="46">
        <v>45873</v>
      </c>
      <c r="E139" t="s">
        <v>61</v>
      </c>
      <c r="F139">
        <v>-1</v>
      </c>
      <c r="G139">
        <v>415000</v>
      </c>
      <c r="H139">
        <v>-415000</v>
      </c>
      <c r="I139">
        <v>-502150</v>
      </c>
      <c r="J139" t="s">
        <v>176</v>
      </c>
    </row>
    <row r="140" spans="1:10" x14ac:dyDescent="0.3">
      <c r="A140" t="s">
        <v>273</v>
      </c>
      <c r="B140" t="s">
        <v>60</v>
      </c>
      <c r="C140" t="s">
        <v>137</v>
      </c>
      <c r="D140" s="46">
        <v>45873</v>
      </c>
      <c r="E140" t="s">
        <v>61</v>
      </c>
      <c r="F140">
        <v>-1</v>
      </c>
      <c r="G140">
        <v>415000</v>
      </c>
      <c r="H140">
        <v>-415000</v>
      </c>
      <c r="I140">
        <v>-502150</v>
      </c>
      <c r="J140" t="s">
        <v>176</v>
      </c>
    </row>
    <row r="141" spans="1:10" x14ac:dyDescent="0.3">
      <c r="A141" t="s">
        <v>273</v>
      </c>
      <c r="B141" t="s">
        <v>60</v>
      </c>
      <c r="C141" t="s">
        <v>137</v>
      </c>
      <c r="D141" s="46">
        <v>45873</v>
      </c>
      <c r="E141" t="s">
        <v>61</v>
      </c>
      <c r="F141">
        <v>-1</v>
      </c>
      <c r="G141">
        <v>495000</v>
      </c>
      <c r="H141">
        <v>-495000</v>
      </c>
      <c r="I141">
        <v>-598950</v>
      </c>
      <c r="J141" t="s">
        <v>176</v>
      </c>
    </row>
    <row r="142" spans="1:10" x14ac:dyDescent="0.3">
      <c r="A142" t="s">
        <v>273</v>
      </c>
      <c r="B142" t="s">
        <v>60</v>
      </c>
      <c r="C142" t="s">
        <v>137</v>
      </c>
      <c r="D142" s="46">
        <v>45873</v>
      </c>
      <c r="E142" t="s">
        <v>61</v>
      </c>
      <c r="F142">
        <v>-1</v>
      </c>
      <c r="G142">
        <v>495000</v>
      </c>
      <c r="H142">
        <v>-495000</v>
      </c>
      <c r="I142">
        <v>-598950</v>
      </c>
      <c r="J142" t="s">
        <v>176</v>
      </c>
    </row>
    <row r="143" spans="1:10" x14ac:dyDescent="0.3">
      <c r="A143" t="s">
        <v>274</v>
      </c>
      <c r="B143" t="s">
        <v>35</v>
      </c>
      <c r="C143" t="s">
        <v>137</v>
      </c>
      <c r="D143" s="46">
        <v>45873</v>
      </c>
      <c r="E143" t="s">
        <v>225</v>
      </c>
      <c r="F143">
        <v>-1</v>
      </c>
      <c r="G143">
        <v>3356496</v>
      </c>
      <c r="H143">
        <v>-3356496</v>
      </c>
      <c r="I143">
        <v>-4061360.16</v>
      </c>
      <c r="J143" t="s">
        <v>176</v>
      </c>
    </row>
    <row r="144" spans="1:10" x14ac:dyDescent="0.3">
      <c r="A144" t="s">
        <v>275</v>
      </c>
      <c r="B144" t="s">
        <v>76</v>
      </c>
      <c r="C144" t="s">
        <v>178</v>
      </c>
      <c r="D144" s="46">
        <v>45873</v>
      </c>
      <c r="E144" t="s">
        <v>51</v>
      </c>
      <c r="F144">
        <v>-1</v>
      </c>
      <c r="G144">
        <v>12791.86</v>
      </c>
      <c r="H144">
        <v>-12791.86</v>
      </c>
      <c r="I144">
        <v>-12791.86</v>
      </c>
      <c r="J144" t="s">
        <v>176</v>
      </c>
    </row>
    <row r="145" spans="1:10" x14ac:dyDescent="0.3">
      <c r="A145" t="s">
        <v>276</v>
      </c>
      <c r="B145" t="s">
        <v>27</v>
      </c>
      <c r="C145" t="s">
        <v>137</v>
      </c>
      <c r="D145" s="46">
        <v>45873</v>
      </c>
      <c r="E145" t="s">
        <v>51</v>
      </c>
      <c r="F145">
        <v>-1</v>
      </c>
      <c r="G145">
        <v>114000</v>
      </c>
      <c r="H145">
        <v>-114000</v>
      </c>
      <c r="I145">
        <v>-137940</v>
      </c>
      <c r="J145" t="s">
        <v>176</v>
      </c>
    </row>
    <row r="146" spans="1:10" x14ac:dyDescent="0.3">
      <c r="A146" t="s">
        <v>273</v>
      </c>
      <c r="B146" t="s">
        <v>60</v>
      </c>
      <c r="C146" t="s">
        <v>137</v>
      </c>
      <c r="D146" s="46">
        <v>45873</v>
      </c>
      <c r="E146" t="s">
        <v>61</v>
      </c>
      <c r="F146">
        <v>-1</v>
      </c>
      <c r="G146">
        <v>415000</v>
      </c>
      <c r="H146">
        <v>-415000</v>
      </c>
      <c r="I146">
        <v>-502150</v>
      </c>
      <c r="J146" t="s">
        <v>176</v>
      </c>
    </row>
    <row r="147" spans="1:10" x14ac:dyDescent="0.3">
      <c r="A147" t="s">
        <v>277</v>
      </c>
      <c r="B147" t="s">
        <v>29</v>
      </c>
      <c r="C147" t="s">
        <v>216</v>
      </c>
      <c r="D147" s="46">
        <v>45873</v>
      </c>
      <c r="E147" t="s">
        <v>51</v>
      </c>
      <c r="F147">
        <v>-1</v>
      </c>
      <c r="G147">
        <v>1910882.71</v>
      </c>
      <c r="H147">
        <v>-1910882.71</v>
      </c>
      <c r="I147">
        <v>-2312168.08</v>
      </c>
      <c r="J147" t="s">
        <v>176</v>
      </c>
    </row>
    <row r="148" spans="1:10" x14ac:dyDescent="0.3">
      <c r="A148" t="s">
        <v>278</v>
      </c>
      <c r="B148" t="s">
        <v>89</v>
      </c>
      <c r="C148" t="s">
        <v>137</v>
      </c>
      <c r="D148" s="46">
        <v>45873</v>
      </c>
      <c r="E148" t="s">
        <v>95</v>
      </c>
      <c r="F148">
        <v>-1</v>
      </c>
      <c r="G148">
        <v>4103750</v>
      </c>
      <c r="H148">
        <v>-4103750</v>
      </c>
      <c r="I148">
        <v>-4965537.5</v>
      </c>
      <c r="J148" t="s">
        <v>176</v>
      </c>
    </row>
    <row r="149" spans="1:10" x14ac:dyDescent="0.3">
      <c r="A149" t="s">
        <v>279</v>
      </c>
      <c r="B149" t="s">
        <v>62</v>
      </c>
      <c r="C149" t="s">
        <v>137</v>
      </c>
      <c r="D149" s="46">
        <v>45872</v>
      </c>
      <c r="E149" t="s">
        <v>256</v>
      </c>
      <c r="F149">
        <v>-1</v>
      </c>
      <c r="G149">
        <v>350000</v>
      </c>
      <c r="H149">
        <v>-350000</v>
      </c>
      <c r="I149">
        <v>-423500</v>
      </c>
      <c r="J149" t="s">
        <v>176</v>
      </c>
    </row>
    <row r="150" spans="1:10" x14ac:dyDescent="0.3">
      <c r="A150" t="s">
        <v>280</v>
      </c>
      <c r="B150" t="s">
        <v>31</v>
      </c>
      <c r="C150" t="s">
        <v>137</v>
      </c>
      <c r="D150" s="46">
        <v>45871</v>
      </c>
      <c r="E150" t="s">
        <v>281</v>
      </c>
      <c r="F150">
        <v>-1</v>
      </c>
      <c r="G150">
        <v>436000</v>
      </c>
      <c r="H150">
        <v>-436000</v>
      </c>
      <c r="I150">
        <v>-436000</v>
      </c>
      <c r="J150" t="s">
        <v>176</v>
      </c>
    </row>
    <row r="151" spans="1:10" x14ac:dyDescent="0.3">
      <c r="A151" t="s">
        <v>282</v>
      </c>
      <c r="B151" t="s">
        <v>32</v>
      </c>
      <c r="C151" t="s">
        <v>137</v>
      </c>
      <c r="D151" s="46">
        <v>45870</v>
      </c>
      <c r="E151" t="s">
        <v>283</v>
      </c>
      <c r="F151">
        <v>-1</v>
      </c>
      <c r="G151">
        <v>249048.69</v>
      </c>
      <c r="H151">
        <v>-249048.69</v>
      </c>
      <c r="I151">
        <v>-275198.8</v>
      </c>
      <c r="J151" t="s">
        <v>176</v>
      </c>
    </row>
    <row r="152" spans="1:10" x14ac:dyDescent="0.3">
      <c r="A152" t="s">
        <v>284</v>
      </c>
      <c r="B152" t="s">
        <v>30</v>
      </c>
      <c r="C152" t="s">
        <v>137</v>
      </c>
      <c r="D152" s="46">
        <v>45870</v>
      </c>
      <c r="E152" t="s">
        <v>69</v>
      </c>
      <c r="F152">
        <v>-1</v>
      </c>
      <c r="G152">
        <v>1340000</v>
      </c>
      <c r="H152">
        <v>-1340000</v>
      </c>
      <c r="I152">
        <v>-1621400</v>
      </c>
      <c r="J152" t="s">
        <v>176</v>
      </c>
    </row>
    <row r="153" spans="1:10" x14ac:dyDescent="0.3">
      <c r="A153" t="s">
        <v>285</v>
      </c>
      <c r="B153" t="s">
        <v>70</v>
      </c>
      <c r="C153" t="s">
        <v>137</v>
      </c>
      <c r="D153" s="46">
        <v>45870</v>
      </c>
      <c r="E153" t="s">
        <v>286</v>
      </c>
      <c r="F153">
        <v>-1</v>
      </c>
      <c r="G153">
        <v>234281</v>
      </c>
      <c r="H153">
        <v>-234281</v>
      </c>
      <c r="I153">
        <v>-283480.01</v>
      </c>
      <c r="J153" t="s">
        <v>176</v>
      </c>
    </row>
    <row r="154" spans="1:10" x14ac:dyDescent="0.3">
      <c r="A154" t="s">
        <v>287</v>
      </c>
      <c r="B154" t="s">
        <v>68</v>
      </c>
      <c r="C154" t="s">
        <v>137</v>
      </c>
      <c r="D154" s="46">
        <v>45870</v>
      </c>
      <c r="E154" t="s">
        <v>69</v>
      </c>
      <c r="F154">
        <v>-1</v>
      </c>
      <c r="G154">
        <v>179525</v>
      </c>
      <c r="H154">
        <v>-179525</v>
      </c>
      <c r="I154">
        <v>-217225.25</v>
      </c>
      <c r="J154" t="s">
        <v>176</v>
      </c>
    </row>
    <row r="155" spans="1:10" x14ac:dyDescent="0.3">
      <c r="A155" t="s">
        <v>288</v>
      </c>
      <c r="B155" t="s">
        <v>289</v>
      </c>
      <c r="C155" t="s">
        <v>137</v>
      </c>
      <c r="D155" s="46">
        <v>45870</v>
      </c>
      <c r="E155" t="s">
        <v>56</v>
      </c>
      <c r="F155">
        <v>-1</v>
      </c>
      <c r="G155">
        <v>180000</v>
      </c>
      <c r="H155">
        <v>-180000</v>
      </c>
      <c r="I155">
        <v>-180000</v>
      </c>
      <c r="J155" t="s">
        <v>176</v>
      </c>
    </row>
    <row r="156" spans="1:10" x14ac:dyDescent="0.3">
      <c r="A156" t="s">
        <v>105</v>
      </c>
      <c r="B156" t="s">
        <v>78</v>
      </c>
      <c r="C156" t="s">
        <v>137</v>
      </c>
      <c r="D156" s="46">
        <v>45870</v>
      </c>
      <c r="E156" t="s">
        <v>56</v>
      </c>
      <c r="F156">
        <v>-1</v>
      </c>
      <c r="G156">
        <v>1500000</v>
      </c>
      <c r="H156">
        <v>-1500000</v>
      </c>
      <c r="I156">
        <v>-1500000</v>
      </c>
      <c r="J156" t="s">
        <v>176</v>
      </c>
    </row>
    <row r="157" spans="1:10" x14ac:dyDescent="0.3">
      <c r="B157" t="s">
        <v>290</v>
      </c>
      <c r="D157" s="46"/>
      <c r="E157" t="s">
        <v>291</v>
      </c>
      <c r="F157">
        <v>-100</v>
      </c>
      <c r="G157">
        <v>45000</v>
      </c>
      <c r="H157">
        <v>-4500000</v>
      </c>
      <c r="I157">
        <v>-4500000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85A8-2A4D-452E-8DE5-1647047D5C5F}">
  <dimension ref="A1:Z1544"/>
  <sheetViews>
    <sheetView workbookViewId="0"/>
  </sheetViews>
  <sheetFormatPr defaultColWidth="8.88671875" defaultRowHeight="14.4" x14ac:dyDescent="0.3"/>
  <cols>
    <col min="1" max="1" width="13.5546875" bestFit="1" customWidth="1"/>
    <col min="2" max="2" width="81.109375" bestFit="1" customWidth="1"/>
    <col min="3" max="3" width="9.44140625" bestFit="1" customWidth="1"/>
    <col min="4" max="4" width="13.6640625" bestFit="1" customWidth="1"/>
    <col min="5" max="5" width="30.5546875" bestFit="1" customWidth="1"/>
    <col min="6" max="6" width="24.109375" bestFit="1" customWidth="1"/>
    <col min="7" max="7" width="9.6640625" bestFit="1" customWidth="1"/>
    <col min="8" max="8" width="10.33203125" bestFit="1" customWidth="1"/>
    <col min="9" max="9" width="6" bestFit="1" customWidth="1"/>
    <col min="10" max="10" width="13.5546875" bestFit="1" customWidth="1"/>
    <col min="11" max="11" width="10.5546875" bestFit="1" customWidth="1"/>
    <col min="12" max="12" width="21" bestFit="1" customWidth="1"/>
    <col min="13" max="13" width="13.5546875" bestFit="1" customWidth="1"/>
    <col min="14" max="14" width="81.109375" bestFit="1" customWidth="1"/>
    <col min="15" max="15" width="23.44140625" bestFit="1" customWidth="1"/>
    <col min="16" max="16" width="40.109375" bestFit="1" customWidth="1"/>
    <col min="17" max="17" width="11.5546875" bestFit="1" customWidth="1"/>
    <col min="18" max="18" width="12" bestFit="1" customWidth="1"/>
    <col min="19" max="19" width="16.88671875" bestFit="1" customWidth="1"/>
    <col min="20" max="20" width="16" bestFit="1" customWidth="1"/>
    <col min="21" max="21" width="11.5546875" bestFit="1" customWidth="1"/>
    <col min="22" max="22" width="7" bestFit="1" customWidth="1"/>
    <col min="23" max="23" width="34.6640625" bestFit="1" customWidth="1"/>
    <col min="24" max="24" width="22.6640625" bestFit="1" customWidth="1"/>
    <col min="25" max="25" width="26.5546875" bestFit="1" customWidth="1"/>
    <col min="26" max="26" width="12" bestFit="1" customWidth="1"/>
  </cols>
  <sheetData>
    <row r="1" spans="1:26" x14ac:dyDescent="0.3">
      <c r="A1" t="s">
        <v>3600</v>
      </c>
      <c r="B1" t="s">
        <v>7</v>
      </c>
      <c r="C1" t="s">
        <v>8</v>
      </c>
      <c r="D1" t="s">
        <v>10</v>
      </c>
      <c r="E1" t="s">
        <v>42</v>
      </c>
      <c r="F1" t="s">
        <v>43</v>
      </c>
      <c r="G1" t="s">
        <v>13</v>
      </c>
      <c r="H1" t="s">
        <v>0</v>
      </c>
      <c r="I1" t="s">
        <v>1</v>
      </c>
      <c r="J1" t="s">
        <v>3601</v>
      </c>
      <c r="K1" t="s">
        <v>3602</v>
      </c>
      <c r="L1" t="s">
        <v>3603</v>
      </c>
      <c r="M1" t="s">
        <v>3604</v>
      </c>
      <c r="N1" t="s">
        <v>3605</v>
      </c>
      <c r="O1" t="s">
        <v>429</v>
      </c>
      <c r="P1" t="s">
        <v>3606</v>
      </c>
      <c r="Q1" t="s">
        <v>3607</v>
      </c>
      <c r="R1" t="s">
        <v>3608</v>
      </c>
      <c r="S1" t="s">
        <v>3609</v>
      </c>
      <c r="T1" t="s">
        <v>3610</v>
      </c>
      <c r="U1" t="s">
        <v>3611</v>
      </c>
      <c r="V1" t="s">
        <v>3612</v>
      </c>
      <c r="W1" t="s">
        <v>3613</v>
      </c>
      <c r="X1" t="s">
        <v>3614</v>
      </c>
      <c r="Y1" t="s">
        <v>3615</v>
      </c>
      <c r="Z1" t="s">
        <v>3616</v>
      </c>
    </row>
    <row r="2" spans="1:26" x14ac:dyDescent="0.3">
      <c r="A2" t="s">
        <v>431</v>
      </c>
      <c r="B2" t="s">
        <v>86</v>
      </c>
      <c r="C2">
        <v>1</v>
      </c>
      <c r="D2" t="s">
        <v>11</v>
      </c>
      <c r="E2" t="s">
        <v>20</v>
      </c>
      <c r="F2" t="s">
        <v>22</v>
      </c>
      <c r="H2" t="s">
        <v>71</v>
      </c>
      <c r="I2" t="s">
        <v>3617</v>
      </c>
      <c r="J2" t="s">
        <v>431</v>
      </c>
      <c r="K2" t="s">
        <v>430</v>
      </c>
      <c r="L2" t="s">
        <v>3618</v>
      </c>
      <c r="M2" t="s">
        <v>431</v>
      </c>
      <c r="N2" t="s">
        <v>86</v>
      </c>
      <c r="O2" t="s">
        <v>433</v>
      </c>
      <c r="P2" t="s">
        <v>432</v>
      </c>
      <c r="Q2" t="s">
        <v>3599</v>
      </c>
      <c r="R2" t="s">
        <v>3599</v>
      </c>
      <c r="S2" t="s">
        <v>3599</v>
      </c>
      <c r="T2">
        <v>1</v>
      </c>
      <c r="U2" t="s">
        <v>430</v>
      </c>
      <c r="V2">
        <v>2</v>
      </c>
      <c r="W2">
        <v>0</v>
      </c>
      <c r="X2">
        <v>1335837352.73</v>
      </c>
      <c r="Y2">
        <v>46900000</v>
      </c>
    </row>
    <row r="3" spans="1:26" x14ac:dyDescent="0.3">
      <c r="A3" t="s">
        <v>434</v>
      </c>
      <c r="B3" t="s">
        <v>89</v>
      </c>
      <c r="C3">
        <v>1</v>
      </c>
      <c r="D3" t="s">
        <v>11</v>
      </c>
      <c r="E3" t="s">
        <v>20</v>
      </c>
      <c r="F3" t="s">
        <v>22</v>
      </c>
      <c r="H3" t="s">
        <v>71</v>
      </c>
      <c r="I3" t="s">
        <v>3617</v>
      </c>
      <c r="J3" t="s">
        <v>434</v>
      </c>
      <c r="K3" t="s">
        <v>430</v>
      </c>
      <c r="L3" t="s">
        <v>3618</v>
      </c>
      <c r="M3" t="s">
        <v>434</v>
      </c>
      <c r="N3" t="s">
        <v>89</v>
      </c>
      <c r="O3" t="s">
        <v>436</v>
      </c>
      <c r="P3" t="s">
        <v>435</v>
      </c>
      <c r="Q3" t="s">
        <v>3599</v>
      </c>
      <c r="R3" t="s">
        <v>3599</v>
      </c>
      <c r="S3" t="s">
        <v>3599</v>
      </c>
      <c r="T3">
        <v>1</v>
      </c>
      <c r="U3" t="s">
        <v>430</v>
      </c>
      <c r="V3">
        <v>2</v>
      </c>
      <c r="W3">
        <v>0</v>
      </c>
      <c r="X3">
        <v>639566587.02999985</v>
      </c>
      <c r="Y3">
        <v>12400000</v>
      </c>
    </row>
    <row r="4" spans="1:26" x14ac:dyDescent="0.3">
      <c r="A4" t="s">
        <v>437</v>
      </c>
      <c r="B4" t="s">
        <v>438</v>
      </c>
      <c r="C4">
        <v>1</v>
      </c>
      <c r="D4" t="s">
        <v>11</v>
      </c>
      <c r="E4" t="s">
        <v>21</v>
      </c>
      <c r="F4" t="s">
        <v>22</v>
      </c>
      <c r="H4" t="s">
        <v>71</v>
      </c>
      <c r="I4" t="s">
        <v>3617</v>
      </c>
      <c r="J4" t="s">
        <v>437</v>
      </c>
      <c r="K4" t="s">
        <v>430</v>
      </c>
      <c r="L4" t="s">
        <v>3618</v>
      </c>
      <c r="M4" t="s">
        <v>437</v>
      </c>
      <c r="N4" t="s">
        <v>438</v>
      </c>
      <c r="O4" t="s">
        <v>440</v>
      </c>
      <c r="P4" t="s">
        <v>439</v>
      </c>
      <c r="Q4" t="s">
        <v>3599</v>
      </c>
      <c r="R4" t="s">
        <v>3599</v>
      </c>
      <c r="S4" t="s">
        <v>3599</v>
      </c>
      <c r="T4">
        <v>1</v>
      </c>
      <c r="U4" t="s">
        <v>430</v>
      </c>
      <c r="V4">
        <v>2</v>
      </c>
      <c r="W4">
        <v>0</v>
      </c>
      <c r="X4">
        <v>540803638.25</v>
      </c>
      <c r="Y4">
        <v>54100000</v>
      </c>
    </row>
    <row r="5" spans="1:26" x14ac:dyDescent="0.3">
      <c r="A5" t="s">
        <v>441</v>
      </c>
      <c r="B5" t="s">
        <v>54</v>
      </c>
      <c r="C5">
        <v>1</v>
      </c>
      <c r="D5" t="s">
        <v>11</v>
      </c>
      <c r="E5" t="s">
        <v>20</v>
      </c>
      <c r="F5" t="s">
        <v>22</v>
      </c>
      <c r="H5" t="s">
        <v>71</v>
      </c>
      <c r="I5" t="s">
        <v>3617</v>
      </c>
      <c r="J5" t="s">
        <v>441</v>
      </c>
      <c r="K5" t="s">
        <v>430</v>
      </c>
      <c r="L5" t="s">
        <v>3618</v>
      </c>
      <c r="M5" t="s">
        <v>441</v>
      </c>
      <c r="N5" t="s">
        <v>54</v>
      </c>
      <c r="O5" t="s">
        <v>442</v>
      </c>
      <c r="Q5" t="s">
        <v>3599</v>
      </c>
      <c r="R5" t="s">
        <v>3599</v>
      </c>
      <c r="S5" t="s">
        <v>3599</v>
      </c>
      <c r="T5">
        <v>1</v>
      </c>
      <c r="U5" t="s">
        <v>430</v>
      </c>
      <c r="V5">
        <v>2</v>
      </c>
      <c r="W5">
        <v>0</v>
      </c>
      <c r="X5">
        <v>442334352.72999972</v>
      </c>
      <c r="Y5">
        <v>4100000</v>
      </c>
    </row>
    <row r="6" spans="1:26" x14ac:dyDescent="0.3">
      <c r="A6" t="s">
        <v>443</v>
      </c>
      <c r="B6" t="s">
        <v>90</v>
      </c>
      <c r="C6">
        <v>1</v>
      </c>
      <c r="D6" t="s">
        <v>11</v>
      </c>
      <c r="E6" t="s">
        <v>20</v>
      </c>
      <c r="F6" t="s">
        <v>36</v>
      </c>
      <c r="H6" t="s">
        <v>71</v>
      </c>
      <c r="I6" t="s">
        <v>3617</v>
      </c>
      <c r="K6" t="s">
        <v>430</v>
      </c>
      <c r="L6" t="s">
        <v>3618</v>
      </c>
      <c r="N6" t="s">
        <v>90</v>
      </c>
      <c r="Q6" t="s">
        <v>3599</v>
      </c>
      <c r="R6" t="s">
        <v>3599</v>
      </c>
      <c r="S6" t="s">
        <v>3599</v>
      </c>
      <c r="T6">
        <v>1</v>
      </c>
      <c r="U6" t="s">
        <v>430</v>
      </c>
      <c r="V6">
        <v>1</v>
      </c>
      <c r="W6">
        <v>0</v>
      </c>
      <c r="X6">
        <v>412507282.59000003</v>
      </c>
      <c r="Y6">
        <v>11500000</v>
      </c>
    </row>
    <row r="7" spans="1:26" x14ac:dyDescent="0.3">
      <c r="A7" t="s">
        <v>444</v>
      </c>
      <c r="B7" t="s">
        <v>49</v>
      </c>
      <c r="C7">
        <v>1</v>
      </c>
      <c r="D7" t="s">
        <v>11</v>
      </c>
      <c r="E7" t="s">
        <v>20</v>
      </c>
      <c r="F7" t="s">
        <v>22</v>
      </c>
      <c r="H7" t="s">
        <v>71</v>
      </c>
      <c r="I7" t="s">
        <v>3617</v>
      </c>
      <c r="J7" t="s">
        <v>444</v>
      </c>
      <c r="K7" t="s">
        <v>430</v>
      </c>
      <c r="L7" t="s">
        <v>3618</v>
      </c>
      <c r="M7" t="s">
        <v>444</v>
      </c>
      <c r="N7" t="s">
        <v>49</v>
      </c>
      <c r="O7" t="s">
        <v>446</v>
      </c>
      <c r="P7" t="s">
        <v>445</v>
      </c>
      <c r="Q7" t="s">
        <v>3599</v>
      </c>
      <c r="R7" t="s">
        <v>3599</v>
      </c>
      <c r="S7" t="s">
        <v>3599</v>
      </c>
      <c r="T7">
        <v>1</v>
      </c>
      <c r="U7" t="s">
        <v>430</v>
      </c>
      <c r="V7">
        <v>2</v>
      </c>
      <c r="W7">
        <v>0</v>
      </c>
      <c r="X7">
        <v>295072231.75999987</v>
      </c>
      <c r="Y7">
        <v>3100000</v>
      </c>
    </row>
    <row r="8" spans="1:26" x14ac:dyDescent="0.3">
      <c r="A8" t="s">
        <v>447</v>
      </c>
      <c r="B8" t="s">
        <v>60</v>
      </c>
      <c r="C8">
        <v>1</v>
      </c>
      <c r="D8" t="s">
        <v>11</v>
      </c>
      <c r="E8" t="s">
        <v>20</v>
      </c>
      <c r="F8" t="s">
        <v>22</v>
      </c>
      <c r="H8" t="s">
        <v>71</v>
      </c>
      <c r="I8" t="s">
        <v>3617</v>
      </c>
      <c r="J8" t="s">
        <v>447</v>
      </c>
      <c r="K8" t="s">
        <v>430</v>
      </c>
      <c r="L8" t="s">
        <v>3618</v>
      </c>
      <c r="M8" t="s">
        <v>447</v>
      </c>
      <c r="N8" t="s">
        <v>60</v>
      </c>
      <c r="O8" t="s">
        <v>448</v>
      </c>
      <c r="Q8" t="s">
        <v>3599</v>
      </c>
      <c r="R8" t="s">
        <v>3599</v>
      </c>
      <c r="S8" t="s">
        <v>3599</v>
      </c>
      <c r="T8">
        <v>1</v>
      </c>
      <c r="U8" t="s">
        <v>430</v>
      </c>
      <c r="V8">
        <v>2</v>
      </c>
      <c r="W8">
        <v>0</v>
      </c>
      <c r="X8">
        <v>264414060.05000001</v>
      </c>
      <c r="Y8">
        <v>9800000</v>
      </c>
    </row>
    <row r="9" spans="1:26" x14ac:dyDescent="0.3">
      <c r="A9" t="s">
        <v>449</v>
      </c>
      <c r="B9" t="s">
        <v>450</v>
      </c>
      <c r="C9">
        <v>1</v>
      </c>
      <c r="D9" t="s">
        <v>11</v>
      </c>
      <c r="E9" t="s">
        <v>21</v>
      </c>
      <c r="F9" t="s">
        <v>36</v>
      </c>
      <c r="H9" t="s">
        <v>71</v>
      </c>
      <c r="I9" t="s">
        <v>3617</v>
      </c>
      <c r="K9" t="s">
        <v>430</v>
      </c>
      <c r="L9" t="s">
        <v>3618</v>
      </c>
      <c r="N9" t="s">
        <v>450</v>
      </c>
      <c r="Q9" t="s">
        <v>3599</v>
      </c>
      <c r="R9" t="s">
        <v>3599</v>
      </c>
      <c r="S9" t="s">
        <v>3599</v>
      </c>
      <c r="T9">
        <v>1</v>
      </c>
      <c r="U9" t="s">
        <v>430</v>
      </c>
      <c r="V9">
        <v>1</v>
      </c>
      <c r="W9">
        <v>0</v>
      </c>
      <c r="X9">
        <v>222416675</v>
      </c>
      <c r="Y9">
        <v>74100000</v>
      </c>
    </row>
    <row r="10" spans="1:26" x14ac:dyDescent="0.3">
      <c r="A10" t="s">
        <v>451</v>
      </c>
      <c r="B10" t="s">
        <v>452</v>
      </c>
      <c r="C10">
        <v>1</v>
      </c>
      <c r="D10" t="s">
        <v>11</v>
      </c>
      <c r="E10" t="s">
        <v>21</v>
      </c>
      <c r="F10" t="s">
        <v>22</v>
      </c>
      <c r="H10" t="s">
        <v>71</v>
      </c>
      <c r="I10" t="s">
        <v>3617</v>
      </c>
      <c r="J10" t="s">
        <v>451</v>
      </c>
      <c r="K10" t="s">
        <v>430</v>
      </c>
      <c r="L10" t="s">
        <v>3618</v>
      </c>
      <c r="M10" t="s">
        <v>451</v>
      </c>
      <c r="N10" t="s">
        <v>452</v>
      </c>
      <c r="Q10" t="s">
        <v>3599</v>
      </c>
      <c r="R10" t="s">
        <v>3599</v>
      </c>
      <c r="S10" t="s">
        <v>3599</v>
      </c>
      <c r="T10">
        <v>1</v>
      </c>
      <c r="U10" t="s">
        <v>430</v>
      </c>
      <c r="V10">
        <v>2</v>
      </c>
      <c r="W10">
        <v>0</v>
      </c>
      <c r="X10">
        <v>155685895</v>
      </c>
      <c r="Y10">
        <v>51900000</v>
      </c>
    </row>
    <row r="11" spans="1:26" x14ac:dyDescent="0.3">
      <c r="A11" t="s">
        <v>453</v>
      </c>
      <c r="B11" t="s">
        <v>35</v>
      </c>
      <c r="C11">
        <v>1</v>
      </c>
      <c r="D11" t="s">
        <v>11</v>
      </c>
      <c r="E11" t="s">
        <v>20</v>
      </c>
      <c r="F11" t="s">
        <v>22</v>
      </c>
      <c r="H11" t="s">
        <v>71</v>
      </c>
      <c r="I11" t="s">
        <v>3617</v>
      </c>
      <c r="J11" t="s">
        <v>453</v>
      </c>
      <c r="K11" t="s">
        <v>430</v>
      </c>
      <c r="L11" t="s">
        <v>3618</v>
      </c>
      <c r="M11" t="s">
        <v>453</v>
      </c>
      <c r="N11" t="s">
        <v>35</v>
      </c>
      <c r="O11" t="s">
        <v>454</v>
      </c>
      <c r="Q11" t="s">
        <v>3599</v>
      </c>
      <c r="R11" t="s">
        <v>3599</v>
      </c>
      <c r="S11" t="s">
        <v>3599</v>
      </c>
      <c r="T11">
        <v>1</v>
      </c>
      <c r="U11" t="s">
        <v>430</v>
      </c>
      <c r="V11">
        <v>3</v>
      </c>
      <c r="W11">
        <v>0</v>
      </c>
      <c r="X11">
        <v>136751818.72</v>
      </c>
      <c r="Y11">
        <v>6500000</v>
      </c>
    </row>
    <row r="12" spans="1:26" x14ac:dyDescent="0.3">
      <c r="A12" t="s">
        <v>455</v>
      </c>
      <c r="B12" t="s">
        <v>456</v>
      </c>
      <c r="C12">
        <v>1</v>
      </c>
      <c r="D12" t="s">
        <v>11</v>
      </c>
      <c r="E12" t="s">
        <v>20</v>
      </c>
      <c r="F12" t="s">
        <v>22</v>
      </c>
      <c r="H12" t="s">
        <v>71</v>
      </c>
      <c r="I12" t="s">
        <v>3617</v>
      </c>
      <c r="J12" t="s">
        <v>455</v>
      </c>
      <c r="K12" t="s">
        <v>430</v>
      </c>
      <c r="L12" t="s">
        <v>3618</v>
      </c>
      <c r="M12" t="s">
        <v>455</v>
      </c>
      <c r="N12" t="s">
        <v>456</v>
      </c>
      <c r="Q12" t="s">
        <v>3599</v>
      </c>
      <c r="R12" t="s">
        <v>3599</v>
      </c>
      <c r="S12" t="s">
        <v>3599</v>
      </c>
      <c r="T12">
        <v>1</v>
      </c>
      <c r="U12" t="s">
        <v>430</v>
      </c>
      <c r="V12">
        <v>2</v>
      </c>
      <c r="W12">
        <v>0</v>
      </c>
      <c r="X12">
        <v>110060127.22</v>
      </c>
      <c r="Y12">
        <v>110100000</v>
      </c>
    </row>
    <row r="13" spans="1:26" x14ac:dyDescent="0.3">
      <c r="A13" t="s">
        <v>457</v>
      </c>
      <c r="B13" t="s">
        <v>103</v>
      </c>
      <c r="C13">
        <v>1</v>
      </c>
      <c r="D13" t="s">
        <v>11</v>
      </c>
      <c r="E13" t="s">
        <v>20</v>
      </c>
      <c r="F13" t="s">
        <v>22</v>
      </c>
      <c r="H13" t="s">
        <v>71</v>
      </c>
      <c r="I13" t="s">
        <v>3617</v>
      </c>
      <c r="J13" t="s">
        <v>457</v>
      </c>
      <c r="K13" t="s">
        <v>430</v>
      </c>
      <c r="L13" t="s">
        <v>3618</v>
      </c>
      <c r="M13" t="s">
        <v>457</v>
      </c>
      <c r="N13" t="s">
        <v>103</v>
      </c>
      <c r="Q13" t="s">
        <v>3599</v>
      </c>
      <c r="R13" t="s">
        <v>3599</v>
      </c>
      <c r="S13" t="s">
        <v>3599</v>
      </c>
      <c r="T13">
        <v>1</v>
      </c>
      <c r="U13" t="s">
        <v>430</v>
      </c>
      <c r="V13">
        <v>2</v>
      </c>
      <c r="W13">
        <v>0</v>
      </c>
      <c r="X13">
        <v>109262217.06999999</v>
      </c>
      <c r="Y13">
        <v>7300000</v>
      </c>
    </row>
    <row r="14" spans="1:26" x14ac:dyDescent="0.3">
      <c r="A14" t="s">
        <v>458</v>
      </c>
      <c r="B14" t="s">
        <v>75</v>
      </c>
      <c r="C14">
        <v>1</v>
      </c>
      <c r="D14" t="s">
        <v>11</v>
      </c>
      <c r="E14" t="s">
        <v>20</v>
      </c>
      <c r="F14" t="s">
        <v>22</v>
      </c>
      <c r="H14" t="s">
        <v>71</v>
      </c>
      <c r="I14" t="s">
        <v>3617</v>
      </c>
      <c r="J14" t="s">
        <v>458</v>
      </c>
      <c r="K14" t="s">
        <v>430</v>
      </c>
      <c r="L14" t="s">
        <v>3618</v>
      </c>
      <c r="M14" t="s">
        <v>458</v>
      </c>
      <c r="N14" t="s">
        <v>75</v>
      </c>
      <c r="Q14" t="s">
        <v>3599</v>
      </c>
      <c r="R14" t="s">
        <v>3599</v>
      </c>
      <c r="S14" t="s">
        <v>3599</v>
      </c>
      <c r="T14">
        <v>1</v>
      </c>
      <c r="U14" t="s">
        <v>430</v>
      </c>
      <c r="V14">
        <v>2</v>
      </c>
      <c r="W14">
        <v>0</v>
      </c>
      <c r="X14">
        <v>99028637.349999994</v>
      </c>
      <c r="Y14">
        <v>19800000</v>
      </c>
    </row>
    <row r="15" spans="1:26" x14ac:dyDescent="0.3">
      <c r="A15" t="s">
        <v>459</v>
      </c>
      <c r="B15" t="s">
        <v>460</v>
      </c>
      <c r="C15">
        <v>1</v>
      </c>
      <c r="D15" t="s">
        <v>11</v>
      </c>
      <c r="E15" t="s">
        <v>21</v>
      </c>
      <c r="F15" t="s">
        <v>22</v>
      </c>
      <c r="H15" t="s">
        <v>71</v>
      </c>
      <c r="I15" t="s">
        <v>3617</v>
      </c>
      <c r="J15" t="s">
        <v>459</v>
      </c>
      <c r="K15" t="s">
        <v>430</v>
      </c>
      <c r="L15" t="s">
        <v>3618</v>
      </c>
      <c r="M15" t="s">
        <v>459</v>
      </c>
      <c r="N15" t="s">
        <v>460</v>
      </c>
      <c r="Q15" t="s">
        <v>3599</v>
      </c>
      <c r="R15" t="s">
        <v>3599</v>
      </c>
      <c r="S15" t="s">
        <v>3599</v>
      </c>
      <c r="T15">
        <v>1</v>
      </c>
      <c r="U15" t="s">
        <v>430</v>
      </c>
      <c r="V15">
        <v>2</v>
      </c>
      <c r="W15">
        <v>0</v>
      </c>
      <c r="X15">
        <v>89096426.099999994</v>
      </c>
      <c r="Y15">
        <v>17800000</v>
      </c>
    </row>
    <row r="16" spans="1:26" x14ac:dyDescent="0.3">
      <c r="A16" t="s">
        <v>461</v>
      </c>
      <c r="B16" t="s">
        <v>462</v>
      </c>
      <c r="C16">
        <v>1</v>
      </c>
      <c r="D16" t="s">
        <v>11</v>
      </c>
      <c r="E16" t="s">
        <v>21</v>
      </c>
      <c r="F16" t="s">
        <v>22</v>
      </c>
      <c r="H16" t="s">
        <v>71</v>
      </c>
      <c r="I16" t="s">
        <v>3617</v>
      </c>
      <c r="J16" t="s">
        <v>461</v>
      </c>
      <c r="K16" t="s">
        <v>430</v>
      </c>
      <c r="L16" t="s">
        <v>3618</v>
      </c>
      <c r="M16" t="s">
        <v>461</v>
      </c>
      <c r="N16" t="s">
        <v>462</v>
      </c>
      <c r="Q16" t="s">
        <v>3599</v>
      </c>
      <c r="R16" t="s">
        <v>3599</v>
      </c>
      <c r="S16" t="s">
        <v>3599</v>
      </c>
      <c r="T16">
        <v>1</v>
      </c>
      <c r="U16" t="s">
        <v>430</v>
      </c>
      <c r="V16">
        <v>2</v>
      </c>
      <c r="W16">
        <v>0</v>
      </c>
      <c r="X16">
        <v>65096730</v>
      </c>
      <c r="Y16">
        <v>13000000</v>
      </c>
    </row>
    <row r="17" spans="1:25" x14ac:dyDescent="0.3">
      <c r="A17" t="s">
        <v>463</v>
      </c>
      <c r="B17" t="s">
        <v>59</v>
      </c>
      <c r="C17">
        <v>1</v>
      </c>
      <c r="D17" t="s">
        <v>11</v>
      </c>
      <c r="E17" t="s">
        <v>21</v>
      </c>
      <c r="F17" t="s">
        <v>22</v>
      </c>
      <c r="H17" t="s">
        <v>71</v>
      </c>
      <c r="I17" t="s">
        <v>3617</v>
      </c>
      <c r="J17" t="s">
        <v>463</v>
      </c>
      <c r="K17" t="s">
        <v>430</v>
      </c>
      <c r="L17" t="s">
        <v>3618</v>
      </c>
      <c r="M17" t="s">
        <v>463</v>
      </c>
      <c r="N17" t="s">
        <v>59</v>
      </c>
      <c r="O17" t="s">
        <v>464</v>
      </c>
      <c r="Q17" t="s">
        <v>3599</v>
      </c>
      <c r="R17" t="s">
        <v>3599</v>
      </c>
      <c r="S17" t="s">
        <v>3599</v>
      </c>
      <c r="T17">
        <v>1</v>
      </c>
      <c r="U17" t="s">
        <v>430</v>
      </c>
      <c r="V17">
        <v>2</v>
      </c>
      <c r="W17">
        <v>0</v>
      </c>
      <c r="X17">
        <v>54410644.68</v>
      </c>
      <c r="Y17">
        <v>2000000</v>
      </c>
    </row>
    <row r="18" spans="1:25" x14ac:dyDescent="0.3">
      <c r="A18" t="s">
        <v>465</v>
      </c>
      <c r="B18" t="s">
        <v>67</v>
      </c>
      <c r="C18">
        <v>1</v>
      </c>
      <c r="D18" t="s">
        <v>11</v>
      </c>
      <c r="E18" t="s">
        <v>21</v>
      </c>
      <c r="F18" t="s">
        <v>22</v>
      </c>
      <c r="H18" t="s">
        <v>71</v>
      </c>
      <c r="I18" t="s">
        <v>3617</v>
      </c>
      <c r="J18" t="s">
        <v>465</v>
      </c>
      <c r="K18" t="s">
        <v>430</v>
      </c>
      <c r="L18" t="s">
        <v>3618</v>
      </c>
      <c r="M18" t="s">
        <v>465</v>
      </c>
      <c r="N18" t="s">
        <v>67</v>
      </c>
      <c r="O18" t="s">
        <v>466</v>
      </c>
      <c r="Q18" t="s">
        <v>3599</v>
      </c>
      <c r="R18" t="s">
        <v>3599</v>
      </c>
      <c r="S18" t="s">
        <v>3599</v>
      </c>
      <c r="T18">
        <v>1</v>
      </c>
      <c r="U18" t="s">
        <v>430</v>
      </c>
      <c r="V18">
        <v>2</v>
      </c>
      <c r="W18">
        <v>0</v>
      </c>
      <c r="X18">
        <v>45556500</v>
      </c>
      <c r="Y18">
        <v>4600000</v>
      </c>
    </row>
    <row r="19" spans="1:25" x14ac:dyDescent="0.3">
      <c r="A19" t="s">
        <v>467</v>
      </c>
      <c r="B19" t="s">
        <v>468</v>
      </c>
      <c r="C19">
        <v>1</v>
      </c>
      <c r="D19" t="s">
        <v>11</v>
      </c>
      <c r="E19" t="s">
        <v>21</v>
      </c>
      <c r="F19" t="s">
        <v>22</v>
      </c>
      <c r="H19" t="s">
        <v>71</v>
      </c>
      <c r="I19" t="s">
        <v>3617</v>
      </c>
      <c r="J19" t="s">
        <v>467</v>
      </c>
      <c r="K19" t="s">
        <v>430</v>
      </c>
      <c r="L19" t="s">
        <v>3618</v>
      </c>
      <c r="M19" t="s">
        <v>467</v>
      </c>
      <c r="N19" t="s">
        <v>468</v>
      </c>
      <c r="Q19" t="s">
        <v>3599</v>
      </c>
      <c r="R19" t="s">
        <v>3599</v>
      </c>
      <c r="S19" t="s">
        <v>3599</v>
      </c>
      <c r="T19">
        <v>1</v>
      </c>
      <c r="U19" t="s">
        <v>430</v>
      </c>
      <c r="V19">
        <v>3</v>
      </c>
      <c r="W19">
        <v>0</v>
      </c>
      <c r="X19">
        <v>42275887.5</v>
      </c>
      <c r="Y19">
        <v>84600000</v>
      </c>
    </row>
    <row r="20" spans="1:25" x14ac:dyDescent="0.3">
      <c r="A20" t="s">
        <v>469</v>
      </c>
      <c r="B20" t="s">
        <v>470</v>
      </c>
      <c r="C20">
        <v>1</v>
      </c>
      <c r="D20" t="s">
        <v>11</v>
      </c>
      <c r="E20" t="s">
        <v>21</v>
      </c>
      <c r="F20" t="s">
        <v>22</v>
      </c>
      <c r="H20" t="s">
        <v>71</v>
      </c>
      <c r="I20" t="s">
        <v>3617</v>
      </c>
      <c r="J20" t="s">
        <v>469</v>
      </c>
      <c r="K20" t="s">
        <v>430</v>
      </c>
      <c r="L20" t="s">
        <v>3618</v>
      </c>
      <c r="M20" t="s">
        <v>469</v>
      </c>
      <c r="N20" t="s">
        <v>470</v>
      </c>
      <c r="P20" t="s">
        <v>471</v>
      </c>
      <c r="Q20" t="s">
        <v>3599</v>
      </c>
      <c r="R20" t="s">
        <v>3599</v>
      </c>
      <c r="S20" t="s">
        <v>3599</v>
      </c>
      <c r="T20">
        <v>1</v>
      </c>
      <c r="U20" t="s">
        <v>430</v>
      </c>
      <c r="V20">
        <v>1</v>
      </c>
      <c r="W20">
        <v>0</v>
      </c>
      <c r="X20">
        <v>40384887.859999999</v>
      </c>
      <c r="Y20">
        <v>3200000</v>
      </c>
    </row>
    <row r="21" spans="1:25" x14ac:dyDescent="0.3">
      <c r="A21" t="s">
        <v>472</v>
      </c>
      <c r="B21" t="s">
        <v>473</v>
      </c>
      <c r="C21">
        <v>1</v>
      </c>
      <c r="D21" t="s">
        <v>11</v>
      </c>
      <c r="E21" t="s">
        <v>21</v>
      </c>
      <c r="F21" t="s">
        <v>22</v>
      </c>
      <c r="H21" t="s">
        <v>71</v>
      </c>
      <c r="I21" t="s">
        <v>3617</v>
      </c>
      <c r="J21" t="s">
        <v>472</v>
      </c>
      <c r="K21" t="s">
        <v>430</v>
      </c>
      <c r="L21" t="s">
        <v>3618</v>
      </c>
      <c r="M21" t="s">
        <v>472</v>
      </c>
      <c r="N21" t="s">
        <v>473</v>
      </c>
      <c r="Q21" t="s">
        <v>3599</v>
      </c>
      <c r="R21" t="s">
        <v>3599</v>
      </c>
      <c r="S21" t="s">
        <v>3599</v>
      </c>
      <c r="T21">
        <v>1</v>
      </c>
      <c r="U21" t="s">
        <v>430</v>
      </c>
      <c r="V21">
        <v>3</v>
      </c>
      <c r="W21">
        <v>0</v>
      </c>
      <c r="X21">
        <v>36686440.829999998</v>
      </c>
      <c r="Y21">
        <v>10500000</v>
      </c>
    </row>
    <row r="22" spans="1:25" x14ac:dyDescent="0.3">
      <c r="A22" t="s">
        <v>474</v>
      </c>
      <c r="B22" t="s">
        <v>66</v>
      </c>
      <c r="C22">
        <v>1</v>
      </c>
      <c r="D22" t="s">
        <v>11</v>
      </c>
      <c r="E22" t="s">
        <v>21</v>
      </c>
      <c r="F22" t="s">
        <v>22</v>
      </c>
      <c r="H22" t="s">
        <v>71</v>
      </c>
      <c r="I22" t="s">
        <v>3617</v>
      </c>
      <c r="J22" t="s">
        <v>474</v>
      </c>
      <c r="K22" t="s">
        <v>430</v>
      </c>
      <c r="L22" t="s">
        <v>3618</v>
      </c>
      <c r="M22" t="s">
        <v>474</v>
      </c>
      <c r="N22" t="s">
        <v>66</v>
      </c>
      <c r="Q22" t="s">
        <v>3599</v>
      </c>
      <c r="R22" t="s">
        <v>3599</v>
      </c>
      <c r="S22" t="s">
        <v>3599</v>
      </c>
      <c r="T22">
        <v>1</v>
      </c>
      <c r="U22" t="s">
        <v>430</v>
      </c>
      <c r="V22">
        <v>3</v>
      </c>
      <c r="W22">
        <v>0</v>
      </c>
      <c r="X22">
        <v>35956054.900000006</v>
      </c>
      <c r="Y22">
        <v>6500000</v>
      </c>
    </row>
    <row r="23" spans="1:25" x14ac:dyDescent="0.3">
      <c r="A23" t="s">
        <v>475</v>
      </c>
      <c r="B23" t="s">
        <v>98</v>
      </c>
      <c r="C23">
        <v>1</v>
      </c>
      <c r="D23" t="s">
        <v>11</v>
      </c>
      <c r="E23" t="s">
        <v>21</v>
      </c>
      <c r="F23" t="s">
        <v>22</v>
      </c>
      <c r="H23" t="s">
        <v>71</v>
      </c>
      <c r="I23" t="s">
        <v>3617</v>
      </c>
      <c r="J23" t="s">
        <v>475</v>
      </c>
      <c r="K23" t="s">
        <v>430</v>
      </c>
      <c r="L23" t="s">
        <v>3618</v>
      </c>
      <c r="M23" t="s">
        <v>475</v>
      </c>
      <c r="N23" t="s">
        <v>98</v>
      </c>
      <c r="Q23" t="s">
        <v>3599</v>
      </c>
      <c r="R23" t="s">
        <v>3599</v>
      </c>
      <c r="S23" t="s">
        <v>3599</v>
      </c>
      <c r="T23">
        <v>1</v>
      </c>
      <c r="U23" t="s">
        <v>430</v>
      </c>
      <c r="V23">
        <v>3</v>
      </c>
      <c r="W23">
        <v>0</v>
      </c>
      <c r="X23">
        <v>33946280.93</v>
      </c>
      <c r="Y23">
        <v>8500000</v>
      </c>
    </row>
    <row r="24" spans="1:25" x14ac:dyDescent="0.3">
      <c r="A24" t="s">
        <v>476</v>
      </c>
      <c r="B24" t="s">
        <v>477</v>
      </c>
      <c r="C24">
        <v>1</v>
      </c>
      <c r="D24" t="s">
        <v>11</v>
      </c>
      <c r="E24" t="s">
        <v>21</v>
      </c>
      <c r="F24" t="s">
        <v>22</v>
      </c>
      <c r="H24" t="s">
        <v>71</v>
      </c>
      <c r="I24" t="s">
        <v>3617</v>
      </c>
      <c r="J24" t="s">
        <v>476</v>
      </c>
      <c r="K24" t="s">
        <v>430</v>
      </c>
      <c r="L24" t="s">
        <v>3618</v>
      </c>
      <c r="M24" t="s">
        <v>476</v>
      </c>
      <c r="N24" t="s">
        <v>477</v>
      </c>
      <c r="Q24" t="s">
        <v>3599</v>
      </c>
      <c r="R24" t="s">
        <v>3599</v>
      </c>
      <c r="S24" t="s">
        <v>3599</v>
      </c>
      <c r="T24">
        <v>1</v>
      </c>
      <c r="U24" t="s">
        <v>430</v>
      </c>
      <c r="V24">
        <v>3</v>
      </c>
      <c r="W24">
        <v>0</v>
      </c>
      <c r="X24">
        <v>31000000.02</v>
      </c>
      <c r="Y24">
        <v>31000000</v>
      </c>
    </row>
    <row r="25" spans="1:25" x14ac:dyDescent="0.3">
      <c r="A25" t="s">
        <v>478</v>
      </c>
      <c r="B25" t="s">
        <v>479</v>
      </c>
      <c r="C25">
        <v>1</v>
      </c>
      <c r="D25" t="s">
        <v>11</v>
      </c>
      <c r="E25" t="s">
        <v>21</v>
      </c>
      <c r="F25" t="s">
        <v>22</v>
      </c>
      <c r="H25" t="s">
        <v>71</v>
      </c>
      <c r="I25" t="s">
        <v>3617</v>
      </c>
      <c r="J25" t="s">
        <v>478</v>
      </c>
      <c r="K25" t="s">
        <v>430</v>
      </c>
      <c r="L25" t="s">
        <v>3618</v>
      </c>
      <c r="M25" t="s">
        <v>478</v>
      </c>
      <c r="N25" t="s">
        <v>479</v>
      </c>
      <c r="O25" t="s">
        <v>480</v>
      </c>
      <c r="Q25" t="s">
        <v>3599</v>
      </c>
      <c r="R25" t="s">
        <v>3599</v>
      </c>
      <c r="S25" t="s">
        <v>3599</v>
      </c>
      <c r="T25">
        <v>1</v>
      </c>
      <c r="U25" t="s">
        <v>430</v>
      </c>
      <c r="V25">
        <v>3</v>
      </c>
      <c r="W25">
        <v>0</v>
      </c>
      <c r="X25">
        <v>30748919.300000001</v>
      </c>
      <c r="Y25">
        <v>7700000</v>
      </c>
    </row>
    <row r="26" spans="1:25" x14ac:dyDescent="0.3">
      <c r="A26" t="s">
        <v>481</v>
      </c>
      <c r="B26" t="s">
        <v>29</v>
      </c>
      <c r="C26">
        <v>1</v>
      </c>
      <c r="D26" t="s">
        <v>11</v>
      </c>
      <c r="E26" t="s">
        <v>21</v>
      </c>
      <c r="F26" t="s">
        <v>22</v>
      </c>
      <c r="H26" t="s">
        <v>71</v>
      </c>
      <c r="I26" t="s">
        <v>3617</v>
      </c>
      <c r="J26" t="s">
        <v>481</v>
      </c>
      <c r="K26" t="s">
        <v>430</v>
      </c>
      <c r="L26" t="s">
        <v>3618</v>
      </c>
      <c r="M26" t="s">
        <v>481</v>
      </c>
      <c r="N26" t="s">
        <v>29</v>
      </c>
      <c r="O26" t="s">
        <v>482</v>
      </c>
      <c r="Q26" t="s">
        <v>3599</v>
      </c>
      <c r="R26" t="s">
        <v>3599</v>
      </c>
      <c r="S26" t="s">
        <v>3599</v>
      </c>
      <c r="T26">
        <v>1</v>
      </c>
      <c r="U26" t="s">
        <v>430</v>
      </c>
      <c r="V26">
        <v>3</v>
      </c>
      <c r="W26">
        <v>0</v>
      </c>
      <c r="X26">
        <v>29678727.099999998</v>
      </c>
      <c r="Y26">
        <v>3100000</v>
      </c>
    </row>
    <row r="27" spans="1:25" x14ac:dyDescent="0.3">
      <c r="A27" t="s">
        <v>483</v>
      </c>
      <c r="B27" t="s">
        <v>484</v>
      </c>
      <c r="C27">
        <v>1</v>
      </c>
      <c r="D27" t="s">
        <v>11</v>
      </c>
      <c r="E27" t="s">
        <v>21</v>
      </c>
      <c r="F27" t="s">
        <v>22</v>
      </c>
      <c r="H27" t="s">
        <v>71</v>
      </c>
      <c r="I27" t="s">
        <v>3617</v>
      </c>
      <c r="J27" t="s">
        <v>483</v>
      </c>
      <c r="K27" t="s">
        <v>430</v>
      </c>
      <c r="L27" t="s">
        <v>3618</v>
      </c>
      <c r="M27" t="s">
        <v>483</v>
      </c>
      <c r="N27" t="s">
        <v>484</v>
      </c>
      <c r="Q27" t="s">
        <v>3599</v>
      </c>
      <c r="R27" t="s">
        <v>3599</v>
      </c>
      <c r="S27" t="s">
        <v>3599</v>
      </c>
      <c r="T27">
        <v>1</v>
      </c>
      <c r="U27" t="s">
        <v>430</v>
      </c>
      <c r="V27">
        <v>3</v>
      </c>
      <c r="W27">
        <v>0</v>
      </c>
      <c r="X27">
        <v>28881954.809999999</v>
      </c>
      <c r="Y27">
        <v>28900000</v>
      </c>
    </row>
    <row r="28" spans="1:25" x14ac:dyDescent="0.3">
      <c r="A28" t="s">
        <v>485</v>
      </c>
      <c r="B28" t="s">
        <v>486</v>
      </c>
      <c r="C28">
        <v>1</v>
      </c>
      <c r="D28" t="s">
        <v>11</v>
      </c>
      <c r="E28" t="s">
        <v>21</v>
      </c>
      <c r="F28" t="s">
        <v>22</v>
      </c>
      <c r="H28" t="s">
        <v>71</v>
      </c>
      <c r="I28" t="s">
        <v>3617</v>
      </c>
      <c r="J28" t="s">
        <v>485</v>
      </c>
      <c r="K28" t="s">
        <v>430</v>
      </c>
      <c r="L28" t="s">
        <v>3618</v>
      </c>
      <c r="M28" t="s">
        <v>485</v>
      </c>
      <c r="N28" t="s">
        <v>486</v>
      </c>
      <c r="O28" t="s">
        <v>487</v>
      </c>
      <c r="Q28" t="s">
        <v>3599</v>
      </c>
      <c r="R28" t="s">
        <v>3599</v>
      </c>
      <c r="S28" t="s">
        <v>3599</v>
      </c>
      <c r="T28">
        <v>1</v>
      </c>
      <c r="U28" t="s">
        <v>430</v>
      </c>
      <c r="V28">
        <v>3</v>
      </c>
      <c r="W28">
        <v>0</v>
      </c>
      <c r="X28">
        <v>26306820</v>
      </c>
      <c r="Y28">
        <v>52600000</v>
      </c>
    </row>
    <row r="29" spans="1:25" x14ac:dyDescent="0.3">
      <c r="A29" t="s">
        <v>485</v>
      </c>
      <c r="B29" t="s">
        <v>486</v>
      </c>
      <c r="C29">
        <v>1</v>
      </c>
      <c r="D29" t="s">
        <v>11</v>
      </c>
      <c r="E29" t="s">
        <v>21</v>
      </c>
      <c r="F29" t="s">
        <v>22</v>
      </c>
      <c r="H29" t="s">
        <v>71</v>
      </c>
      <c r="I29" t="s">
        <v>3617</v>
      </c>
      <c r="J29" t="s">
        <v>485</v>
      </c>
      <c r="K29" t="s">
        <v>430</v>
      </c>
      <c r="L29" t="s">
        <v>3618</v>
      </c>
      <c r="M29" t="s">
        <v>485</v>
      </c>
      <c r="N29" t="s">
        <v>486</v>
      </c>
      <c r="O29" t="s">
        <v>487</v>
      </c>
      <c r="Q29" t="s">
        <v>3599</v>
      </c>
      <c r="R29" t="s">
        <v>3599</v>
      </c>
      <c r="S29" t="s">
        <v>3599</v>
      </c>
      <c r="T29">
        <v>1</v>
      </c>
      <c r="U29" t="s">
        <v>430</v>
      </c>
      <c r="V29">
        <v>3</v>
      </c>
      <c r="W29">
        <v>0</v>
      </c>
      <c r="X29">
        <v>26306820</v>
      </c>
      <c r="Y29">
        <v>52600000</v>
      </c>
    </row>
    <row r="30" spans="1:25" x14ac:dyDescent="0.3">
      <c r="A30" t="s">
        <v>488</v>
      </c>
      <c r="B30" t="s">
        <v>30</v>
      </c>
      <c r="C30">
        <v>1</v>
      </c>
      <c r="D30" t="s">
        <v>11</v>
      </c>
      <c r="E30" t="s">
        <v>21</v>
      </c>
      <c r="F30" t="s">
        <v>22</v>
      </c>
      <c r="H30" t="s">
        <v>71</v>
      </c>
      <c r="I30" t="s">
        <v>3617</v>
      </c>
      <c r="J30" t="s">
        <v>488</v>
      </c>
      <c r="K30" t="s">
        <v>430</v>
      </c>
      <c r="L30" t="s">
        <v>3618</v>
      </c>
      <c r="M30" t="s">
        <v>488</v>
      </c>
      <c r="N30" t="s">
        <v>30</v>
      </c>
      <c r="O30" t="s">
        <v>489</v>
      </c>
      <c r="Q30" t="s">
        <v>3599</v>
      </c>
      <c r="R30" t="s">
        <v>3599</v>
      </c>
      <c r="S30" t="s">
        <v>3599</v>
      </c>
      <c r="T30">
        <v>1</v>
      </c>
      <c r="U30" t="s">
        <v>430</v>
      </c>
      <c r="V30">
        <v>3</v>
      </c>
      <c r="W30">
        <v>0</v>
      </c>
      <c r="X30">
        <v>25913438.32</v>
      </c>
      <c r="Y30">
        <v>2100000</v>
      </c>
    </row>
    <row r="31" spans="1:25" x14ac:dyDescent="0.3">
      <c r="A31" t="s">
        <v>490</v>
      </c>
      <c r="B31" t="s">
        <v>48</v>
      </c>
      <c r="C31">
        <v>1</v>
      </c>
      <c r="D31" t="s">
        <v>11</v>
      </c>
      <c r="E31" t="s">
        <v>21</v>
      </c>
      <c r="F31" t="s">
        <v>22</v>
      </c>
      <c r="H31" t="s">
        <v>71</v>
      </c>
      <c r="I31" t="s">
        <v>3617</v>
      </c>
      <c r="K31" t="s">
        <v>430</v>
      </c>
      <c r="L31" t="s">
        <v>3618</v>
      </c>
      <c r="N31" t="s">
        <v>48</v>
      </c>
      <c r="Q31" t="s">
        <v>3599</v>
      </c>
      <c r="R31" t="s">
        <v>3599</v>
      </c>
      <c r="S31" t="s">
        <v>3599</v>
      </c>
      <c r="T31">
        <v>1</v>
      </c>
      <c r="U31" t="s">
        <v>430</v>
      </c>
      <c r="V31">
        <v>4</v>
      </c>
      <c r="W31">
        <v>0</v>
      </c>
      <c r="X31">
        <v>23783406.740000002</v>
      </c>
      <c r="Y31">
        <v>3000000</v>
      </c>
    </row>
    <row r="32" spans="1:25" x14ac:dyDescent="0.3">
      <c r="A32" t="s">
        <v>491</v>
      </c>
      <c r="B32" t="s">
        <v>110</v>
      </c>
      <c r="C32">
        <v>1</v>
      </c>
      <c r="D32" t="s">
        <v>11</v>
      </c>
      <c r="E32" t="s">
        <v>21</v>
      </c>
      <c r="F32" t="s">
        <v>22</v>
      </c>
      <c r="H32" t="s">
        <v>71</v>
      </c>
      <c r="I32" t="s">
        <v>3617</v>
      </c>
      <c r="J32" t="s">
        <v>491</v>
      </c>
      <c r="K32" t="s">
        <v>430</v>
      </c>
      <c r="L32" t="s">
        <v>3618</v>
      </c>
      <c r="M32" t="s">
        <v>491</v>
      </c>
      <c r="N32" t="s">
        <v>110</v>
      </c>
      <c r="Q32" t="s">
        <v>3599</v>
      </c>
      <c r="R32" t="s">
        <v>3599</v>
      </c>
      <c r="S32" t="s">
        <v>3599</v>
      </c>
      <c r="T32">
        <v>1</v>
      </c>
      <c r="U32" t="s">
        <v>430</v>
      </c>
      <c r="V32">
        <v>4</v>
      </c>
      <c r="W32">
        <v>0</v>
      </c>
      <c r="X32">
        <v>22912728.710000001</v>
      </c>
      <c r="Y32">
        <v>7600000</v>
      </c>
    </row>
    <row r="33" spans="1:25" x14ac:dyDescent="0.3">
      <c r="A33" t="s">
        <v>492</v>
      </c>
      <c r="B33" t="s">
        <v>94</v>
      </c>
      <c r="C33">
        <v>1</v>
      </c>
      <c r="D33" t="s">
        <v>11</v>
      </c>
      <c r="E33" t="s">
        <v>21</v>
      </c>
      <c r="F33" t="s">
        <v>22</v>
      </c>
      <c r="H33" t="s">
        <v>71</v>
      </c>
      <c r="I33" t="s">
        <v>3617</v>
      </c>
      <c r="J33" t="s">
        <v>492</v>
      </c>
      <c r="K33" t="s">
        <v>430</v>
      </c>
      <c r="L33" t="s">
        <v>3618</v>
      </c>
      <c r="M33" t="s">
        <v>492</v>
      </c>
      <c r="N33" t="s">
        <v>94</v>
      </c>
      <c r="Q33" t="s">
        <v>3599</v>
      </c>
      <c r="R33" t="s">
        <v>3599</v>
      </c>
      <c r="S33" t="s">
        <v>3599</v>
      </c>
      <c r="T33">
        <v>1</v>
      </c>
      <c r="U33" t="s">
        <v>430</v>
      </c>
      <c r="V33">
        <v>4</v>
      </c>
      <c r="W33">
        <v>0</v>
      </c>
      <c r="X33">
        <v>21264640</v>
      </c>
      <c r="Y33">
        <v>21300000</v>
      </c>
    </row>
    <row r="34" spans="1:25" x14ac:dyDescent="0.3">
      <c r="A34" t="s">
        <v>493</v>
      </c>
      <c r="B34" t="s">
        <v>494</v>
      </c>
      <c r="C34">
        <v>1</v>
      </c>
      <c r="D34" t="s">
        <v>11</v>
      </c>
      <c r="E34" t="s">
        <v>21</v>
      </c>
      <c r="F34" t="s">
        <v>22</v>
      </c>
      <c r="H34" t="s">
        <v>71</v>
      </c>
      <c r="I34" t="s">
        <v>3617</v>
      </c>
      <c r="J34" t="s">
        <v>493</v>
      </c>
      <c r="K34" t="s">
        <v>430</v>
      </c>
      <c r="L34" t="s">
        <v>3618</v>
      </c>
      <c r="M34" t="s">
        <v>493</v>
      </c>
      <c r="N34" t="s">
        <v>494</v>
      </c>
      <c r="Q34" t="s">
        <v>3599</v>
      </c>
      <c r="R34" t="s">
        <v>3599</v>
      </c>
      <c r="S34" t="s">
        <v>3599</v>
      </c>
      <c r="T34">
        <v>1</v>
      </c>
      <c r="U34" t="s">
        <v>430</v>
      </c>
      <c r="V34">
        <v>4</v>
      </c>
      <c r="W34">
        <v>0</v>
      </c>
      <c r="X34">
        <v>20463053</v>
      </c>
      <c r="Y34">
        <v>20500000</v>
      </c>
    </row>
    <row r="35" spans="1:25" x14ac:dyDescent="0.3">
      <c r="A35" t="s">
        <v>495</v>
      </c>
      <c r="B35" t="s">
        <v>64</v>
      </c>
      <c r="C35">
        <v>1</v>
      </c>
      <c r="D35" t="s">
        <v>11</v>
      </c>
      <c r="E35" t="s">
        <v>21</v>
      </c>
      <c r="F35" t="s">
        <v>22</v>
      </c>
      <c r="H35" t="s">
        <v>71</v>
      </c>
      <c r="I35" t="s">
        <v>3617</v>
      </c>
      <c r="J35" t="s">
        <v>495</v>
      </c>
      <c r="K35" t="s">
        <v>430</v>
      </c>
      <c r="L35" t="s">
        <v>3618</v>
      </c>
      <c r="M35" t="s">
        <v>495</v>
      </c>
      <c r="N35" t="s">
        <v>64</v>
      </c>
      <c r="Q35" t="s">
        <v>3599</v>
      </c>
      <c r="R35" t="s">
        <v>3599</v>
      </c>
      <c r="S35" t="s">
        <v>3599</v>
      </c>
      <c r="T35">
        <v>1</v>
      </c>
      <c r="U35" t="s">
        <v>430</v>
      </c>
      <c r="V35">
        <v>4</v>
      </c>
      <c r="W35">
        <v>0</v>
      </c>
      <c r="X35">
        <v>18140296.939999998</v>
      </c>
      <c r="Y35">
        <v>3000000</v>
      </c>
    </row>
    <row r="36" spans="1:25" x14ac:dyDescent="0.3">
      <c r="A36" t="s">
        <v>496</v>
      </c>
      <c r="B36" t="s">
        <v>68</v>
      </c>
      <c r="C36">
        <v>1</v>
      </c>
      <c r="D36" t="s">
        <v>11</v>
      </c>
      <c r="E36" t="s">
        <v>21</v>
      </c>
      <c r="F36" t="s">
        <v>22</v>
      </c>
      <c r="H36" t="s">
        <v>71</v>
      </c>
      <c r="I36" t="s">
        <v>3617</v>
      </c>
      <c r="J36" t="s">
        <v>496</v>
      </c>
      <c r="K36" t="s">
        <v>430</v>
      </c>
      <c r="L36" t="s">
        <v>3618</v>
      </c>
      <c r="M36" t="s">
        <v>496</v>
      </c>
      <c r="N36" t="s">
        <v>68</v>
      </c>
      <c r="O36" t="s">
        <v>489</v>
      </c>
      <c r="Q36" t="s">
        <v>3599</v>
      </c>
      <c r="R36" t="s">
        <v>3599</v>
      </c>
      <c r="S36" t="s">
        <v>3599</v>
      </c>
      <c r="T36">
        <v>1</v>
      </c>
      <c r="U36" t="s">
        <v>430</v>
      </c>
      <c r="V36">
        <v>4</v>
      </c>
      <c r="W36">
        <v>0</v>
      </c>
      <c r="X36">
        <v>16413582.08</v>
      </c>
      <c r="Y36">
        <v>1200000</v>
      </c>
    </row>
    <row r="37" spans="1:25" x14ac:dyDescent="0.3">
      <c r="A37" t="s">
        <v>497</v>
      </c>
      <c r="B37" t="s">
        <v>78</v>
      </c>
      <c r="C37">
        <v>1</v>
      </c>
      <c r="D37" t="s">
        <v>11</v>
      </c>
      <c r="E37" t="s">
        <v>21</v>
      </c>
      <c r="F37" t="s">
        <v>22</v>
      </c>
      <c r="H37" t="s">
        <v>71</v>
      </c>
      <c r="I37" t="s">
        <v>3617</v>
      </c>
      <c r="J37" t="s">
        <v>497</v>
      </c>
      <c r="K37" t="s">
        <v>430</v>
      </c>
      <c r="L37" t="s">
        <v>3618</v>
      </c>
      <c r="M37" t="s">
        <v>497</v>
      </c>
      <c r="N37" t="s">
        <v>78</v>
      </c>
      <c r="Q37" t="s">
        <v>3599</v>
      </c>
      <c r="R37" t="s">
        <v>3599</v>
      </c>
      <c r="S37" t="s">
        <v>3599</v>
      </c>
      <c r="T37">
        <v>1</v>
      </c>
      <c r="U37" t="s">
        <v>430</v>
      </c>
      <c r="V37">
        <v>4</v>
      </c>
      <c r="W37">
        <v>0</v>
      </c>
      <c r="X37">
        <v>14100000</v>
      </c>
      <c r="Y37">
        <v>3100000</v>
      </c>
    </row>
    <row r="38" spans="1:25" x14ac:dyDescent="0.3">
      <c r="A38" t="s">
        <v>498</v>
      </c>
      <c r="B38" t="s">
        <v>499</v>
      </c>
      <c r="C38">
        <v>1</v>
      </c>
      <c r="D38" t="s">
        <v>11</v>
      </c>
      <c r="E38" t="s">
        <v>21</v>
      </c>
      <c r="F38" t="s">
        <v>22</v>
      </c>
      <c r="H38" t="s">
        <v>71</v>
      </c>
      <c r="I38" t="s">
        <v>3617</v>
      </c>
      <c r="J38" t="s">
        <v>498</v>
      </c>
      <c r="K38" t="s">
        <v>430</v>
      </c>
      <c r="L38" t="s">
        <v>3618</v>
      </c>
      <c r="M38" t="s">
        <v>498</v>
      </c>
      <c r="N38" t="s">
        <v>499</v>
      </c>
      <c r="O38" t="s">
        <v>500</v>
      </c>
      <c r="Q38" t="s">
        <v>3599</v>
      </c>
      <c r="R38" t="s">
        <v>3599</v>
      </c>
      <c r="S38" t="s">
        <v>3599</v>
      </c>
      <c r="T38">
        <v>1</v>
      </c>
      <c r="U38" t="s">
        <v>430</v>
      </c>
      <c r="V38">
        <v>4</v>
      </c>
      <c r="W38">
        <v>0</v>
      </c>
      <c r="X38">
        <v>13897097.789999999</v>
      </c>
      <c r="Y38">
        <v>9300000</v>
      </c>
    </row>
    <row r="39" spans="1:25" x14ac:dyDescent="0.3">
      <c r="A39" t="s">
        <v>501</v>
      </c>
      <c r="B39" t="s">
        <v>502</v>
      </c>
      <c r="C39">
        <v>1</v>
      </c>
      <c r="D39" t="s">
        <v>11</v>
      </c>
      <c r="E39" t="s">
        <v>21</v>
      </c>
      <c r="F39" t="s">
        <v>22</v>
      </c>
      <c r="H39" t="s">
        <v>71</v>
      </c>
      <c r="I39" t="s">
        <v>3617</v>
      </c>
      <c r="J39" t="s">
        <v>501</v>
      </c>
      <c r="K39" t="s">
        <v>430</v>
      </c>
      <c r="L39" t="s">
        <v>3618</v>
      </c>
      <c r="M39" t="s">
        <v>501</v>
      </c>
      <c r="N39" t="s">
        <v>502</v>
      </c>
      <c r="Q39" t="s">
        <v>3599</v>
      </c>
      <c r="R39" t="s">
        <v>3599</v>
      </c>
      <c r="S39" t="s">
        <v>3599</v>
      </c>
      <c r="T39">
        <v>1</v>
      </c>
      <c r="U39" t="s">
        <v>430</v>
      </c>
      <c r="V39">
        <v>4</v>
      </c>
      <c r="W39">
        <v>0</v>
      </c>
      <c r="X39">
        <v>13812500</v>
      </c>
      <c r="Y39">
        <v>13800000</v>
      </c>
    </row>
    <row r="40" spans="1:25" x14ac:dyDescent="0.3">
      <c r="A40" t="s">
        <v>503</v>
      </c>
      <c r="B40" t="s">
        <v>504</v>
      </c>
      <c r="C40">
        <v>1</v>
      </c>
      <c r="D40" t="s">
        <v>11</v>
      </c>
      <c r="E40" t="s">
        <v>21</v>
      </c>
      <c r="F40" t="s">
        <v>22</v>
      </c>
      <c r="H40" t="s">
        <v>71</v>
      </c>
      <c r="I40" t="s">
        <v>3617</v>
      </c>
      <c r="J40" t="s">
        <v>503</v>
      </c>
      <c r="K40" t="s">
        <v>430</v>
      </c>
      <c r="L40" t="s">
        <v>3618</v>
      </c>
      <c r="M40" t="s">
        <v>503</v>
      </c>
      <c r="N40" t="s">
        <v>504</v>
      </c>
      <c r="Q40" t="s">
        <v>3599</v>
      </c>
      <c r="R40" t="s">
        <v>3599</v>
      </c>
      <c r="S40" t="s">
        <v>3599</v>
      </c>
      <c r="T40">
        <v>1</v>
      </c>
      <c r="U40" t="s">
        <v>430</v>
      </c>
      <c r="V40">
        <v>4</v>
      </c>
      <c r="W40">
        <v>0</v>
      </c>
      <c r="X40">
        <v>13310000</v>
      </c>
      <c r="Y40">
        <v>6700000</v>
      </c>
    </row>
    <row r="41" spans="1:25" x14ac:dyDescent="0.3">
      <c r="A41" t="s">
        <v>505</v>
      </c>
      <c r="B41" t="s">
        <v>506</v>
      </c>
      <c r="C41">
        <v>1</v>
      </c>
      <c r="D41" t="s">
        <v>11</v>
      </c>
      <c r="E41" t="s">
        <v>21</v>
      </c>
      <c r="F41" t="s">
        <v>22</v>
      </c>
      <c r="H41" t="s">
        <v>71</v>
      </c>
      <c r="I41" t="s">
        <v>3617</v>
      </c>
      <c r="J41" t="s">
        <v>505</v>
      </c>
      <c r="K41" t="s">
        <v>430</v>
      </c>
      <c r="L41" t="s">
        <v>3618</v>
      </c>
      <c r="M41" t="s">
        <v>505</v>
      </c>
      <c r="N41" t="s">
        <v>506</v>
      </c>
      <c r="Q41" t="s">
        <v>3599</v>
      </c>
      <c r="R41" t="s">
        <v>3599</v>
      </c>
      <c r="S41" t="s">
        <v>3599</v>
      </c>
      <c r="T41">
        <v>1</v>
      </c>
      <c r="U41" t="s">
        <v>430</v>
      </c>
      <c r="V41">
        <v>4</v>
      </c>
      <c r="W41">
        <v>0</v>
      </c>
      <c r="X41">
        <v>12305200</v>
      </c>
      <c r="Y41">
        <v>6200000</v>
      </c>
    </row>
    <row r="42" spans="1:25" x14ac:dyDescent="0.3">
      <c r="A42" t="s">
        <v>507</v>
      </c>
      <c r="B42" t="s">
        <v>208</v>
      </c>
      <c r="C42">
        <v>1</v>
      </c>
      <c r="D42" t="s">
        <v>11</v>
      </c>
      <c r="E42" t="s">
        <v>21</v>
      </c>
      <c r="F42" t="s">
        <v>22</v>
      </c>
      <c r="H42" t="s">
        <v>71</v>
      </c>
      <c r="I42" t="s">
        <v>3617</v>
      </c>
      <c r="J42" t="s">
        <v>507</v>
      </c>
      <c r="K42" t="s">
        <v>430</v>
      </c>
      <c r="L42" t="s">
        <v>3618</v>
      </c>
      <c r="M42" t="s">
        <v>507</v>
      </c>
      <c r="N42" t="s">
        <v>208</v>
      </c>
      <c r="O42" t="s">
        <v>508</v>
      </c>
      <c r="Q42" t="s">
        <v>3599</v>
      </c>
      <c r="R42" t="s">
        <v>3599</v>
      </c>
      <c r="S42" t="s">
        <v>3599</v>
      </c>
      <c r="T42">
        <v>1</v>
      </c>
      <c r="U42" t="s">
        <v>430</v>
      </c>
      <c r="V42">
        <v>4</v>
      </c>
      <c r="W42">
        <v>0</v>
      </c>
      <c r="X42">
        <v>12276000</v>
      </c>
      <c r="Y42">
        <v>4100000</v>
      </c>
    </row>
    <row r="43" spans="1:25" x14ac:dyDescent="0.3">
      <c r="A43" t="s">
        <v>507</v>
      </c>
      <c r="B43" t="s">
        <v>208</v>
      </c>
      <c r="C43">
        <v>1</v>
      </c>
      <c r="D43" t="s">
        <v>11</v>
      </c>
      <c r="E43" t="s">
        <v>21</v>
      </c>
      <c r="F43" t="s">
        <v>22</v>
      </c>
      <c r="H43" t="s">
        <v>71</v>
      </c>
      <c r="I43" t="s">
        <v>3617</v>
      </c>
      <c r="J43" t="s">
        <v>507</v>
      </c>
      <c r="K43" t="s">
        <v>430</v>
      </c>
      <c r="L43" t="s">
        <v>3618</v>
      </c>
      <c r="M43" t="s">
        <v>507</v>
      </c>
      <c r="N43" t="s">
        <v>208</v>
      </c>
      <c r="Q43" t="s">
        <v>3599</v>
      </c>
      <c r="R43" t="s">
        <v>3599</v>
      </c>
      <c r="S43" t="s">
        <v>3599</v>
      </c>
      <c r="T43">
        <v>1</v>
      </c>
      <c r="U43" t="s">
        <v>430</v>
      </c>
      <c r="V43">
        <v>4</v>
      </c>
      <c r="W43">
        <v>0</v>
      </c>
      <c r="X43">
        <v>12276000</v>
      </c>
      <c r="Y43">
        <v>4100000</v>
      </c>
    </row>
    <row r="44" spans="1:25" x14ac:dyDescent="0.3">
      <c r="A44" t="s">
        <v>509</v>
      </c>
      <c r="B44" t="s">
        <v>510</v>
      </c>
      <c r="C44">
        <v>1</v>
      </c>
      <c r="D44" t="s">
        <v>11</v>
      </c>
      <c r="E44" t="s">
        <v>21</v>
      </c>
      <c r="F44" t="s">
        <v>22</v>
      </c>
      <c r="H44" t="s">
        <v>71</v>
      </c>
      <c r="I44" t="s">
        <v>3617</v>
      </c>
      <c r="J44" t="s">
        <v>509</v>
      </c>
      <c r="K44" t="s">
        <v>430</v>
      </c>
      <c r="L44" t="s">
        <v>3618</v>
      </c>
      <c r="M44" t="s">
        <v>509</v>
      </c>
      <c r="N44" t="s">
        <v>510</v>
      </c>
      <c r="Q44" t="s">
        <v>3599</v>
      </c>
      <c r="R44" t="s">
        <v>3599</v>
      </c>
      <c r="S44" t="s">
        <v>3599</v>
      </c>
      <c r="T44">
        <v>1</v>
      </c>
      <c r="U44" t="s">
        <v>430</v>
      </c>
      <c r="V44">
        <v>4</v>
      </c>
      <c r="W44">
        <v>0</v>
      </c>
      <c r="X44">
        <v>11572280.779999999</v>
      </c>
      <c r="Y44">
        <v>1400000</v>
      </c>
    </row>
    <row r="45" spans="1:25" x14ac:dyDescent="0.3">
      <c r="A45" t="s">
        <v>511</v>
      </c>
      <c r="B45" t="s">
        <v>512</v>
      </c>
      <c r="C45">
        <v>1</v>
      </c>
      <c r="D45" t="s">
        <v>11</v>
      </c>
      <c r="E45" t="s">
        <v>21</v>
      </c>
      <c r="F45" t="s">
        <v>22</v>
      </c>
      <c r="H45" t="s">
        <v>71</v>
      </c>
      <c r="I45" t="s">
        <v>3617</v>
      </c>
      <c r="J45" t="s">
        <v>511</v>
      </c>
      <c r="K45" t="s">
        <v>430</v>
      </c>
      <c r="L45" t="s">
        <v>3618</v>
      </c>
      <c r="M45" t="s">
        <v>511</v>
      </c>
      <c r="N45" t="s">
        <v>512</v>
      </c>
      <c r="O45" t="s">
        <v>513</v>
      </c>
      <c r="Q45" t="s">
        <v>3599</v>
      </c>
      <c r="R45" t="s">
        <v>3599</v>
      </c>
      <c r="S45" t="s">
        <v>3599</v>
      </c>
      <c r="T45">
        <v>1</v>
      </c>
      <c r="U45" t="s">
        <v>430</v>
      </c>
      <c r="V45">
        <v>4</v>
      </c>
      <c r="W45">
        <v>0</v>
      </c>
      <c r="X45">
        <v>10983041.630000001</v>
      </c>
      <c r="Y45">
        <v>5500000</v>
      </c>
    </row>
    <row r="46" spans="1:25" x14ac:dyDescent="0.3">
      <c r="A46" t="s">
        <v>514</v>
      </c>
      <c r="B46" t="s">
        <v>58</v>
      </c>
      <c r="C46">
        <v>1</v>
      </c>
      <c r="D46" t="s">
        <v>11</v>
      </c>
      <c r="E46" t="s">
        <v>21</v>
      </c>
      <c r="F46" t="s">
        <v>22</v>
      </c>
      <c r="H46" t="s">
        <v>71</v>
      </c>
      <c r="I46" t="s">
        <v>3617</v>
      </c>
      <c r="J46" t="s">
        <v>514</v>
      </c>
      <c r="K46" t="s">
        <v>430</v>
      </c>
      <c r="L46" t="s">
        <v>3618</v>
      </c>
      <c r="M46" t="s">
        <v>514</v>
      </c>
      <c r="N46" t="s">
        <v>58</v>
      </c>
      <c r="Q46" t="s">
        <v>3599</v>
      </c>
      <c r="R46" t="s">
        <v>3599</v>
      </c>
      <c r="S46" t="s">
        <v>3599</v>
      </c>
      <c r="T46">
        <v>1</v>
      </c>
      <c r="U46" t="s">
        <v>430</v>
      </c>
      <c r="V46">
        <v>4</v>
      </c>
      <c r="W46">
        <v>0</v>
      </c>
      <c r="X46">
        <v>10472041.24</v>
      </c>
      <c r="Y46">
        <v>4200000</v>
      </c>
    </row>
    <row r="47" spans="1:25" x14ac:dyDescent="0.3">
      <c r="A47" t="s">
        <v>515</v>
      </c>
      <c r="B47" t="s">
        <v>516</v>
      </c>
      <c r="C47">
        <v>1</v>
      </c>
      <c r="D47" t="s">
        <v>11</v>
      </c>
      <c r="E47" t="s">
        <v>21</v>
      </c>
      <c r="F47" t="s">
        <v>22</v>
      </c>
      <c r="H47" t="s">
        <v>71</v>
      </c>
      <c r="I47" t="s">
        <v>3617</v>
      </c>
      <c r="J47" t="s">
        <v>515</v>
      </c>
      <c r="K47" t="s">
        <v>430</v>
      </c>
      <c r="L47" t="s">
        <v>3618</v>
      </c>
      <c r="M47" t="s">
        <v>515</v>
      </c>
      <c r="N47" t="s">
        <v>516</v>
      </c>
      <c r="Q47" t="s">
        <v>3599</v>
      </c>
      <c r="R47" t="s">
        <v>3599</v>
      </c>
      <c r="S47" t="s">
        <v>3599</v>
      </c>
      <c r="T47">
        <v>1</v>
      </c>
      <c r="U47" t="s">
        <v>430</v>
      </c>
      <c r="V47">
        <v>4</v>
      </c>
      <c r="W47">
        <v>0</v>
      </c>
      <c r="X47">
        <v>10000000</v>
      </c>
      <c r="Y47">
        <v>20000000</v>
      </c>
    </row>
    <row r="48" spans="1:25" x14ac:dyDescent="0.3">
      <c r="A48" t="s">
        <v>517</v>
      </c>
      <c r="B48" t="s">
        <v>518</v>
      </c>
      <c r="C48">
        <v>1</v>
      </c>
      <c r="D48" t="s">
        <v>11</v>
      </c>
      <c r="E48" t="s">
        <v>21</v>
      </c>
      <c r="F48" t="s">
        <v>22</v>
      </c>
      <c r="H48" t="s">
        <v>71</v>
      </c>
      <c r="I48" t="s">
        <v>3617</v>
      </c>
      <c r="J48" t="s">
        <v>517</v>
      </c>
      <c r="K48" t="s">
        <v>430</v>
      </c>
      <c r="L48" t="s">
        <v>3618</v>
      </c>
      <c r="M48" t="s">
        <v>517</v>
      </c>
      <c r="N48" t="s">
        <v>518</v>
      </c>
      <c r="O48" t="s">
        <v>519</v>
      </c>
      <c r="Q48" t="s">
        <v>3599</v>
      </c>
      <c r="R48" t="s">
        <v>3599</v>
      </c>
      <c r="S48" t="s">
        <v>3599</v>
      </c>
      <c r="T48">
        <v>1</v>
      </c>
      <c r="U48" t="s">
        <v>430</v>
      </c>
      <c r="V48">
        <v>4</v>
      </c>
      <c r="W48">
        <v>0</v>
      </c>
      <c r="X48">
        <v>9971721.0999999978</v>
      </c>
      <c r="Y48">
        <v>1800000</v>
      </c>
    </row>
    <row r="49" spans="1:25" x14ac:dyDescent="0.3">
      <c r="A49" t="s">
        <v>520</v>
      </c>
      <c r="B49" t="s">
        <v>521</v>
      </c>
      <c r="C49">
        <v>1</v>
      </c>
      <c r="D49" t="s">
        <v>11</v>
      </c>
      <c r="E49" t="s">
        <v>21</v>
      </c>
      <c r="F49" t="s">
        <v>22</v>
      </c>
      <c r="H49" t="s">
        <v>71</v>
      </c>
      <c r="I49" t="s">
        <v>3617</v>
      </c>
      <c r="J49" t="s">
        <v>520</v>
      </c>
      <c r="K49" t="s">
        <v>430</v>
      </c>
      <c r="L49" t="s">
        <v>3618</v>
      </c>
      <c r="M49" t="s">
        <v>520</v>
      </c>
      <c r="N49" t="s">
        <v>521</v>
      </c>
      <c r="Q49" t="s">
        <v>3599</v>
      </c>
      <c r="R49" t="s">
        <v>3599</v>
      </c>
      <c r="S49" t="s">
        <v>3599</v>
      </c>
      <c r="T49">
        <v>1</v>
      </c>
      <c r="U49" t="s">
        <v>430</v>
      </c>
      <c r="V49">
        <v>4</v>
      </c>
      <c r="W49">
        <v>0</v>
      </c>
      <c r="X49">
        <v>9693310</v>
      </c>
      <c r="Y49">
        <v>3900000</v>
      </c>
    </row>
    <row r="50" spans="1:25" x14ac:dyDescent="0.3">
      <c r="A50" t="s">
        <v>522</v>
      </c>
      <c r="B50" t="s">
        <v>523</v>
      </c>
      <c r="C50">
        <v>1</v>
      </c>
      <c r="D50" t="s">
        <v>11</v>
      </c>
      <c r="E50" t="s">
        <v>21</v>
      </c>
      <c r="F50" t="s">
        <v>22</v>
      </c>
      <c r="H50" t="s">
        <v>71</v>
      </c>
      <c r="I50" t="s">
        <v>3617</v>
      </c>
      <c r="K50" t="s">
        <v>430</v>
      </c>
      <c r="L50" t="s">
        <v>3618</v>
      </c>
      <c r="N50" t="s">
        <v>523</v>
      </c>
      <c r="Q50" t="s">
        <v>3599</v>
      </c>
      <c r="R50" t="s">
        <v>3599</v>
      </c>
      <c r="S50" t="s">
        <v>3599</v>
      </c>
      <c r="T50">
        <v>1</v>
      </c>
      <c r="U50" t="s">
        <v>430</v>
      </c>
      <c r="V50">
        <v>4</v>
      </c>
      <c r="W50">
        <v>0</v>
      </c>
      <c r="X50">
        <v>9560561.7100000009</v>
      </c>
      <c r="Y50">
        <v>6400000</v>
      </c>
    </row>
    <row r="51" spans="1:25" x14ac:dyDescent="0.3">
      <c r="A51" t="s">
        <v>524</v>
      </c>
      <c r="B51" t="s">
        <v>46</v>
      </c>
      <c r="C51">
        <v>1</v>
      </c>
      <c r="D51" t="s">
        <v>11</v>
      </c>
      <c r="E51" t="s">
        <v>21</v>
      </c>
      <c r="F51" t="s">
        <v>22</v>
      </c>
      <c r="H51" t="s">
        <v>71</v>
      </c>
      <c r="I51" t="s">
        <v>3617</v>
      </c>
      <c r="J51" t="s">
        <v>524</v>
      </c>
      <c r="K51" t="s">
        <v>430</v>
      </c>
      <c r="L51" t="s">
        <v>3618</v>
      </c>
      <c r="M51" t="s">
        <v>524</v>
      </c>
      <c r="N51" t="s">
        <v>46</v>
      </c>
      <c r="O51" t="s">
        <v>525</v>
      </c>
      <c r="Q51" t="s">
        <v>3599</v>
      </c>
      <c r="R51" t="s">
        <v>3599</v>
      </c>
      <c r="S51" t="s">
        <v>3599</v>
      </c>
      <c r="T51">
        <v>1</v>
      </c>
      <c r="U51" t="s">
        <v>430</v>
      </c>
      <c r="V51">
        <v>4</v>
      </c>
      <c r="W51">
        <v>0</v>
      </c>
      <c r="X51">
        <v>9076806.5500000007</v>
      </c>
      <c r="Y51">
        <v>1000000</v>
      </c>
    </row>
    <row r="52" spans="1:25" x14ac:dyDescent="0.3">
      <c r="A52" t="s">
        <v>524</v>
      </c>
      <c r="B52" t="s">
        <v>46</v>
      </c>
      <c r="C52">
        <v>1</v>
      </c>
      <c r="D52" t="s">
        <v>11</v>
      </c>
      <c r="E52" t="s">
        <v>21</v>
      </c>
      <c r="F52" t="s">
        <v>22</v>
      </c>
      <c r="H52" t="s">
        <v>71</v>
      </c>
      <c r="I52" t="s">
        <v>3617</v>
      </c>
      <c r="J52" t="s">
        <v>524</v>
      </c>
      <c r="K52" t="s">
        <v>430</v>
      </c>
      <c r="L52" t="s">
        <v>3618</v>
      </c>
      <c r="M52" t="s">
        <v>524</v>
      </c>
      <c r="N52" t="s">
        <v>46</v>
      </c>
      <c r="Q52" t="s">
        <v>3599</v>
      </c>
      <c r="R52" t="s">
        <v>3599</v>
      </c>
      <c r="S52" t="s">
        <v>3599</v>
      </c>
      <c r="T52">
        <v>1</v>
      </c>
      <c r="U52" t="s">
        <v>430</v>
      </c>
      <c r="V52">
        <v>4</v>
      </c>
      <c r="W52">
        <v>0</v>
      </c>
      <c r="X52">
        <v>9076806.5500000007</v>
      </c>
      <c r="Y52">
        <v>1000000</v>
      </c>
    </row>
    <row r="53" spans="1:25" x14ac:dyDescent="0.3">
      <c r="A53" t="s">
        <v>526</v>
      </c>
      <c r="B53" t="s">
        <v>527</v>
      </c>
      <c r="C53">
        <v>1</v>
      </c>
      <c r="D53" t="s">
        <v>11</v>
      </c>
      <c r="E53" t="s">
        <v>21</v>
      </c>
      <c r="F53" t="s">
        <v>22</v>
      </c>
      <c r="H53" t="s">
        <v>71</v>
      </c>
      <c r="I53" t="s">
        <v>3617</v>
      </c>
      <c r="J53" t="s">
        <v>526</v>
      </c>
      <c r="K53" t="s">
        <v>430</v>
      </c>
      <c r="L53" t="s">
        <v>3618</v>
      </c>
      <c r="M53" t="s">
        <v>526</v>
      </c>
      <c r="N53" t="s">
        <v>527</v>
      </c>
      <c r="Q53" t="s">
        <v>3599</v>
      </c>
      <c r="R53" t="s">
        <v>3599</v>
      </c>
      <c r="S53" t="s">
        <v>3599</v>
      </c>
      <c r="T53">
        <v>1</v>
      </c>
      <c r="U53" t="s">
        <v>430</v>
      </c>
      <c r="V53">
        <v>4</v>
      </c>
      <c r="W53">
        <v>0</v>
      </c>
      <c r="X53">
        <v>8034439.1599999983</v>
      </c>
      <c r="Y53">
        <v>1800000</v>
      </c>
    </row>
    <row r="54" spans="1:25" x14ac:dyDescent="0.3">
      <c r="A54" t="s">
        <v>528</v>
      </c>
      <c r="B54" t="s">
        <v>31</v>
      </c>
      <c r="C54">
        <v>1</v>
      </c>
      <c r="D54" t="s">
        <v>11</v>
      </c>
      <c r="E54" t="s">
        <v>21</v>
      </c>
      <c r="F54" t="s">
        <v>22</v>
      </c>
      <c r="H54" t="s">
        <v>71</v>
      </c>
      <c r="I54" t="s">
        <v>3617</v>
      </c>
      <c r="J54" t="s">
        <v>528</v>
      </c>
      <c r="K54" t="s">
        <v>430</v>
      </c>
      <c r="L54" t="s">
        <v>3618</v>
      </c>
      <c r="M54" t="s">
        <v>528</v>
      </c>
      <c r="N54" t="s">
        <v>31</v>
      </c>
      <c r="O54" t="s">
        <v>529</v>
      </c>
      <c r="Q54" t="s">
        <v>3599</v>
      </c>
      <c r="R54" t="s">
        <v>3599</v>
      </c>
      <c r="S54" t="s">
        <v>3599</v>
      </c>
      <c r="T54">
        <v>1</v>
      </c>
      <c r="U54" t="s">
        <v>430</v>
      </c>
      <c r="V54">
        <v>4</v>
      </c>
      <c r="W54">
        <v>0</v>
      </c>
      <c r="X54">
        <v>7816450</v>
      </c>
      <c r="Y54">
        <v>800000</v>
      </c>
    </row>
    <row r="55" spans="1:25" x14ac:dyDescent="0.3">
      <c r="A55" t="s">
        <v>530</v>
      </c>
      <c r="B55" t="s">
        <v>63</v>
      </c>
      <c r="C55">
        <v>1</v>
      </c>
      <c r="D55" t="s">
        <v>11</v>
      </c>
      <c r="E55" t="s">
        <v>21</v>
      </c>
      <c r="F55" t="s">
        <v>22</v>
      </c>
      <c r="H55" t="s">
        <v>71</v>
      </c>
      <c r="I55" t="s">
        <v>3617</v>
      </c>
      <c r="J55" t="s">
        <v>530</v>
      </c>
      <c r="K55" t="s">
        <v>430</v>
      </c>
      <c r="L55" t="s">
        <v>3618</v>
      </c>
      <c r="M55" t="s">
        <v>530</v>
      </c>
      <c r="N55" t="s">
        <v>63</v>
      </c>
      <c r="O55" t="s">
        <v>531</v>
      </c>
      <c r="Q55" t="s">
        <v>3599</v>
      </c>
      <c r="R55" t="s">
        <v>3599</v>
      </c>
      <c r="S55" t="s">
        <v>3599</v>
      </c>
      <c r="T55">
        <v>1</v>
      </c>
      <c r="U55" t="s">
        <v>430</v>
      </c>
      <c r="V55">
        <v>4</v>
      </c>
      <c r="W55">
        <v>0</v>
      </c>
      <c r="X55">
        <v>7641000</v>
      </c>
      <c r="Y55">
        <v>800000</v>
      </c>
    </row>
    <row r="56" spans="1:25" x14ac:dyDescent="0.3">
      <c r="A56" t="s">
        <v>532</v>
      </c>
      <c r="B56" t="s">
        <v>533</v>
      </c>
      <c r="C56">
        <v>1</v>
      </c>
      <c r="D56" t="s">
        <v>11</v>
      </c>
      <c r="E56" t="s">
        <v>21</v>
      </c>
      <c r="F56" t="s">
        <v>22</v>
      </c>
      <c r="H56" t="s">
        <v>71</v>
      </c>
      <c r="I56" t="s">
        <v>3617</v>
      </c>
      <c r="J56" t="s">
        <v>532</v>
      </c>
      <c r="K56" t="s">
        <v>430</v>
      </c>
      <c r="L56" t="s">
        <v>3618</v>
      </c>
      <c r="M56" t="s">
        <v>532</v>
      </c>
      <c r="N56" t="s">
        <v>533</v>
      </c>
      <c r="Q56" t="s">
        <v>3599</v>
      </c>
      <c r="R56" t="s">
        <v>3599</v>
      </c>
      <c r="S56" t="s">
        <v>3599</v>
      </c>
      <c r="T56">
        <v>1</v>
      </c>
      <c r="U56" t="s">
        <v>430</v>
      </c>
      <c r="V56">
        <v>4</v>
      </c>
      <c r="W56">
        <v>0</v>
      </c>
      <c r="X56">
        <v>6948458</v>
      </c>
      <c r="Y56">
        <v>2000000</v>
      </c>
    </row>
    <row r="57" spans="1:25" x14ac:dyDescent="0.3">
      <c r="A57" t="s">
        <v>534</v>
      </c>
      <c r="B57" t="s">
        <v>535</v>
      </c>
      <c r="C57">
        <v>1</v>
      </c>
      <c r="D57" t="s">
        <v>11</v>
      </c>
      <c r="E57" t="s">
        <v>21</v>
      </c>
      <c r="F57" t="s">
        <v>22</v>
      </c>
      <c r="H57" t="s">
        <v>71</v>
      </c>
      <c r="I57" t="s">
        <v>3617</v>
      </c>
      <c r="K57" t="s">
        <v>430</v>
      </c>
      <c r="L57" t="s">
        <v>3618</v>
      </c>
      <c r="N57" t="s">
        <v>535</v>
      </c>
      <c r="Q57" t="s">
        <v>3599</v>
      </c>
      <c r="R57" t="s">
        <v>3599</v>
      </c>
      <c r="S57" t="s">
        <v>3599</v>
      </c>
      <c r="T57">
        <v>1</v>
      </c>
      <c r="U57" t="s">
        <v>430</v>
      </c>
      <c r="V57">
        <v>4</v>
      </c>
      <c r="W57">
        <v>0</v>
      </c>
      <c r="X57">
        <v>6773880.7599999998</v>
      </c>
      <c r="Y57">
        <v>3400000</v>
      </c>
    </row>
    <row r="58" spans="1:25" x14ac:dyDescent="0.3">
      <c r="A58" t="s">
        <v>536</v>
      </c>
      <c r="B58" t="s">
        <v>537</v>
      </c>
      <c r="C58">
        <v>1</v>
      </c>
      <c r="D58" t="s">
        <v>11</v>
      </c>
      <c r="E58" t="s">
        <v>21</v>
      </c>
      <c r="F58" t="s">
        <v>22</v>
      </c>
      <c r="H58" t="s">
        <v>71</v>
      </c>
      <c r="I58" t="s">
        <v>3617</v>
      </c>
      <c r="J58" t="s">
        <v>536</v>
      </c>
      <c r="K58" t="s">
        <v>430</v>
      </c>
      <c r="L58" t="s">
        <v>3618</v>
      </c>
      <c r="M58" t="s">
        <v>536</v>
      </c>
      <c r="N58" t="s">
        <v>537</v>
      </c>
      <c r="O58" t="s">
        <v>538</v>
      </c>
      <c r="Q58" t="s">
        <v>3599</v>
      </c>
      <c r="R58" t="s">
        <v>3599</v>
      </c>
      <c r="S58" t="s">
        <v>3599</v>
      </c>
      <c r="T58">
        <v>1</v>
      </c>
      <c r="U58" t="s">
        <v>430</v>
      </c>
      <c r="V58">
        <v>4</v>
      </c>
      <c r="W58">
        <v>0</v>
      </c>
      <c r="X58">
        <v>6684793.6399999997</v>
      </c>
      <c r="Y58">
        <v>800000</v>
      </c>
    </row>
    <row r="59" spans="1:25" x14ac:dyDescent="0.3">
      <c r="A59" t="s">
        <v>539</v>
      </c>
      <c r="B59" t="s">
        <v>540</v>
      </c>
      <c r="C59">
        <v>1</v>
      </c>
      <c r="D59" t="s">
        <v>11</v>
      </c>
      <c r="E59" t="s">
        <v>21</v>
      </c>
      <c r="F59" t="s">
        <v>22</v>
      </c>
      <c r="H59" t="s">
        <v>71</v>
      </c>
      <c r="I59" t="s">
        <v>3617</v>
      </c>
      <c r="K59" t="s">
        <v>430</v>
      </c>
      <c r="L59" t="s">
        <v>3618</v>
      </c>
      <c r="N59" t="s">
        <v>540</v>
      </c>
      <c r="Q59" t="s">
        <v>3599</v>
      </c>
      <c r="R59" t="s">
        <v>3599</v>
      </c>
      <c r="S59" t="s">
        <v>3599</v>
      </c>
      <c r="T59">
        <v>1</v>
      </c>
      <c r="U59" t="s">
        <v>430</v>
      </c>
      <c r="V59">
        <v>4</v>
      </c>
      <c r="W59">
        <v>0</v>
      </c>
      <c r="X59">
        <v>6667448.3799999999</v>
      </c>
      <c r="Y59">
        <v>6700000</v>
      </c>
    </row>
    <row r="60" spans="1:25" x14ac:dyDescent="0.3">
      <c r="A60" t="s">
        <v>541</v>
      </c>
      <c r="B60" t="s">
        <v>62</v>
      </c>
      <c r="C60">
        <v>1</v>
      </c>
      <c r="D60" t="s">
        <v>11</v>
      </c>
      <c r="E60" t="s">
        <v>21</v>
      </c>
      <c r="F60" t="s">
        <v>22</v>
      </c>
      <c r="H60" t="s">
        <v>71</v>
      </c>
      <c r="I60" t="s">
        <v>3617</v>
      </c>
      <c r="J60" t="s">
        <v>541</v>
      </c>
      <c r="K60" t="s">
        <v>430</v>
      </c>
      <c r="L60" t="s">
        <v>3618</v>
      </c>
      <c r="M60" t="s">
        <v>541</v>
      </c>
      <c r="N60" t="s">
        <v>62</v>
      </c>
      <c r="O60" t="s">
        <v>542</v>
      </c>
      <c r="Q60" t="s">
        <v>3599</v>
      </c>
      <c r="R60" t="s">
        <v>3599</v>
      </c>
      <c r="S60" t="s">
        <v>3599</v>
      </c>
      <c r="T60">
        <v>1</v>
      </c>
      <c r="U60" t="s">
        <v>430</v>
      </c>
      <c r="V60">
        <v>4</v>
      </c>
      <c r="W60">
        <v>0</v>
      </c>
      <c r="X60">
        <v>6618700</v>
      </c>
      <c r="Y60">
        <v>700000</v>
      </c>
    </row>
    <row r="61" spans="1:25" x14ac:dyDescent="0.3">
      <c r="A61" t="s">
        <v>543</v>
      </c>
      <c r="B61" t="s">
        <v>544</v>
      </c>
      <c r="C61">
        <v>1</v>
      </c>
      <c r="D61" t="s">
        <v>11</v>
      </c>
      <c r="E61" t="s">
        <v>21</v>
      </c>
      <c r="F61" t="s">
        <v>22</v>
      </c>
      <c r="H61" t="s">
        <v>71</v>
      </c>
      <c r="I61" t="s">
        <v>3617</v>
      </c>
      <c r="J61" t="s">
        <v>543</v>
      </c>
      <c r="K61" t="s">
        <v>430</v>
      </c>
      <c r="L61" t="s">
        <v>3618</v>
      </c>
      <c r="M61" t="s">
        <v>543</v>
      </c>
      <c r="N61" t="s">
        <v>544</v>
      </c>
      <c r="Q61" t="s">
        <v>3599</v>
      </c>
      <c r="R61" t="s">
        <v>3599</v>
      </c>
      <c r="S61" t="s">
        <v>3599</v>
      </c>
      <c r="T61">
        <v>1</v>
      </c>
      <c r="U61" t="s">
        <v>430</v>
      </c>
      <c r="V61">
        <v>4</v>
      </c>
      <c r="W61">
        <v>0</v>
      </c>
      <c r="X61">
        <v>6298997.25</v>
      </c>
      <c r="Y61">
        <v>12600000</v>
      </c>
    </row>
    <row r="62" spans="1:25" x14ac:dyDescent="0.3">
      <c r="A62" t="s">
        <v>543</v>
      </c>
      <c r="B62" t="s">
        <v>544</v>
      </c>
      <c r="C62">
        <v>1</v>
      </c>
      <c r="D62" t="s">
        <v>11</v>
      </c>
      <c r="E62" t="s">
        <v>21</v>
      </c>
      <c r="F62" t="s">
        <v>22</v>
      </c>
      <c r="H62" t="s">
        <v>71</v>
      </c>
      <c r="I62" t="s">
        <v>3617</v>
      </c>
      <c r="J62" t="s">
        <v>543</v>
      </c>
      <c r="K62" t="s">
        <v>430</v>
      </c>
      <c r="L62" t="s">
        <v>3618</v>
      </c>
      <c r="M62" t="s">
        <v>543</v>
      </c>
      <c r="N62" t="s">
        <v>544</v>
      </c>
      <c r="Q62" t="s">
        <v>3599</v>
      </c>
      <c r="R62" t="s">
        <v>3599</v>
      </c>
      <c r="S62" t="s">
        <v>3599</v>
      </c>
      <c r="T62">
        <v>1</v>
      </c>
      <c r="U62" t="s">
        <v>430</v>
      </c>
      <c r="V62">
        <v>4</v>
      </c>
      <c r="W62">
        <v>0</v>
      </c>
      <c r="X62">
        <v>6298997.25</v>
      </c>
      <c r="Y62">
        <v>12600000</v>
      </c>
    </row>
    <row r="63" spans="1:25" x14ac:dyDescent="0.3">
      <c r="A63" t="s">
        <v>545</v>
      </c>
      <c r="B63" t="s">
        <v>546</v>
      </c>
      <c r="C63">
        <v>1</v>
      </c>
      <c r="D63" t="s">
        <v>11</v>
      </c>
      <c r="E63" t="s">
        <v>21</v>
      </c>
      <c r="F63" t="s">
        <v>22</v>
      </c>
      <c r="H63" t="s">
        <v>71</v>
      </c>
      <c r="I63" t="s">
        <v>3617</v>
      </c>
      <c r="J63" t="s">
        <v>545</v>
      </c>
      <c r="K63" t="s">
        <v>430</v>
      </c>
      <c r="L63" t="s">
        <v>3618</v>
      </c>
      <c r="M63" t="s">
        <v>545</v>
      </c>
      <c r="N63" t="s">
        <v>546</v>
      </c>
      <c r="Q63" t="s">
        <v>3599</v>
      </c>
      <c r="R63" t="s">
        <v>3599</v>
      </c>
      <c r="S63" t="s">
        <v>3599</v>
      </c>
      <c r="T63">
        <v>1</v>
      </c>
      <c r="U63" t="s">
        <v>430</v>
      </c>
      <c r="V63">
        <v>4</v>
      </c>
      <c r="W63">
        <v>0</v>
      </c>
      <c r="X63">
        <v>6011200</v>
      </c>
      <c r="Y63">
        <v>6000000</v>
      </c>
    </row>
    <row r="64" spans="1:25" x14ac:dyDescent="0.3">
      <c r="A64" t="s">
        <v>547</v>
      </c>
      <c r="B64" t="s">
        <v>27</v>
      </c>
      <c r="C64">
        <v>1</v>
      </c>
      <c r="D64" t="s">
        <v>11</v>
      </c>
      <c r="E64" t="s">
        <v>21</v>
      </c>
      <c r="F64" t="s">
        <v>22</v>
      </c>
      <c r="H64" t="s">
        <v>71</v>
      </c>
      <c r="I64" t="s">
        <v>3617</v>
      </c>
      <c r="J64" t="s">
        <v>547</v>
      </c>
      <c r="K64" t="s">
        <v>430</v>
      </c>
      <c r="L64" t="s">
        <v>3618</v>
      </c>
      <c r="M64" t="s">
        <v>547</v>
      </c>
      <c r="N64" t="s">
        <v>27</v>
      </c>
      <c r="O64" t="s">
        <v>548</v>
      </c>
      <c r="Q64" t="s">
        <v>3599</v>
      </c>
      <c r="R64" t="s">
        <v>3599</v>
      </c>
      <c r="S64" t="s">
        <v>3599</v>
      </c>
      <c r="T64">
        <v>1</v>
      </c>
      <c r="U64" t="s">
        <v>430</v>
      </c>
      <c r="V64">
        <v>4</v>
      </c>
      <c r="W64">
        <v>0</v>
      </c>
      <c r="X64">
        <v>5962880</v>
      </c>
      <c r="Y64">
        <v>200000</v>
      </c>
    </row>
    <row r="65" spans="1:25" x14ac:dyDescent="0.3">
      <c r="A65" t="s">
        <v>549</v>
      </c>
      <c r="B65" t="s">
        <v>550</v>
      </c>
      <c r="C65">
        <v>1</v>
      </c>
      <c r="D65" t="s">
        <v>11</v>
      </c>
      <c r="E65" t="s">
        <v>21</v>
      </c>
      <c r="F65" t="s">
        <v>22</v>
      </c>
      <c r="H65" t="s">
        <v>71</v>
      </c>
      <c r="I65" t="s">
        <v>3617</v>
      </c>
      <c r="J65" t="s">
        <v>549</v>
      </c>
      <c r="K65" t="s">
        <v>430</v>
      </c>
      <c r="L65" t="s">
        <v>3618</v>
      </c>
      <c r="M65" t="s">
        <v>549</v>
      </c>
      <c r="N65" t="s">
        <v>550</v>
      </c>
      <c r="Q65" t="s">
        <v>3599</v>
      </c>
      <c r="R65" t="s">
        <v>3599</v>
      </c>
      <c r="S65" t="s">
        <v>3599</v>
      </c>
      <c r="T65">
        <v>1</v>
      </c>
      <c r="U65" t="s">
        <v>430</v>
      </c>
      <c r="V65">
        <v>4</v>
      </c>
      <c r="W65">
        <v>0</v>
      </c>
      <c r="X65">
        <v>5764067.8100000005</v>
      </c>
      <c r="Y65">
        <v>3800000</v>
      </c>
    </row>
    <row r="66" spans="1:25" x14ac:dyDescent="0.3">
      <c r="A66" t="s">
        <v>551</v>
      </c>
      <c r="B66" t="s">
        <v>52</v>
      </c>
      <c r="C66">
        <v>1</v>
      </c>
      <c r="D66" t="s">
        <v>11</v>
      </c>
      <c r="E66" t="s">
        <v>21</v>
      </c>
      <c r="F66" t="s">
        <v>22</v>
      </c>
      <c r="H66" t="s">
        <v>71</v>
      </c>
      <c r="I66" t="s">
        <v>3617</v>
      </c>
      <c r="J66" t="s">
        <v>551</v>
      </c>
      <c r="K66" t="s">
        <v>430</v>
      </c>
      <c r="L66" t="s">
        <v>3618</v>
      </c>
      <c r="M66" t="s">
        <v>551</v>
      </c>
      <c r="N66" t="s">
        <v>52</v>
      </c>
      <c r="Q66" t="s">
        <v>3599</v>
      </c>
      <c r="R66" t="s">
        <v>3599</v>
      </c>
      <c r="S66" t="s">
        <v>3599</v>
      </c>
      <c r="T66">
        <v>1</v>
      </c>
      <c r="U66" t="s">
        <v>430</v>
      </c>
      <c r="V66">
        <v>4</v>
      </c>
      <c r="W66">
        <v>0</v>
      </c>
      <c r="X66">
        <v>5733862.3100000005</v>
      </c>
      <c r="Y66">
        <v>300000</v>
      </c>
    </row>
    <row r="67" spans="1:25" x14ac:dyDescent="0.3">
      <c r="A67" t="s">
        <v>552</v>
      </c>
      <c r="B67" t="s">
        <v>553</v>
      </c>
      <c r="C67">
        <v>1</v>
      </c>
      <c r="D67" t="s">
        <v>11</v>
      </c>
      <c r="E67" t="s">
        <v>21</v>
      </c>
      <c r="F67" t="s">
        <v>22</v>
      </c>
      <c r="H67" t="s">
        <v>71</v>
      </c>
      <c r="I67" t="s">
        <v>3617</v>
      </c>
      <c r="K67" t="s">
        <v>430</v>
      </c>
      <c r="L67" t="s">
        <v>3618</v>
      </c>
      <c r="N67" t="s">
        <v>553</v>
      </c>
      <c r="Q67" t="s">
        <v>3599</v>
      </c>
      <c r="R67" t="s">
        <v>3599</v>
      </c>
      <c r="S67" t="s">
        <v>3599</v>
      </c>
      <c r="T67">
        <v>1</v>
      </c>
      <c r="U67" t="s">
        <v>430</v>
      </c>
      <c r="V67">
        <v>4</v>
      </c>
      <c r="W67">
        <v>0</v>
      </c>
      <c r="X67">
        <v>5704653.0599999996</v>
      </c>
      <c r="Y67">
        <v>11400000</v>
      </c>
    </row>
    <row r="68" spans="1:25" x14ac:dyDescent="0.3">
      <c r="A68" t="s">
        <v>554</v>
      </c>
      <c r="B68" t="s">
        <v>28</v>
      </c>
      <c r="C68">
        <v>1</v>
      </c>
      <c r="D68" t="s">
        <v>11</v>
      </c>
      <c r="E68" t="s">
        <v>21</v>
      </c>
      <c r="F68" t="s">
        <v>22</v>
      </c>
      <c r="H68" t="s">
        <v>71</v>
      </c>
      <c r="I68" t="s">
        <v>3617</v>
      </c>
      <c r="J68" t="s">
        <v>554</v>
      </c>
      <c r="K68" t="s">
        <v>430</v>
      </c>
      <c r="L68" t="s">
        <v>3618</v>
      </c>
      <c r="M68" t="s">
        <v>554</v>
      </c>
      <c r="N68" t="s">
        <v>28</v>
      </c>
      <c r="O68" t="s">
        <v>556</v>
      </c>
      <c r="P68" t="s">
        <v>555</v>
      </c>
      <c r="Q68" t="s">
        <v>3599</v>
      </c>
      <c r="R68" t="s">
        <v>3599</v>
      </c>
      <c r="S68" t="s">
        <v>3599</v>
      </c>
      <c r="T68">
        <v>1</v>
      </c>
      <c r="U68" t="s">
        <v>430</v>
      </c>
      <c r="V68">
        <v>4</v>
      </c>
      <c r="W68">
        <v>0</v>
      </c>
      <c r="X68">
        <v>4895014.9800000004</v>
      </c>
      <c r="Y68">
        <v>800000</v>
      </c>
    </row>
    <row r="69" spans="1:25" x14ac:dyDescent="0.3">
      <c r="A69" t="s">
        <v>557</v>
      </c>
      <c r="B69" t="s">
        <v>558</v>
      </c>
      <c r="C69">
        <v>1</v>
      </c>
      <c r="D69" t="s">
        <v>11</v>
      </c>
      <c r="E69" t="s">
        <v>21</v>
      </c>
      <c r="F69" t="s">
        <v>22</v>
      </c>
      <c r="H69" t="s">
        <v>71</v>
      </c>
      <c r="I69" t="s">
        <v>3617</v>
      </c>
      <c r="J69" t="s">
        <v>557</v>
      </c>
      <c r="K69" t="s">
        <v>430</v>
      </c>
      <c r="L69" t="s">
        <v>3618</v>
      </c>
      <c r="M69" t="s">
        <v>557</v>
      </c>
      <c r="N69" t="s">
        <v>558</v>
      </c>
      <c r="Q69" t="s">
        <v>3599</v>
      </c>
      <c r="R69" t="s">
        <v>3599</v>
      </c>
      <c r="S69" t="s">
        <v>3599</v>
      </c>
      <c r="T69">
        <v>1</v>
      </c>
      <c r="U69" t="s">
        <v>430</v>
      </c>
      <c r="V69">
        <v>4</v>
      </c>
      <c r="W69">
        <v>0</v>
      </c>
      <c r="X69">
        <v>4890820</v>
      </c>
      <c r="Y69">
        <v>9800000</v>
      </c>
    </row>
    <row r="70" spans="1:25" x14ac:dyDescent="0.3">
      <c r="A70" t="s">
        <v>559</v>
      </c>
      <c r="B70" t="s">
        <v>560</v>
      </c>
      <c r="C70">
        <v>1</v>
      </c>
      <c r="D70" t="s">
        <v>11</v>
      </c>
      <c r="E70" t="s">
        <v>21</v>
      </c>
      <c r="F70" t="s">
        <v>22</v>
      </c>
      <c r="H70" t="s">
        <v>71</v>
      </c>
      <c r="I70" t="s">
        <v>3617</v>
      </c>
      <c r="K70" t="s">
        <v>430</v>
      </c>
      <c r="L70" t="s">
        <v>3618</v>
      </c>
      <c r="N70" t="s">
        <v>560</v>
      </c>
      <c r="Q70" t="s">
        <v>3599</v>
      </c>
      <c r="R70" t="s">
        <v>3599</v>
      </c>
      <c r="S70" t="s">
        <v>3599</v>
      </c>
      <c r="T70">
        <v>1</v>
      </c>
      <c r="U70" t="s">
        <v>430</v>
      </c>
      <c r="V70">
        <v>4</v>
      </c>
      <c r="W70">
        <v>0</v>
      </c>
      <c r="X70">
        <v>4799271.0199999996</v>
      </c>
      <c r="Y70">
        <v>1600000</v>
      </c>
    </row>
    <row r="71" spans="1:25" x14ac:dyDescent="0.3">
      <c r="A71" t="s">
        <v>561</v>
      </c>
      <c r="B71" t="s">
        <v>562</v>
      </c>
      <c r="C71">
        <v>1</v>
      </c>
      <c r="D71" t="s">
        <v>11</v>
      </c>
      <c r="E71" t="s">
        <v>21</v>
      </c>
      <c r="F71" t="s">
        <v>22</v>
      </c>
      <c r="H71" t="s">
        <v>71</v>
      </c>
      <c r="I71" t="s">
        <v>3617</v>
      </c>
      <c r="J71" t="s">
        <v>561</v>
      </c>
      <c r="K71" t="s">
        <v>430</v>
      </c>
      <c r="L71" t="s">
        <v>3618</v>
      </c>
      <c r="M71" t="s">
        <v>561</v>
      </c>
      <c r="N71" t="s">
        <v>562</v>
      </c>
      <c r="O71" t="s">
        <v>563</v>
      </c>
      <c r="Q71" t="s">
        <v>3599</v>
      </c>
      <c r="R71" t="s">
        <v>3599</v>
      </c>
      <c r="S71" t="s">
        <v>3599</v>
      </c>
      <c r="T71">
        <v>1</v>
      </c>
      <c r="U71" t="s">
        <v>430</v>
      </c>
      <c r="V71">
        <v>4</v>
      </c>
      <c r="W71">
        <v>0</v>
      </c>
      <c r="X71">
        <v>4740207.67</v>
      </c>
      <c r="Y71">
        <v>1900000</v>
      </c>
    </row>
    <row r="72" spans="1:25" x14ac:dyDescent="0.3">
      <c r="A72" t="s">
        <v>561</v>
      </c>
      <c r="B72" t="s">
        <v>562</v>
      </c>
      <c r="C72">
        <v>1</v>
      </c>
      <c r="D72" t="s">
        <v>11</v>
      </c>
      <c r="E72" t="s">
        <v>21</v>
      </c>
      <c r="F72" t="s">
        <v>22</v>
      </c>
      <c r="H72" t="s">
        <v>71</v>
      </c>
      <c r="I72" t="s">
        <v>3617</v>
      </c>
      <c r="J72" t="s">
        <v>561</v>
      </c>
      <c r="K72" t="s">
        <v>430</v>
      </c>
      <c r="L72" t="s">
        <v>3618</v>
      </c>
      <c r="M72" t="s">
        <v>561</v>
      </c>
      <c r="N72" t="s">
        <v>562</v>
      </c>
      <c r="Q72" t="s">
        <v>3599</v>
      </c>
      <c r="R72" t="s">
        <v>3599</v>
      </c>
      <c r="S72" t="s">
        <v>3599</v>
      </c>
      <c r="T72">
        <v>1</v>
      </c>
      <c r="U72" t="s">
        <v>430</v>
      </c>
      <c r="V72">
        <v>4</v>
      </c>
      <c r="W72">
        <v>0</v>
      </c>
      <c r="X72">
        <v>4740207.67</v>
      </c>
      <c r="Y72">
        <v>1900000</v>
      </c>
    </row>
    <row r="73" spans="1:25" x14ac:dyDescent="0.3">
      <c r="A73" t="s">
        <v>564</v>
      </c>
      <c r="B73" t="s">
        <v>565</v>
      </c>
      <c r="C73">
        <v>1</v>
      </c>
      <c r="D73" t="s">
        <v>11</v>
      </c>
      <c r="E73" t="s">
        <v>21</v>
      </c>
      <c r="F73" t="s">
        <v>22</v>
      </c>
      <c r="H73" t="s">
        <v>71</v>
      </c>
      <c r="I73" t="s">
        <v>3617</v>
      </c>
      <c r="J73" t="s">
        <v>564</v>
      </c>
      <c r="K73" t="s">
        <v>430</v>
      </c>
      <c r="L73" t="s">
        <v>3618</v>
      </c>
      <c r="M73" t="s">
        <v>564</v>
      </c>
      <c r="N73" t="s">
        <v>565</v>
      </c>
      <c r="O73" t="s">
        <v>566</v>
      </c>
      <c r="Q73" t="s">
        <v>3599</v>
      </c>
      <c r="R73" t="s">
        <v>3599</v>
      </c>
      <c r="S73" t="s">
        <v>3599</v>
      </c>
      <c r="T73">
        <v>1</v>
      </c>
      <c r="U73" t="s">
        <v>430</v>
      </c>
      <c r="V73">
        <v>4</v>
      </c>
      <c r="W73">
        <v>0</v>
      </c>
      <c r="X73">
        <v>4667000</v>
      </c>
      <c r="Y73">
        <v>800000</v>
      </c>
    </row>
    <row r="74" spans="1:25" x14ac:dyDescent="0.3">
      <c r="A74" t="s">
        <v>567</v>
      </c>
      <c r="B74" t="s">
        <v>65</v>
      </c>
      <c r="C74">
        <v>1</v>
      </c>
      <c r="D74" t="s">
        <v>11</v>
      </c>
      <c r="E74" t="s">
        <v>21</v>
      </c>
      <c r="F74" t="s">
        <v>22</v>
      </c>
      <c r="H74" t="s">
        <v>71</v>
      </c>
      <c r="I74" t="s">
        <v>3617</v>
      </c>
      <c r="J74" t="s">
        <v>567</v>
      </c>
      <c r="K74" t="s">
        <v>430</v>
      </c>
      <c r="L74" t="s">
        <v>3618</v>
      </c>
      <c r="M74" t="s">
        <v>567</v>
      </c>
      <c r="N74" t="s">
        <v>65</v>
      </c>
      <c r="Q74" t="s">
        <v>3599</v>
      </c>
      <c r="R74" t="s">
        <v>3599</v>
      </c>
      <c r="S74" t="s">
        <v>3599</v>
      </c>
      <c r="T74">
        <v>1</v>
      </c>
      <c r="U74" t="s">
        <v>430</v>
      </c>
      <c r="V74">
        <v>4</v>
      </c>
      <c r="W74">
        <v>0</v>
      </c>
      <c r="X74">
        <v>4285892.6000000006</v>
      </c>
      <c r="Y74">
        <v>400000</v>
      </c>
    </row>
    <row r="75" spans="1:25" x14ac:dyDescent="0.3">
      <c r="A75" t="s">
        <v>568</v>
      </c>
      <c r="B75" t="s">
        <v>569</v>
      </c>
      <c r="C75">
        <v>1</v>
      </c>
      <c r="D75" t="s">
        <v>11</v>
      </c>
      <c r="E75" t="s">
        <v>21</v>
      </c>
      <c r="F75" t="s">
        <v>22</v>
      </c>
      <c r="H75" t="s">
        <v>71</v>
      </c>
      <c r="I75" t="s">
        <v>3617</v>
      </c>
      <c r="J75" t="s">
        <v>568</v>
      </c>
      <c r="K75" t="s">
        <v>430</v>
      </c>
      <c r="L75" t="s">
        <v>3618</v>
      </c>
      <c r="M75" t="s">
        <v>568</v>
      </c>
      <c r="N75" t="s">
        <v>569</v>
      </c>
      <c r="Q75" t="s">
        <v>3599</v>
      </c>
      <c r="R75" t="s">
        <v>3599</v>
      </c>
      <c r="S75" t="s">
        <v>3599</v>
      </c>
      <c r="T75">
        <v>1</v>
      </c>
      <c r="U75" t="s">
        <v>430</v>
      </c>
      <c r="V75">
        <v>4</v>
      </c>
      <c r="W75">
        <v>0</v>
      </c>
      <c r="X75">
        <v>4182438.48</v>
      </c>
      <c r="Y75">
        <v>1000000</v>
      </c>
    </row>
    <row r="76" spans="1:25" x14ac:dyDescent="0.3">
      <c r="A76" t="s">
        <v>570</v>
      </c>
      <c r="B76" t="s">
        <v>70</v>
      </c>
      <c r="C76">
        <v>1</v>
      </c>
      <c r="D76" t="s">
        <v>11</v>
      </c>
      <c r="E76" t="s">
        <v>21</v>
      </c>
      <c r="F76" t="s">
        <v>22</v>
      </c>
      <c r="H76" t="s">
        <v>71</v>
      </c>
      <c r="I76" t="s">
        <v>3617</v>
      </c>
      <c r="J76" t="s">
        <v>570</v>
      </c>
      <c r="K76" t="s">
        <v>430</v>
      </c>
      <c r="L76" t="s">
        <v>3618</v>
      </c>
      <c r="M76" t="s">
        <v>570</v>
      </c>
      <c r="N76" t="s">
        <v>70</v>
      </c>
      <c r="Q76" t="s">
        <v>3599</v>
      </c>
      <c r="R76" t="s">
        <v>3599</v>
      </c>
      <c r="S76" t="s">
        <v>3599</v>
      </c>
      <c r="T76">
        <v>1</v>
      </c>
      <c r="U76" t="s">
        <v>430</v>
      </c>
      <c r="V76">
        <v>4</v>
      </c>
      <c r="W76">
        <v>0</v>
      </c>
      <c r="X76">
        <v>4127228.9799999995</v>
      </c>
      <c r="Y76">
        <v>400000</v>
      </c>
    </row>
    <row r="77" spans="1:25" x14ac:dyDescent="0.3">
      <c r="A77" t="s">
        <v>571</v>
      </c>
      <c r="B77" t="s">
        <v>572</v>
      </c>
      <c r="C77">
        <v>1</v>
      </c>
      <c r="D77" t="s">
        <v>11</v>
      </c>
      <c r="E77" t="s">
        <v>21</v>
      </c>
      <c r="F77" t="s">
        <v>22</v>
      </c>
      <c r="H77" t="s">
        <v>71</v>
      </c>
      <c r="I77" t="s">
        <v>3617</v>
      </c>
      <c r="J77" t="s">
        <v>571</v>
      </c>
      <c r="K77" t="s">
        <v>430</v>
      </c>
      <c r="L77" t="s">
        <v>3618</v>
      </c>
      <c r="M77" t="s">
        <v>571</v>
      </c>
      <c r="N77" t="s">
        <v>572</v>
      </c>
      <c r="O77" t="s">
        <v>573</v>
      </c>
      <c r="Q77" t="s">
        <v>3599</v>
      </c>
      <c r="R77" t="s">
        <v>3599</v>
      </c>
      <c r="S77" t="s">
        <v>3599</v>
      </c>
      <c r="T77">
        <v>1</v>
      </c>
      <c r="U77" t="s">
        <v>430</v>
      </c>
      <c r="V77">
        <v>4</v>
      </c>
      <c r="W77">
        <v>0</v>
      </c>
      <c r="X77">
        <v>3969456.96</v>
      </c>
      <c r="Y77">
        <v>1300000</v>
      </c>
    </row>
    <row r="78" spans="1:25" x14ac:dyDescent="0.3">
      <c r="A78" t="s">
        <v>574</v>
      </c>
      <c r="B78" t="s">
        <v>575</v>
      </c>
      <c r="C78">
        <v>1</v>
      </c>
      <c r="D78" t="s">
        <v>11</v>
      </c>
      <c r="E78" t="s">
        <v>21</v>
      </c>
      <c r="F78" t="s">
        <v>22</v>
      </c>
      <c r="H78" t="s">
        <v>71</v>
      </c>
      <c r="I78" t="s">
        <v>3617</v>
      </c>
      <c r="K78" t="s">
        <v>430</v>
      </c>
      <c r="L78" t="s">
        <v>3618</v>
      </c>
      <c r="N78" t="s">
        <v>575</v>
      </c>
      <c r="Q78" t="s">
        <v>3599</v>
      </c>
      <c r="R78" t="s">
        <v>3599</v>
      </c>
      <c r="S78" t="s">
        <v>3599</v>
      </c>
      <c r="T78">
        <v>1</v>
      </c>
      <c r="U78" t="s">
        <v>430</v>
      </c>
      <c r="V78">
        <v>4</v>
      </c>
      <c r="W78">
        <v>0</v>
      </c>
      <c r="X78">
        <v>3656904.72</v>
      </c>
      <c r="Y78">
        <v>2400000</v>
      </c>
    </row>
    <row r="79" spans="1:25" x14ac:dyDescent="0.3">
      <c r="A79" t="s">
        <v>576</v>
      </c>
      <c r="B79" t="s">
        <v>32</v>
      </c>
      <c r="C79">
        <v>1</v>
      </c>
      <c r="D79" t="s">
        <v>11</v>
      </c>
      <c r="E79" t="s">
        <v>21</v>
      </c>
      <c r="F79" t="s">
        <v>22</v>
      </c>
      <c r="H79" t="s">
        <v>71</v>
      </c>
      <c r="I79" t="s">
        <v>3617</v>
      </c>
      <c r="J79" t="s">
        <v>576</v>
      </c>
      <c r="K79" t="s">
        <v>430</v>
      </c>
      <c r="L79" t="s">
        <v>3618</v>
      </c>
      <c r="M79" t="s">
        <v>576</v>
      </c>
      <c r="N79" t="s">
        <v>32</v>
      </c>
      <c r="O79" t="s">
        <v>577</v>
      </c>
      <c r="Q79" t="s">
        <v>3599</v>
      </c>
      <c r="R79" t="s">
        <v>3599</v>
      </c>
      <c r="S79" t="s">
        <v>3599</v>
      </c>
      <c r="T79">
        <v>1</v>
      </c>
      <c r="U79" t="s">
        <v>430</v>
      </c>
      <c r="V79">
        <v>4</v>
      </c>
      <c r="W79">
        <v>0</v>
      </c>
      <c r="X79">
        <v>3600392.8199999994</v>
      </c>
      <c r="Y79">
        <v>400000</v>
      </c>
    </row>
    <row r="80" spans="1:25" x14ac:dyDescent="0.3">
      <c r="A80" t="s">
        <v>576</v>
      </c>
      <c r="B80" t="s">
        <v>32</v>
      </c>
      <c r="C80">
        <v>1</v>
      </c>
      <c r="D80" t="s">
        <v>11</v>
      </c>
      <c r="E80" t="s">
        <v>21</v>
      </c>
      <c r="F80" t="s">
        <v>22</v>
      </c>
      <c r="H80" t="s">
        <v>71</v>
      </c>
      <c r="I80" t="s">
        <v>3617</v>
      </c>
      <c r="J80" t="s">
        <v>576</v>
      </c>
      <c r="K80" t="s">
        <v>430</v>
      </c>
      <c r="L80" t="s">
        <v>3618</v>
      </c>
      <c r="M80" t="s">
        <v>576</v>
      </c>
      <c r="N80" t="s">
        <v>32</v>
      </c>
      <c r="Q80" t="s">
        <v>3599</v>
      </c>
      <c r="R80" t="s">
        <v>3599</v>
      </c>
      <c r="S80" t="s">
        <v>3599</v>
      </c>
      <c r="T80">
        <v>1</v>
      </c>
      <c r="U80" t="s">
        <v>430</v>
      </c>
      <c r="V80">
        <v>4</v>
      </c>
      <c r="W80">
        <v>0</v>
      </c>
      <c r="X80">
        <v>3600392.8199999994</v>
      </c>
      <c r="Y80">
        <v>400000</v>
      </c>
    </row>
    <row r="81" spans="1:25" x14ac:dyDescent="0.3">
      <c r="A81" t="s">
        <v>578</v>
      </c>
      <c r="B81" t="s">
        <v>579</v>
      </c>
      <c r="C81">
        <v>1</v>
      </c>
      <c r="D81" t="s">
        <v>11</v>
      </c>
      <c r="E81" t="s">
        <v>21</v>
      </c>
      <c r="F81" t="s">
        <v>22</v>
      </c>
      <c r="H81" t="s">
        <v>71</v>
      </c>
      <c r="I81" t="s">
        <v>3617</v>
      </c>
      <c r="K81" t="s">
        <v>430</v>
      </c>
      <c r="L81" t="s">
        <v>3618</v>
      </c>
      <c r="N81" t="s">
        <v>579</v>
      </c>
      <c r="Q81" t="s">
        <v>3599</v>
      </c>
      <c r="R81" t="s">
        <v>3599</v>
      </c>
      <c r="S81" t="s">
        <v>3599</v>
      </c>
      <c r="T81">
        <v>1</v>
      </c>
      <c r="U81" t="s">
        <v>430</v>
      </c>
      <c r="V81">
        <v>4</v>
      </c>
      <c r="W81">
        <v>0</v>
      </c>
      <c r="X81">
        <v>3440696.57</v>
      </c>
      <c r="Y81">
        <v>6900000</v>
      </c>
    </row>
    <row r="82" spans="1:25" x14ac:dyDescent="0.3">
      <c r="A82" t="s">
        <v>580</v>
      </c>
      <c r="B82" t="s">
        <v>581</v>
      </c>
      <c r="C82">
        <v>1</v>
      </c>
      <c r="D82" t="s">
        <v>11</v>
      </c>
      <c r="E82" t="s">
        <v>21</v>
      </c>
      <c r="F82" t="s">
        <v>22</v>
      </c>
      <c r="H82" t="s">
        <v>71</v>
      </c>
      <c r="I82" t="s">
        <v>3617</v>
      </c>
      <c r="J82" t="s">
        <v>580</v>
      </c>
      <c r="K82" t="s">
        <v>430</v>
      </c>
      <c r="L82" t="s">
        <v>3618</v>
      </c>
      <c r="M82" t="s">
        <v>580</v>
      </c>
      <c r="N82" t="s">
        <v>581</v>
      </c>
      <c r="O82" t="s">
        <v>583</v>
      </c>
      <c r="P82" t="s">
        <v>582</v>
      </c>
      <c r="Q82" t="s">
        <v>3599</v>
      </c>
      <c r="R82" t="s">
        <v>3599</v>
      </c>
      <c r="S82" t="s">
        <v>3599</v>
      </c>
      <c r="T82">
        <v>1</v>
      </c>
      <c r="U82" t="s">
        <v>430</v>
      </c>
      <c r="V82">
        <v>4</v>
      </c>
      <c r="W82">
        <v>0</v>
      </c>
      <c r="X82">
        <v>3397355.8</v>
      </c>
      <c r="Y82">
        <v>6800000</v>
      </c>
    </row>
    <row r="83" spans="1:25" x14ac:dyDescent="0.3">
      <c r="A83" t="s">
        <v>584</v>
      </c>
      <c r="B83" t="s">
        <v>585</v>
      </c>
      <c r="C83">
        <v>1</v>
      </c>
      <c r="D83" t="s">
        <v>11</v>
      </c>
      <c r="E83" t="s">
        <v>21</v>
      </c>
      <c r="F83" t="s">
        <v>22</v>
      </c>
      <c r="H83" t="s">
        <v>71</v>
      </c>
      <c r="I83" t="s">
        <v>3617</v>
      </c>
      <c r="K83" t="s">
        <v>430</v>
      </c>
      <c r="L83" t="s">
        <v>3618</v>
      </c>
      <c r="N83" t="s">
        <v>585</v>
      </c>
      <c r="Q83" t="s">
        <v>3599</v>
      </c>
      <c r="R83" t="s">
        <v>3599</v>
      </c>
      <c r="S83" t="s">
        <v>3599</v>
      </c>
      <c r="T83">
        <v>1</v>
      </c>
      <c r="U83" t="s">
        <v>430</v>
      </c>
      <c r="V83">
        <v>4</v>
      </c>
      <c r="W83">
        <v>0</v>
      </c>
      <c r="X83">
        <v>3337986.53</v>
      </c>
      <c r="Y83">
        <v>6700000</v>
      </c>
    </row>
    <row r="84" spans="1:25" x14ac:dyDescent="0.3">
      <c r="A84" t="s">
        <v>586</v>
      </c>
      <c r="B84" t="s">
        <v>587</v>
      </c>
      <c r="C84">
        <v>1</v>
      </c>
      <c r="D84" t="s">
        <v>11</v>
      </c>
      <c r="E84" t="s">
        <v>21</v>
      </c>
      <c r="F84" t="s">
        <v>22</v>
      </c>
      <c r="H84" t="s">
        <v>71</v>
      </c>
      <c r="I84" t="s">
        <v>3617</v>
      </c>
      <c r="J84" t="s">
        <v>586</v>
      </c>
      <c r="K84" t="s">
        <v>430</v>
      </c>
      <c r="L84" t="s">
        <v>3618</v>
      </c>
      <c r="M84" t="s">
        <v>586</v>
      </c>
      <c r="N84" t="s">
        <v>587</v>
      </c>
      <c r="Q84" t="s">
        <v>3599</v>
      </c>
      <c r="R84" t="s">
        <v>3599</v>
      </c>
      <c r="S84" t="s">
        <v>3599</v>
      </c>
      <c r="T84">
        <v>1</v>
      </c>
      <c r="U84" t="s">
        <v>430</v>
      </c>
      <c r="V84">
        <v>4</v>
      </c>
      <c r="W84">
        <v>0</v>
      </c>
      <c r="X84">
        <v>3173830</v>
      </c>
      <c r="Y84">
        <v>3200000</v>
      </c>
    </row>
    <row r="85" spans="1:25" x14ac:dyDescent="0.3">
      <c r="A85" t="s">
        <v>551</v>
      </c>
      <c r="B85" t="s">
        <v>96</v>
      </c>
      <c r="C85">
        <v>1</v>
      </c>
      <c r="D85" t="s">
        <v>11</v>
      </c>
      <c r="E85" t="s">
        <v>21</v>
      </c>
      <c r="F85" t="s">
        <v>22</v>
      </c>
      <c r="H85" t="s">
        <v>71</v>
      </c>
      <c r="I85" t="s">
        <v>3617</v>
      </c>
      <c r="J85" t="s">
        <v>551</v>
      </c>
      <c r="K85" t="s">
        <v>430</v>
      </c>
      <c r="L85" t="s">
        <v>3618</v>
      </c>
      <c r="M85" t="s">
        <v>551</v>
      </c>
      <c r="N85" t="s">
        <v>96</v>
      </c>
      <c r="Q85" t="s">
        <v>3599</v>
      </c>
      <c r="R85" t="s">
        <v>3599</v>
      </c>
      <c r="S85" t="s">
        <v>3599</v>
      </c>
      <c r="T85">
        <v>1</v>
      </c>
      <c r="U85" t="s">
        <v>430</v>
      </c>
      <c r="V85">
        <v>4</v>
      </c>
      <c r="W85">
        <v>0</v>
      </c>
      <c r="X85">
        <v>3001090.7199999997</v>
      </c>
      <c r="Y85">
        <v>200000</v>
      </c>
    </row>
    <row r="86" spans="1:25" x14ac:dyDescent="0.3">
      <c r="A86" t="s">
        <v>588</v>
      </c>
      <c r="B86" t="s">
        <v>589</v>
      </c>
      <c r="C86">
        <v>1</v>
      </c>
      <c r="D86" t="s">
        <v>11</v>
      </c>
      <c r="E86" t="s">
        <v>21</v>
      </c>
      <c r="F86" t="s">
        <v>22</v>
      </c>
      <c r="H86" t="s">
        <v>71</v>
      </c>
      <c r="I86" t="s">
        <v>3617</v>
      </c>
      <c r="J86" t="s">
        <v>588</v>
      </c>
      <c r="K86" t="s">
        <v>430</v>
      </c>
      <c r="L86" t="s">
        <v>3618</v>
      </c>
      <c r="M86" t="s">
        <v>588</v>
      </c>
      <c r="N86" t="s">
        <v>589</v>
      </c>
      <c r="O86" t="s">
        <v>590</v>
      </c>
      <c r="Q86" t="s">
        <v>3599</v>
      </c>
      <c r="R86" t="s">
        <v>3599</v>
      </c>
      <c r="S86" t="s">
        <v>3599</v>
      </c>
      <c r="T86">
        <v>1</v>
      </c>
      <c r="U86" t="s">
        <v>430</v>
      </c>
      <c r="V86">
        <v>4</v>
      </c>
      <c r="W86">
        <v>0</v>
      </c>
      <c r="X86">
        <v>2887544</v>
      </c>
      <c r="Y86">
        <v>1400000</v>
      </c>
    </row>
    <row r="87" spans="1:25" x14ac:dyDescent="0.3">
      <c r="A87" t="s">
        <v>591</v>
      </c>
      <c r="B87" t="s">
        <v>592</v>
      </c>
      <c r="C87">
        <v>1</v>
      </c>
      <c r="D87" t="s">
        <v>11</v>
      </c>
      <c r="E87" t="s">
        <v>21</v>
      </c>
      <c r="F87" t="s">
        <v>22</v>
      </c>
      <c r="H87" t="s">
        <v>71</v>
      </c>
      <c r="I87" t="s">
        <v>3617</v>
      </c>
      <c r="J87" t="s">
        <v>591</v>
      </c>
      <c r="K87" t="s">
        <v>430</v>
      </c>
      <c r="L87" t="s">
        <v>3618</v>
      </c>
      <c r="M87" t="s">
        <v>591</v>
      </c>
      <c r="N87" t="s">
        <v>592</v>
      </c>
      <c r="Q87" t="s">
        <v>3599</v>
      </c>
      <c r="R87" t="s">
        <v>3599</v>
      </c>
      <c r="S87" t="s">
        <v>3599</v>
      </c>
      <c r="T87">
        <v>1</v>
      </c>
      <c r="U87" t="s">
        <v>430</v>
      </c>
      <c r="V87">
        <v>4</v>
      </c>
      <c r="W87">
        <v>0</v>
      </c>
      <c r="X87">
        <v>2865846</v>
      </c>
      <c r="Y87">
        <v>2900000</v>
      </c>
    </row>
    <row r="88" spans="1:25" x14ac:dyDescent="0.3">
      <c r="A88" t="s">
        <v>593</v>
      </c>
      <c r="B88" t="s">
        <v>594</v>
      </c>
      <c r="C88">
        <v>1</v>
      </c>
      <c r="D88" t="s">
        <v>11</v>
      </c>
      <c r="E88" t="s">
        <v>21</v>
      </c>
      <c r="F88" t="s">
        <v>22</v>
      </c>
      <c r="H88" t="s">
        <v>71</v>
      </c>
      <c r="I88" t="s">
        <v>3617</v>
      </c>
      <c r="J88" t="s">
        <v>593</v>
      </c>
      <c r="K88" t="s">
        <v>430</v>
      </c>
      <c r="L88" t="s">
        <v>3618</v>
      </c>
      <c r="M88" t="s">
        <v>593</v>
      </c>
      <c r="N88" t="s">
        <v>594</v>
      </c>
      <c r="Q88" t="s">
        <v>3599</v>
      </c>
      <c r="R88" t="s">
        <v>3599</v>
      </c>
      <c r="S88" t="s">
        <v>3599</v>
      </c>
      <c r="T88">
        <v>1</v>
      </c>
      <c r="U88" t="s">
        <v>430</v>
      </c>
      <c r="V88">
        <v>4</v>
      </c>
      <c r="W88">
        <v>0</v>
      </c>
      <c r="X88">
        <v>2594660.79</v>
      </c>
      <c r="Y88">
        <v>5200000</v>
      </c>
    </row>
    <row r="89" spans="1:25" x14ac:dyDescent="0.3">
      <c r="A89" t="s">
        <v>595</v>
      </c>
      <c r="B89" t="s">
        <v>175</v>
      </c>
      <c r="C89">
        <v>1</v>
      </c>
      <c r="D89" t="s">
        <v>11</v>
      </c>
      <c r="E89" t="s">
        <v>21</v>
      </c>
      <c r="F89" t="s">
        <v>22</v>
      </c>
      <c r="H89" t="s">
        <v>71</v>
      </c>
      <c r="I89" t="s">
        <v>3617</v>
      </c>
      <c r="J89" t="s">
        <v>595</v>
      </c>
      <c r="K89" t="s">
        <v>430</v>
      </c>
      <c r="L89" t="s">
        <v>3618</v>
      </c>
      <c r="M89" t="s">
        <v>595</v>
      </c>
      <c r="N89" t="s">
        <v>175</v>
      </c>
      <c r="O89" t="s">
        <v>596</v>
      </c>
      <c r="Q89" t="s">
        <v>3599</v>
      </c>
      <c r="R89" t="s">
        <v>3599</v>
      </c>
      <c r="S89" t="s">
        <v>3599</v>
      </c>
      <c r="T89">
        <v>1</v>
      </c>
      <c r="U89" t="s">
        <v>430</v>
      </c>
      <c r="V89">
        <v>4</v>
      </c>
      <c r="W89">
        <v>0</v>
      </c>
      <c r="X89">
        <v>2578800</v>
      </c>
      <c r="Y89">
        <v>300000</v>
      </c>
    </row>
    <row r="90" spans="1:25" x14ac:dyDescent="0.3">
      <c r="A90" t="s">
        <v>597</v>
      </c>
      <c r="B90" t="s">
        <v>598</v>
      </c>
      <c r="C90">
        <v>1</v>
      </c>
      <c r="D90" t="s">
        <v>11</v>
      </c>
      <c r="E90" t="s">
        <v>21</v>
      </c>
      <c r="F90" t="s">
        <v>22</v>
      </c>
      <c r="H90" t="s">
        <v>71</v>
      </c>
      <c r="I90" t="s">
        <v>3617</v>
      </c>
      <c r="J90" t="s">
        <v>597</v>
      </c>
      <c r="K90" t="s">
        <v>430</v>
      </c>
      <c r="L90" t="s">
        <v>3618</v>
      </c>
      <c r="M90" t="s">
        <v>597</v>
      </c>
      <c r="N90" t="s">
        <v>598</v>
      </c>
      <c r="Q90" t="s">
        <v>3599</v>
      </c>
      <c r="R90" t="s">
        <v>3599</v>
      </c>
      <c r="S90" t="s">
        <v>3599</v>
      </c>
      <c r="T90">
        <v>1</v>
      </c>
      <c r="U90" t="s">
        <v>430</v>
      </c>
      <c r="V90">
        <v>4</v>
      </c>
      <c r="W90">
        <v>0</v>
      </c>
      <c r="X90">
        <v>2349000</v>
      </c>
      <c r="Y90">
        <v>4700000</v>
      </c>
    </row>
    <row r="91" spans="1:25" x14ac:dyDescent="0.3">
      <c r="A91" t="s">
        <v>599</v>
      </c>
      <c r="B91" t="s">
        <v>600</v>
      </c>
      <c r="C91">
        <v>1</v>
      </c>
      <c r="D91" t="s">
        <v>11</v>
      </c>
      <c r="E91" t="s">
        <v>21</v>
      </c>
      <c r="F91" t="s">
        <v>22</v>
      </c>
      <c r="H91" t="s">
        <v>71</v>
      </c>
      <c r="I91" t="s">
        <v>3617</v>
      </c>
      <c r="J91" t="s">
        <v>599</v>
      </c>
      <c r="K91" t="s">
        <v>430</v>
      </c>
      <c r="L91" t="s">
        <v>3618</v>
      </c>
      <c r="M91" t="s">
        <v>599</v>
      </c>
      <c r="N91" t="s">
        <v>600</v>
      </c>
      <c r="Q91" t="s">
        <v>3599</v>
      </c>
      <c r="R91" t="s">
        <v>3599</v>
      </c>
      <c r="S91" t="s">
        <v>3599</v>
      </c>
      <c r="T91">
        <v>1</v>
      </c>
      <c r="U91" t="s">
        <v>430</v>
      </c>
      <c r="V91">
        <v>4</v>
      </c>
      <c r="W91">
        <v>0</v>
      </c>
      <c r="X91">
        <v>2135674.2000000002</v>
      </c>
      <c r="Y91">
        <v>400000</v>
      </c>
    </row>
    <row r="92" spans="1:25" x14ac:dyDescent="0.3">
      <c r="A92" t="s">
        <v>601</v>
      </c>
      <c r="B92" t="s">
        <v>602</v>
      </c>
      <c r="C92">
        <v>1</v>
      </c>
      <c r="D92" t="s">
        <v>11</v>
      </c>
      <c r="E92" t="s">
        <v>21</v>
      </c>
      <c r="F92" t="s">
        <v>22</v>
      </c>
      <c r="H92" t="s">
        <v>71</v>
      </c>
      <c r="I92" t="s">
        <v>3617</v>
      </c>
      <c r="K92" t="s">
        <v>430</v>
      </c>
      <c r="L92" t="s">
        <v>3618</v>
      </c>
      <c r="N92" t="s">
        <v>602</v>
      </c>
      <c r="Q92" t="s">
        <v>3599</v>
      </c>
      <c r="R92" t="s">
        <v>3599</v>
      </c>
      <c r="S92" t="s">
        <v>3599</v>
      </c>
      <c r="T92">
        <v>1</v>
      </c>
      <c r="U92" t="s">
        <v>430</v>
      </c>
      <c r="V92">
        <v>4</v>
      </c>
      <c r="W92">
        <v>0</v>
      </c>
      <c r="X92">
        <v>2128884.6799999997</v>
      </c>
      <c r="Y92">
        <v>1400000</v>
      </c>
    </row>
    <row r="93" spans="1:25" x14ac:dyDescent="0.3">
      <c r="A93" t="s">
        <v>603</v>
      </c>
      <c r="B93" t="s">
        <v>604</v>
      </c>
      <c r="C93">
        <v>1</v>
      </c>
      <c r="D93" t="s">
        <v>11</v>
      </c>
      <c r="E93" t="s">
        <v>21</v>
      </c>
      <c r="F93" t="s">
        <v>22</v>
      </c>
      <c r="H93" t="s">
        <v>71</v>
      </c>
      <c r="I93" t="s">
        <v>3617</v>
      </c>
      <c r="K93" t="s">
        <v>430</v>
      </c>
      <c r="L93" t="s">
        <v>3618</v>
      </c>
      <c r="N93" t="s">
        <v>604</v>
      </c>
      <c r="Q93" t="s">
        <v>3599</v>
      </c>
      <c r="R93" t="s">
        <v>3599</v>
      </c>
      <c r="S93" t="s">
        <v>3599</v>
      </c>
      <c r="T93">
        <v>1</v>
      </c>
      <c r="U93" t="s">
        <v>430</v>
      </c>
      <c r="V93">
        <v>4</v>
      </c>
      <c r="W93">
        <v>0</v>
      </c>
      <c r="X93">
        <v>2128613.85</v>
      </c>
      <c r="Y93">
        <v>500000</v>
      </c>
    </row>
    <row r="94" spans="1:25" x14ac:dyDescent="0.3">
      <c r="A94" t="s">
        <v>605</v>
      </c>
      <c r="B94" t="s">
        <v>25</v>
      </c>
      <c r="C94">
        <v>1</v>
      </c>
      <c r="D94" t="s">
        <v>11</v>
      </c>
      <c r="E94" t="s">
        <v>21</v>
      </c>
      <c r="F94" t="s">
        <v>22</v>
      </c>
      <c r="H94" t="s">
        <v>71</v>
      </c>
      <c r="I94" t="s">
        <v>3617</v>
      </c>
      <c r="J94" t="s">
        <v>605</v>
      </c>
      <c r="K94" t="s">
        <v>430</v>
      </c>
      <c r="L94" t="s">
        <v>3618</v>
      </c>
      <c r="M94" t="s">
        <v>605</v>
      </c>
      <c r="N94" t="s">
        <v>25</v>
      </c>
      <c r="Q94" t="s">
        <v>3599</v>
      </c>
      <c r="R94" t="s">
        <v>3599</v>
      </c>
      <c r="S94" t="s">
        <v>3599</v>
      </c>
      <c r="T94">
        <v>1</v>
      </c>
      <c r="U94" t="s">
        <v>430</v>
      </c>
      <c r="V94">
        <v>4</v>
      </c>
      <c r="W94">
        <v>0</v>
      </c>
      <c r="X94">
        <v>2085544.95</v>
      </c>
      <c r="Y94">
        <v>1000000</v>
      </c>
    </row>
    <row r="95" spans="1:25" x14ac:dyDescent="0.3">
      <c r="A95" t="s">
        <v>606</v>
      </c>
      <c r="B95" t="s">
        <v>607</v>
      </c>
      <c r="C95">
        <v>1</v>
      </c>
      <c r="D95" t="s">
        <v>11</v>
      </c>
      <c r="E95" t="s">
        <v>21</v>
      </c>
      <c r="F95" t="s">
        <v>22</v>
      </c>
      <c r="H95" t="s">
        <v>71</v>
      </c>
      <c r="I95" t="s">
        <v>3617</v>
      </c>
      <c r="J95" t="s">
        <v>606</v>
      </c>
      <c r="K95" t="s">
        <v>430</v>
      </c>
      <c r="L95" t="s">
        <v>3618</v>
      </c>
      <c r="M95" t="s">
        <v>606</v>
      </c>
      <c r="N95" t="s">
        <v>607</v>
      </c>
      <c r="Q95" t="s">
        <v>3599</v>
      </c>
      <c r="R95" t="s">
        <v>3599</v>
      </c>
      <c r="S95" t="s">
        <v>3599</v>
      </c>
      <c r="T95">
        <v>1</v>
      </c>
      <c r="U95" t="s">
        <v>430</v>
      </c>
      <c r="V95">
        <v>4</v>
      </c>
      <c r="W95">
        <v>0</v>
      </c>
      <c r="X95">
        <v>2025000</v>
      </c>
      <c r="Y95">
        <v>4100000</v>
      </c>
    </row>
    <row r="96" spans="1:25" x14ac:dyDescent="0.3">
      <c r="A96" t="s">
        <v>608</v>
      </c>
      <c r="B96" t="s">
        <v>609</v>
      </c>
      <c r="C96">
        <v>1</v>
      </c>
      <c r="D96" t="s">
        <v>11</v>
      </c>
      <c r="E96" t="s">
        <v>21</v>
      </c>
      <c r="F96" t="s">
        <v>22</v>
      </c>
      <c r="H96" t="s">
        <v>71</v>
      </c>
      <c r="I96" t="s">
        <v>3617</v>
      </c>
      <c r="K96" t="s">
        <v>430</v>
      </c>
      <c r="L96" t="s">
        <v>3618</v>
      </c>
      <c r="N96" t="s">
        <v>609</v>
      </c>
      <c r="Q96" t="s">
        <v>3599</v>
      </c>
      <c r="R96" t="s">
        <v>3599</v>
      </c>
      <c r="S96" t="s">
        <v>3599</v>
      </c>
      <c r="T96">
        <v>1</v>
      </c>
      <c r="U96" t="s">
        <v>430</v>
      </c>
      <c r="V96">
        <v>4</v>
      </c>
      <c r="W96">
        <v>0</v>
      </c>
      <c r="X96">
        <v>1994506.53</v>
      </c>
      <c r="Y96">
        <v>4000000</v>
      </c>
    </row>
    <row r="97" spans="1:25" x14ac:dyDescent="0.3">
      <c r="A97" t="s">
        <v>610</v>
      </c>
      <c r="B97" t="s">
        <v>142</v>
      </c>
      <c r="C97">
        <v>1</v>
      </c>
      <c r="D97" t="s">
        <v>11</v>
      </c>
      <c r="E97" t="s">
        <v>21</v>
      </c>
      <c r="F97" t="s">
        <v>22</v>
      </c>
      <c r="H97" t="s">
        <v>71</v>
      </c>
      <c r="I97" t="s">
        <v>3617</v>
      </c>
      <c r="J97" t="s">
        <v>610</v>
      </c>
      <c r="K97" t="s">
        <v>430</v>
      </c>
      <c r="L97" t="s">
        <v>3618</v>
      </c>
      <c r="M97" t="s">
        <v>610</v>
      </c>
      <c r="N97" t="s">
        <v>142</v>
      </c>
      <c r="O97" t="s">
        <v>612</v>
      </c>
      <c r="P97" t="s">
        <v>611</v>
      </c>
      <c r="Q97" t="s">
        <v>3599</v>
      </c>
      <c r="R97" t="s">
        <v>3599</v>
      </c>
      <c r="S97" t="s">
        <v>3599</v>
      </c>
      <c r="T97">
        <v>1</v>
      </c>
      <c r="U97" t="s">
        <v>430</v>
      </c>
      <c r="V97">
        <v>4</v>
      </c>
      <c r="W97">
        <v>0</v>
      </c>
      <c r="X97">
        <v>1966314.35</v>
      </c>
      <c r="Y97">
        <v>3900000</v>
      </c>
    </row>
    <row r="98" spans="1:25" x14ac:dyDescent="0.3">
      <c r="A98" t="s">
        <v>613</v>
      </c>
      <c r="B98" t="s">
        <v>44</v>
      </c>
      <c r="C98">
        <v>1</v>
      </c>
      <c r="D98" t="s">
        <v>11</v>
      </c>
      <c r="E98" t="s">
        <v>21</v>
      </c>
      <c r="F98" t="s">
        <v>22</v>
      </c>
      <c r="H98" t="s">
        <v>71</v>
      </c>
      <c r="I98" t="s">
        <v>3617</v>
      </c>
      <c r="J98" t="s">
        <v>613</v>
      </c>
      <c r="K98" t="s">
        <v>430</v>
      </c>
      <c r="L98" t="s">
        <v>3618</v>
      </c>
      <c r="M98" t="s">
        <v>613</v>
      </c>
      <c r="N98" t="s">
        <v>44</v>
      </c>
      <c r="O98" t="s">
        <v>614</v>
      </c>
      <c r="Q98" t="s">
        <v>3599</v>
      </c>
      <c r="R98" t="s">
        <v>3599</v>
      </c>
      <c r="S98" t="s">
        <v>3599</v>
      </c>
      <c r="T98">
        <v>1</v>
      </c>
      <c r="U98" t="s">
        <v>430</v>
      </c>
      <c r="V98">
        <v>4</v>
      </c>
      <c r="W98">
        <v>0</v>
      </c>
      <c r="X98">
        <v>1916762.21</v>
      </c>
      <c r="Y98">
        <v>1000000</v>
      </c>
    </row>
    <row r="99" spans="1:25" x14ac:dyDescent="0.3">
      <c r="A99" t="s">
        <v>615</v>
      </c>
      <c r="B99" t="s">
        <v>616</v>
      </c>
      <c r="C99">
        <v>1</v>
      </c>
      <c r="D99" t="s">
        <v>11</v>
      </c>
      <c r="E99" t="s">
        <v>21</v>
      </c>
      <c r="F99" t="s">
        <v>22</v>
      </c>
      <c r="H99" t="s">
        <v>71</v>
      </c>
      <c r="I99" t="s">
        <v>3617</v>
      </c>
      <c r="J99" t="s">
        <v>615</v>
      </c>
      <c r="K99" t="s">
        <v>430</v>
      </c>
      <c r="L99" t="s">
        <v>3618</v>
      </c>
      <c r="M99" t="s">
        <v>615</v>
      </c>
      <c r="N99" t="s">
        <v>616</v>
      </c>
      <c r="O99" t="s">
        <v>489</v>
      </c>
      <c r="Q99" t="s">
        <v>3599</v>
      </c>
      <c r="R99" t="s">
        <v>3599</v>
      </c>
      <c r="S99" t="s">
        <v>3599</v>
      </c>
      <c r="T99">
        <v>1</v>
      </c>
      <c r="U99" t="s">
        <v>430</v>
      </c>
      <c r="V99">
        <v>4</v>
      </c>
      <c r="W99">
        <v>0</v>
      </c>
      <c r="X99">
        <v>1813000</v>
      </c>
      <c r="Y99">
        <v>200000</v>
      </c>
    </row>
    <row r="100" spans="1:25" x14ac:dyDescent="0.3">
      <c r="A100" t="s">
        <v>615</v>
      </c>
      <c r="B100" t="s">
        <v>616</v>
      </c>
      <c r="C100">
        <v>1</v>
      </c>
      <c r="D100" t="s">
        <v>11</v>
      </c>
      <c r="E100" t="s">
        <v>21</v>
      </c>
      <c r="F100" t="s">
        <v>22</v>
      </c>
      <c r="H100" t="s">
        <v>71</v>
      </c>
      <c r="I100" t="s">
        <v>3617</v>
      </c>
      <c r="J100" t="s">
        <v>615</v>
      </c>
      <c r="K100" t="s">
        <v>430</v>
      </c>
      <c r="L100" t="s">
        <v>3618</v>
      </c>
      <c r="M100" t="s">
        <v>615</v>
      </c>
      <c r="N100" t="s">
        <v>616</v>
      </c>
      <c r="Q100" t="s">
        <v>3599</v>
      </c>
      <c r="R100" t="s">
        <v>3599</v>
      </c>
      <c r="S100" t="s">
        <v>3599</v>
      </c>
      <c r="T100">
        <v>1</v>
      </c>
      <c r="U100" t="s">
        <v>430</v>
      </c>
      <c r="V100">
        <v>4</v>
      </c>
      <c r="W100">
        <v>0</v>
      </c>
      <c r="X100">
        <v>1813000</v>
      </c>
      <c r="Y100">
        <v>200000</v>
      </c>
    </row>
    <row r="101" spans="1:25" x14ac:dyDescent="0.3">
      <c r="A101" t="s">
        <v>617</v>
      </c>
      <c r="B101" t="s">
        <v>618</v>
      </c>
      <c r="C101">
        <v>1</v>
      </c>
      <c r="D101" t="s">
        <v>11</v>
      </c>
      <c r="E101" t="s">
        <v>21</v>
      </c>
      <c r="F101" t="s">
        <v>22</v>
      </c>
      <c r="H101" t="s">
        <v>71</v>
      </c>
      <c r="I101" t="s">
        <v>3617</v>
      </c>
      <c r="K101" t="s">
        <v>430</v>
      </c>
      <c r="L101" t="s">
        <v>3618</v>
      </c>
      <c r="N101" t="s">
        <v>618</v>
      </c>
      <c r="Q101" t="s">
        <v>3599</v>
      </c>
      <c r="R101" t="s">
        <v>3599</v>
      </c>
      <c r="S101" t="s">
        <v>3599</v>
      </c>
      <c r="T101">
        <v>1</v>
      </c>
      <c r="U101" t="s">
        <v>430</v>
      </c>
      <c r="V101">
        <v>4</v>
      </c>
      <c r="W101">
        <v>0</v>
      </c>
      <c r="X101">
        <v>1811706.79</v>
      </c>
      <c r="Y101">
        <v>1800000</v>
      </c>
    </row>
    <row r="102" spans="1:25" x14ac:dyDescent="0.3">
      <c r="A102" t="s">
        <v>619</v>
      </c>
      <c r="B102" t="s">
        <v>620</v>
      </c>
      <c r="C102">
        <v>1</v>
      </c>
      <c r="D102" t="s">
        <v>11</v>
      </c>
      <c r="E102" t="s">
        <v>21</v>
      </c>
      <c r="F102" t="s">
        <v>22</v>
      </c>
      <c r="H102" t="s">
        <v>71</v>
      </c>
      <c r="I102" t="s">
        <v>3617</v>
      </c>
      <c r="J102" t="s">
        <v>619</v>
      </c>
      <c r="K102" t="s">
        <v>430</v>
      </c>
      <c r="L102" t="s">
        <v>3618</v>
      </c>
      <c r="M102" t="s">
        <v>619</v>
      </c>
      <c r="N102" t="s">
        <v>620</v>
      </c>
      <c r="Q102" t="s">
        <v>3599</v>
      </c>
      <c r="R102" t="s">
        <v>3599</v>
      </c>
      <c r="S102" t="s">
        <v>3599</v>
      </c>
      <c r="T102">
        <v>1</v>
      </c>
      <c r="U102" t="s">
        <v>430</v>
      </c>
      <c r="V102">
        <v>4</v>
      </c>
      <c r="W102">
        <v>0</v>
      </c>
      <c r="X102">
        <v>1790100</v>
      </c>
      <c r="Y102">
        <v>3600000</v>
      </c>
    </row>
    <row r="103" spans="1:25" x14ac:dyDescent="0.3">
      <c r="A103" t="s">
        <v>621</v>
      </c>
      <c r="B103" t="s">
        <v>45</v>
      </c>
      <c r="C103">
        <v>1</v>
      </c>
      <c r="D103" t="s">
        <v>11</v>
      </c>
      <c r="E103" t="s">
        <v>21</v>
      </c>
      <c r="F103" t="s">
        <v>22</v>
      </c>
      <c r="H103" t="s">
        <v>71</v>
      </c>
      <c r="I103" t="s">
        <v>3617</v>
      </c>
      <c r="J103" t="s">
        <v>621</v>
      </c>
      <c r="K103" t="s">
        <v>430</v>
      </c>
      <c r="L103" t="s">
        <v>3618</v>
      </c>
      <c r="M103" t="s">
        <v>621</v>
      </c>
      <c r="N103" t="s">
        <v>45</v>
      </c>
      <c r="O103" t="s">
        <v>622</v>
      </c>
      <c r="Q103" t="s">
        <v>3599</v>
      </c>
      <c r="R103" t="s">
        <v>3599</v>
      </c>
      <c r="S103" t="s">
        <v>3599</v>
      </c>
      <c r="T103">
        <v>1</v>
      </c>
      <c r="U103" t="s">
        <v>430</v>
      </c>
      <c r="V103">
        <v>4</v>
      </c>
      <c r="W103">
        <v>0</v>
      </c>
      <c r="X103">
        <v>1769270.36</v>
      </c>
      <c r="Y103">
        <v>200000</v>
      </c>
    </row>
    <row r="104" spans="1:25" x14ac:dyDescent="0.3">
      <c r="A104" t="s">
        <v>623</v>
      </c>
      <c r="B104" t="s">
        <v>624</v>
      </c>
      <c r="C104">
        <v>1</v>
      </c>
      <c r="D104" t="s">
        <v>11</v>
      </c>
      <c r="E104" t="s">
        <v>21</v>
      </c>
      <c r="F104" t="s">
        <v>22</v>
      </c>
      <c r="H104" t="s">
        <v>71</v>
      </c>
      <c r="I104" t="s">
        <v>3617</v>
      </c>
      <c r="K104" t="s">
        <v>430</v>
      </c>
      <c r="L104" t="s">
        <v>3618</v>
      </c>
      <c r="N104" t="s">
        <v>624</v>
      </c>
      <c r="Q104" t="s">
        <v>3599</v>
      </c>
      <c r="R104" t="s">
        <v>3599</v>
      </c>
      <c r="S104" t="s">
        <v>3599</v>
      </c>
      <c r="T104">
        <v>1</v>
      </c>
      <c r="U104" t="s">
        <v>430</v>
      </c>
      <c r="V104">
        <v>4</v>
      </c>
      <c r="W104">
        <v>0</v>
      </c>
      <c r="X104">
        <v>1760816.57</v>
      </c>
      <c r="Y104">
        <v>3500000</v>
      </c>
    </row>
    <row r="105" spans="1:25" x14ac:dyDescent="0.3">
      <c r="A105" t="s">
        <v>625</v>
      </c>
      <c r="B105" t="s">
        <v>626</v>
      </c>
      <c r="C105">
        <v>1</v>
      </c>
      <c r="D105" t="s">
        <v>11</v>
      </c>
      <c r="E105" t="s">
        <v>21</v>
      </c>
      <c r="F105" t="s">
        <v>22</v>
      </c>
      <c r="H105" t="s">
        <v>71</v>
      </c>
      <c r="I105" t="s">
        <v>3617</v>
      </c>
      <c r="K105" t="s">
        <v>430</v>
      </c>
      <c r="L105" t="s">
        <v>3618</v>
      </c>
      <c r="N105" t="s">
        <v>626</v>
      </c>
      <c r="Q105" t="s">
        <v>3599</v>
      </c>
      <c r="R105" t="s">
        <v>3599</v>
      </c>
      <c r="S105" t="s">
        <v>3599</v>
      </c>
      <c r="T105">
        <v>1</v>
      </c>
      <c r="U105" t="s">
        <v>430</v>
      </c>
      <c r="V105">
        <v>4</v>
      </c>
      <c r="W105">
        <v>0</v>
      </c>
      <c r="X105">
        <v>1757908.42</v>
      </c>
      <c r="Y105">
        <v>400000</v>
      </c>
    </row>
    <row r="106" spans="1:25" x14ac:dyDescent="0.3">
      <c r="A106" t="s">
        <v>627</v>
      </c>
      <c r="B106" t="s">
        <v>628</v>
      </c>
      <c r="C106">
        <v>1</v>
      </c>
      <c r="D106" t="s">
        <v>11</v>
      </c>
      <c r="E106" t="s">
        <v>21</v>
      </c>
      <c r="F106" t="s">
        <v>22</v>
      </c>
      <c r="H106" t="s">
        <v>71</v>
      </c>
      <c r="I106" t="s">
        <v>3617</v>
      </c>
      <c r="K106" t="s">
        <v>430</v>
      </c>
      <c r="L106" t="s">
        <v>3618</v>
      </c>
      <c r="N106" t="s">
        <v>628</v>
      </c>
      <c r="Q106" t="s">
        <v>3599</v>
      </c>
      <c r="R106" t="s">
        <v>3599</v>
      </c>
      <c r="S106" t="s">
        <v>3599</v>
      </c>
      <c r="T106">
        <v>1</v>
      </c>
      <c r="U106" t="s">
        <v>430</v>
      </c>
      <c r="V106">
        <v>4</v>
      </c>
      <c r="W106">
        <v>0</v>
      </c>
      <c r="X106">
        <v>1724684.56</v>
      </c>
      <c r="Y106">
        <v>3400000</v>
      </c>
    </row>
    <row r="107" spans="1:25" x14ac:dyDescent="0.3">
      <c r="A107" t="s">
        <v>629</v>
      </c>
      <c r="B107" t="s">
        <v>630</v>
      </c>
      <c r="C107">
        <v>1</v>
      </c>
      <c r="D107" t="s">
        <v>11</v>
      </c>
      <c r="E107" t="s">
        <v>21</v>
      </c>
      <c r="F107" t="s">
        <v>22</v>
      </c>
      <c r="H107" t="s">
        <v>71</v>
      </c>
      <c r="I107" t="s">
        <v>3617</v>
      </c>
      <c r="J107" t="s">
        <v>629</v>
      </c>
      <c r="K107" t="s">
        <v>430</v>
      </c>
      <c r="L107" t="s">
        <v>3618</v>
      </c>
      <c r="M107" t="s">
        <v>629</v>
      </c>
      <c r="N107" t="s">
        <v>630</v>
      </c>
      <c r="Q107" t="s">
        <v>3599</v>
      </c>
      <c r="R107" t="s">
        <v>3599</v>
      </c>
      <c r="S107" t="s">
        <v>3599</v>
      </c>
      <c r="T107">
        <v>1</v>
      </c>
      <c r="U107" t="s">
        <v>430</v>
      </c>
      <c r="V107">
        <v>4</v>
      </c>
      <c r="W107">
        <v>0</v>
      </c>
      <c r="X107">
        <v>1679600</v>
      </c>
      <c r="Y107">
        <v>1700000</v>
      </c>
    </row>
    <row r="108" spans="1:25" x14ac:dyDescent="0.3">
      <c r="A108" t="s">
        <v>631</v>
      </c>
      <c r="B108" t="s">
        <v>632</v>
      </c>
      <c r="C108">
        <v>1</v>
      </c>
      <c r="D108" t="s">
        <v>11</v>
      </c>
      <c r="E108" t="s">
        <v>21</v>
      </c>
      <c r="F108" t="s">
        <v>22</v>
      </c>
      <c r="H108" t="s">
        <v>71</v>
      </c>
      <c r="I108" t="s">
        <v>3617</v>
      </c>
      <c r="J108" t="s">
        <v>631</v>
      </c>
      <c r="K108" t="s">
        <v>430</v>
      </c>
      <c r="L108" t="s">
        <v>3618</v>
      </c>
      <c r="M108" t="s">
        <v>631</v>
      </c>
      <c r="N108" t="s">
        <v>632</v>
      </c>
      <c r="Q108" t="s">
        <v>3599</v>
      </c>
      <c r="R108" t="s">
        <v>3599</v>
      </c>
      <c r="S108" t="s">
        <v>3599</v>
      </c>
      <c r="T108">
        <v>1</v>
      </c>
      <c r="U108" t="s">
        <v>430</v>
      </c>
      <c r="V108">
        <v>4</v>
      </c>
      <c r="W108">
        <v>0</v>
      </c>
      <c r="X108">
        <v>1679600</v>
      </c>
      <c r="Y108">
        <v>1700000</v>
      </c>
    </row>
    <row r="109" spans="1:25" x14ac:dyDescent="0.3">
      <c r="A109" t="s">
        <v>633</v>
      </c>
      <c r="B109" t="s">
        <v>634</v>
      </c>
      <c r="C109">
        <v>1</v>
      </c>
      <c r="D109" t="s">
        <v>11</v>
      </c>
      <c r="E109" t="s">
        <v>21</v>
      </c>
      <c r="F109" t="s">
        <v>22</v>
      </c>
      <c r="H109" t="s">
        <v>71</v>
      </c>
      <c r="I109" t="s">
        <v>3617</v>
      </c>
      <c r="K109" t="s">
        <v>430</v>
      </c>
      <c r="L109" t="s">
        <v>3618</v>
      </c>
      <c r="N109" t="s">
        <v>634</v>
      </c>
      <c r="Q109" t="s">
        <v>3599</v>
      </c>
      <c r="R109" t="s">
        <v>3599</v>
      </c>
      <c r="S109" t="s">
        <v>3599</v>
      </c>
      <c r="T109">
        <v>1</v>
      </c>
      <c r="U109" t="s">
        <v>430</v>
      </c>
      <c r="V109">
        <v>4</v>
      </c>
      <c r="W109">
        <v>0</v>
      </c>
      <c r="X109">
        <v>1678785.23</v>
      </c>
      <c r="Y109">
        <v>3400000</v>
      </c>
    </row>
    <row r="110" spans="1:25" x14ac:dyDescent="0.3">
      <c r="A110" t="s">
        <v>635</v>
      </c>
      <c r="B110" t="s">
        <v>634</v>
      </c>
      <c r="C110">
        <v>1</v>
      </c>
      <c r="D110" t="s">
        <v>11</v>
      </c>
      <c r="E110" t="s">
        <v>21</v>
      </c>
      <c r="F110" t="s">
        <v>22</v>
      </c>
      <c r="H110" t="s">
        <v>71</v>
      </c>
      <c r="I110" t="s">
        <v>3617</v>
      </c>
      <c r="K110" t="s">
        <v>430</v>
      </c>
      <c r="L110" t="s">
        <v>3618</v>
      </c>
      <c r="N110" t="s">
        <v>634</v>
      </c>
      <c r="Q110" t="s">
        <v>3599</v>
      </c>
      <c r="R110" t="s">
        <v>3599</v>
      </c>
      <c r="S110" t="s">
        <v>3599</v>
      </c>
      <c r="T110">
        <v>1</v>
      </c>
      <c r="U110" t="s">
        <v>430</v>
      </c>
      <c r="V110">
        <v>4</v>
      </c>
      <c r="W110">
        <v>0</v>
      </c>
      <c r="X110">
        <v>1678785.23</v>
      </c>
      <c r="Y110">
        <v>3400000</v>
      </c>
    </row>
    <row r="111" spans="1:25" x14ac:dyDescent="0.3">
      <c r="A111" t="s">
        <v>636</v>
      </c>
      <c r="B111" t="s">
        <v>637</v>
      </c>
      <c r="C111">
        <v>1</v>
      </c>
      <c r="D111" t="s">
        <v>11</v>
      </c>
      <c r="E111" t="s">
        <v>21</v>
      </c>
      <c r="F111" t="s">
        <v>22</v>
      </c>
      <c r="H111" t="s">
        <v>71</v>
      </c>
      <c r="I111" t="s">
        <v>3617</v>
      </c>
      <c r="K111" t="s">
        <v>430</v>
      </c>
      <c r="L111" t="s">
        <v>3618</v>
      </c>
      <c r="N111" t="s">
        <v>637</v>
      </c>
      <c r="Q111" t="s">
        <v>3599</v>
      </c>
      <c r="R111" t="s">
        <v>3599</v>
      </c>
      <c r="S111" t="s">
        <v>3599</v>
      </c>
      <c r="T111">
        <v>1</v>
      </c>
      <c r="U111" t="s">
        <v>430</v>
      </c>
      <c r="V111">
        <v>4</v>
      </c>
      <c r="W111">
        <v>0</v>
      </c>
      <c r="X111">
        <v>1671864.0199999998</v>
      </c>
      <c r="Y111">
        <v>700000</v>
      </c>
    </row>
    <row r="112" spans="1:25" x14ac:dyDescent="0.3">
      <c r="A112" t="s">
        <v>638</v>
      </c>
      <c r="B112" t="s">
        <v>639</v>
      </c>
      <c r="C112">
        <v>1</v>
      </c>
      <c r="D112" t="s">
        <v>11</v>
      </c>
      <c r="E112" t="s">
        <v>21</v>
      </c>
      <c r="F112" t="s">
        <v>22</v>
      </c>
      <c r="H112" t="s">
        <v>71</v>
      </c>
      <c r="I112" t="s">
        <v>3617</v>
      </c>
      <c r="J112" t="s">
        <v>638</v>
      </c>
      <c r="K112" t="s">
        <v>430</v>
      </c>
      <c r="L112" t="s">
        <v>3618</v>
      </c>
      <c r="M112" t="s">
        <v>638</v>
      </c>
      <c r="N112" t="s">
        <v>639</v>
      </c>
      <c r="Q112" t="s">
        <v>3599</v>
      </c>
      <c r="R112" t="s">
        <v>3599</v>
      </c>
      <c r="S112" t="s">
        <v>3599</v>
      </c>
      <c r="T112">
        <v>1</v>
      </c>
      <c r="U112" t="s">
        <v>430</v>
      </c>
      <c r="V112">
        <v>4</v>
      </c>
      <c r="W112">
        <v>0</v>
      </c>
      <c r="X112">
        <v>1631784.24</v>
      </c>
      <c r="Y112">
        <v>0</v>
      </c>
    </row>
    <row r="113" spans="1:25" x14ac:dyDescent="0.3">
      <c r="A113" t="s">
        <v>640</v>
      </c>
      <c r="B113" t="s">
        <v>641</v>
      </c>
      <c r="C113">
        <v>1</v>
      </c>
      <c r="D113" t="s">
        <v>11</v>
      </c>
      <c r="E113" t="s">
        <v>21</v>
      </c>
      <c r="F113" t="s">
        <v>22</v>
      </c>
      <c r="H113" t="s">
        <v>71</v>
      </c>
      <c r="I113" t="s">
        <v>3617</v>
      </c>
      <c r="J113" t="s">
        <v>640</v>
      </c>
      <c r="K113" t="s">
        <v>430</v>
      </c>
      <c r="L113" t="s">
        <v>3618</v>
      </c>
      <c r="M113" t="s">
        <v>640</v>
      </c>
      <c r="N113" t="s">
        <v>641</v>
      </c>
      <c r="Q113" t="s">
        <v>3599</v>
      </c>
      <c r="R113" t="s">
        <v>3599</v>
      </c>
      <c r="S113" t="s">
        <v>3599</v>
      </c>
      <c r="T113">
        <v>1</v>
      </c>
      <c r="U113" t="s">
        <v>430</v>
      </c>
      <c r="V113">
        <v>4</v>
      </c>
      <c r="W113">
        <v>0</v>
      </c>
      <c r="X113">
        <v>1565931.18</v>
      </c>
      <c r="Y113">
        <v>1600000</v>
      </c>
    </row>
    <row r="114" spans="1:25" x14ac:dyDescent="0.3">
      <c r="A114" t="s">
        <v>642</v>
      </c>
      <c r="B114" t="s">
        <v>643</v>
      </c>
      <c r="C114">
        <v>1</v>
      </c>
      <c r="D114" t="s">
        <v>11</v>
      </c>
      <c r="E114" t="s">
        <v>21</v>
      </c>
      <c r="F114" t="s">
        <v>22</v>
      </c>
      <c r="H114" t="s">
        <v>71</v>
      </c>
      <c r="I114" t="s">
        <v>3617</v>
      </c>
      <c r="K114" t="s">
        <v>430</v>
      </c>
      <c r="L114" t="s">
        <v>3618</v>
      </c>
      <c r="N114" t="s">
        <v>643</v>
      </c>
      <c r="Q114" t="s">
        <v>3599</v>
      </c>
      <c r="R114" t="s">
        <v>3599</v>
      </c>
      <c r="S114" t="s">
        <v>3599</v>
      </c>
      <c r="T114">
        <v>1</v>
      </c>
      <c r="U114" t="s">
        <v>430</v>
      </c>
      <c r="V114">
        <v>4</v>
      </c>
      <c r="W114">
        <v>0</v>
      </c>
      <c r="X114">
        <v>1546791.16</v>
      </c>
      <c r="Y114">
        <v>400000</v>
      </c>
    </row>
    <row r="115" spans="1:25" x14ac:dyDescent="0.3">
      <c r="A115" t="s">
        <v>644</v>
      </c>
      <c r="B115" t="s">
        <v>645</v>
      </c>
      <c r="C115">
        <v>1</v>
      </c>
      <c r="D115" t="s">
        <v>11</v>
      </c>
      <c r="E115" t="s">
        <v>21</v>
      </c>
      <c r="F115" t="s">
        <v>22</v>
      </c>
      <c r="H115" t="s">
        <v>71</v>
      </c>
      <c r="I115" t="s">
        <v>3617</v>
      </c>
      <c r="J115" t="s">
        <v>644</v>
      </c>
      <c r="K115" t="s">
        <v>430</v>
      </c>
      <c r="L115" t="s">
        <v>3618</v>
      </c>
      <c r="M115" t="s">
        <v>644</v>
      </c>
      <c r="N115" t="s">
        <v>645</v>
      </c>
      <c r="P115" t="s">
        <v>646</v>
      </c>
      <c r="Q115" t="s">
        <v>3599</v>
      </c>
      <c r="R115" t="s">
        <v>3599</v>
      </c>
      <c r="S115" t="s">
        <v>3599</v>
      </c>
      <c r="T115">
        <v>1</v>
      </c>
      <c r="U115" t="s">
        <v>430</v>
      </c>
      <c r="V115">
        <v>4</v>
      </c>
      <c r="W115">
        <v>0</v>
      </c>
      <c r="X115">
        <v>1532396</v>
      </c>
      <c r="Y115">
        <v>500000</v>
      </c>
    </row>
    <row r="116" spans="1:25" x14ac:dyDescent="0.3">
      <c r="A116" t="s">
        <v>647</v>
      </c>
      <c r="B116" t="s">
        <v>100</v>
      </c>
      <c r="C116">
        <v>1</v>
      </c>
      <c r="D116" t="s">
        <v>11</v>
      </c>
      <c r="E116" t="s">
        <v>21</v>
      </c>
      <c r="F116" t="s">
        <v>22</v>
      </c>
      <c r="H116" t="s">
        <v>71</v>
      </c>
      <c r="I116" t="s">
        <v>3617</v>
      </c>
      <c r="J116" t="s">
        <v>647</v>
      </c>
      <c r="K116" t="s">
        <v>430</v>
      </c>
      <c r="L116" t="s">
        <v>3618</v>
      </c>
      <c r="M116" t="s">
        <v>647</v>
      </c>
      <c r="N116" t="s">
        <v>100</v>
      </c>
      <c r="Q116" t="s">
        <v>3599</v>
      </c>
      <c r="R116" t="s">
        <v>3599</v>
      </c>
      <c r="S116" t="s">
        <v>3599</v>
      </c>
      <c r="T116">
        <v>1</v>
      </c>
      <c r="U116" t="s">
        <v>430</v>
      </c>
      <c r="V116">
        <v>4</v>
      </c>
      <c r="W116">
        <v>0</v>
      </c>
      <c r="X116">
        <v>1508265</v>
      </c>
      <c r="Y116">
        <v>800000</v>
      </c>
    </row>
    <row r="117" spans="1:25" x14ac:dyDescent="0.3">
      <c r="A117" t="s">
        <v>648</v>
      </c>
      <c r="B117" t="s">
        <v>649</v>
      </c>
      <c r="C117">
        <v>1</v>
      </c>
      <c r="D117" t="s">
        <v>11</v>
      </c>
      <c r="E117" t="s">
        <v>21</v>
      </c>
      <c r="F117" t="s">
        <v>22</v>
      </c>
      <c r="H117" t="s">
        <v>71</v>
      </c>
      <c r="I117" t="s">
        <v>3617</v>
      </c>
      <c r="J117" t="s">
        <v>648</v>
      </c>
      <c r="K117" t="s">
        <v>430</v>
      </c>
      <c r="L117" t="s">
        <v>3618</v>
      </c>
      <c r="M117" t="s">
        <v>648</v>
      </c>
      <c r="N117" t="s">
        <v>649</v>
      </c>
      <c r="O117" t="s">
        <v>651</v>
      </c>
      <c r="P117" t="s">
        <v>650</v>
      </c>
      <c r="Q117" t="s">
        <v>3599</v>
      </c>
      <c r="R117" t="s">
        <v>3599</v>
      </c>
      <c r="S117" t="s">
        <v>3599</v>
      </c>
      <c r="T117">
        <v>1</v>
      </c>
      <c r="U117" t="s">
        <v>430</v>
      </c>
      <c r="V117">
        <v>4</v>
      </c>
      <c r="W117">
        <v>0</v>
      </c>
      <c r="X117">
        <v>1498139.18</v>
      </c>
      <c r="Y117">
        <v>3000000</v>
      </c>
    </row>
    <row r="118" spans="1:25" x14ac:dyDescent="0.3">
      <c r="A118" t="s">
        <v>652</v>
      </c>
      <c r="B118" t="s">
        <v>653</v>
      </c>
      <c r="C118">
        <v>1</v>
      </c>
      <c r="D118" t="s">
        <v>11</v>
      </c>
      <c r="E118" t="s">
        <v>21</v>
      </c>
      <c r="F118" t="s">
        <v>22</v>
      </c>
      <c r="H118" t="s">
        <v>71</v>
      </c>
      <c r="I118" t="s">
        <v>3617</v>
      </c>
      <c r="J118" t="s">
        <v>652</v>
      </c>
      <c r="K118" t="s">
        <v>430</v>
      </c>
      <c r="L118" t="s">
        <v>3618</v>
      </c>
      <c r="M118" t="s">
        <v>652</v>
      </c>
      <c r="N118" t="s">
        <v>653</v>
      </c>
      <c r="Q118" t="s">
        <v>3599</v>
      </c>
      <c r="R118" t="s">
        <v>3599</v>
      </c>
      <c r="S118" t="s">
        <v>3599</v>
      </c>
      <c r="T118">
        <v>1</v>
      </c>
      <c r="U118" t="s">
        <v>430</v>
      </c>
      <c r="V118">
        <v>4</v>
      </c>
      <c r="W118">
        <v>0</v>
      </c>
      <c r="X118">
        <v>1477410</v>
      </c>
      <c r="Y118">
        <v>1500000</v>
      </c>
    </row>
    <row r="119" spans="1:25" x14ac:dyDescent="0.3">
      <c r="A119" t="s">
        <v>652</v>
      </c>
      <c r="B119" t="s">
        <v>653</v>
      </c>
      <c r="C119">
        <v>1</v>
      </c>
      <c r="D119" t="s">
        <v>11</v>
      </c>
      <c r="E119" t="s">
        <v>21</v>
      </c>
      <c r="F119" t="s">
        <v>22</v>
      </c>
      <c r="H119" t="s">
        <v>71</v>
      </c>
      <c r="I119" t="s">
        <v>3617</v>
      </c>
      <c r="J119" t="s">
        <v>652</v>
      </c>
      <c r="K119" t="s">
        <v>430</v>
      </c>
      <c r="L119" t="s">
        <v>3618</v>
      </c>
      <c r="M119" t="s">
        <v>652</v>
      </c>
      <c r="N119" t="s">
        <v>653</v>
      </c>
      <c r="Q119" t="s">
        <v>3599</v>
      </c>
      <c r="R119" t="s">
        <v>3599</v>
      </c>
      <c r="S119" t="s">
        <v>3599</v>
      </c>
      <c r="T119">
        <v>1</v>
      </c>
      <c r="U119" t="s">
        <v>430</v>
      </c>
      <c r="V119">
        <v>4</v>
      </c>
      <c r="W119">
        <v>0</v>
      </c>
      <c r="X119">
        <v>1477410</v>
      </c>
      <c r="Y119">
        <v>1500000</v>
      </c>
    </row>
    <row r="120" spans="1:25" x14ac:dyDescent="0.3">
      <c r="A120" t="s">
        <v>654</v>
      </c>
      <c r="B120" t="s">
        <v>655</v>
      </c>
      <c r="C120">
        <v>1</v>
      </c>
      <c r="D120" t="s">
        <v>11</v>
      </c>
      <c r="E120" t="s">
        <v>21</v>
      </c>
      <c r="F120" t="s">
        <v>22</v>
      </c>
      <c r="H120" t="s">
        <v>71</v>
      </c>
      <c r="I120" t="s">
        <v>3617</v>
      </c>
      <c r="J120" t="s">
        <v>654</v>
      </c>
      <c r="K120" t="s">
        <v>430</v>
      </c>
      <c r="L120" t="s">
        <v>3618</v>
      </c>
      <c r="M120" t="s">
        <v>654</v>
      </c>
      <c r="N120" t="s">
        <v>655</v>
      </c>
      <c r="Q120" t="s">
        <v>3599</v>
      </c>
      <c r="R120" t="s">
        <v>3599</v>
      </c>
      <c r="S120" t="s">
        <v>3599</v>
      </c>
      <c r="T120">
        <v>1</v>
      </c>
      <c r="U120" t="s">
        <v>430</v>
      </c>
      <c r="V120">
        <v>4</v>
      </c>
      <c r="W120">
        <v>0</v>
      </c>
      <c r="X120">
        <v>1474269.76</v>
      </c>
      <c r="Y120">
        <v>2900000</v>
      </c>
    </row>
    <row r="121" spans="1:25" x14ac:dyDescent="0.3">
      <c r="A121" t="s">
        <v>656</v>
      </c>
      <c r="B121" t="s">
        <v>107</v>
      </c>
      <c r="C121">
        <v>1</v>
      </c>
      <c r="D121" t="s">
        <v>11</v>
      </c>
      <c r="E121" t="s">
        <v>21</v>
      </c>
      <c r="F121" t="s">
        <v>22</v>
      </c>
      <c r="H121" t="s">
        <v>71</v>
      </c>
      <c r="I121" t="s">
        <v>3617</v>
      </c>
      <c r="J121" t="s">
        <v>656</v>
      </c>
      <c r="K121" t="s">
        <v>430</v>
      </c>
      <c r="L121" t="s">
        <v>3618</v>
      </c>
      <c r="M121" t="s">
        <v>656</v>
      </c>
      <c r="N121" t="s">
        <v>107</v>
      </c>
      <c r="Q121" t="s">
        <v>3599</v>
      </c>
      <c r="R121" t="s">
        <v>3599</v>
      </c>
      <c r="S121" t="s">
        <v>3599</v>
      </c>
      <c r="T121">
        <v>1</v>
      </c>
      <c r="U121" t="s">
        <v>430</v>
      </c>
      <c r="V121">
        <v>4</v>
      </c>
      <c r="W121">
        <v>0</v>
      </c>
      <c r="X121">
        <v>1454190.7600000002</v>
      </c>
      <c r="Y121">
        <v>700000</v>
      </c>
    </row>
    <row r="122" spans="1:25" x14ac:dyDescent="0.3">
      <c r="A122" t="s">
        <v>657</v>
      </c>
      <c r="B122" t="s">
        <v>658</v>
      </c>
      <c r="C122">
        <v>1</v>
      </c>
      <c r="D122" t="s">
        <v>11</v>
      </c>
      <c r="E122" t="s">
        <v>21</v>
      </c>
      <c r="F122" t="s">
        <v>22</v>
      </c>
      <c r="H122" t="s">
        <v>71</v>
      </c>
      <c r="I122" t="s">
        <v>3617</v>
      </c>
      <c r="J122" t="s">
        <v>657</v>
      </c>
      <c r="K122" t="s">
        <v>430</v>
      </c>
      <c r="L122" t="s">
        <v>3618</v>
      </c>
      <c r="M122" t="s">
        <v>657</v>
      </c>
      <c r="N122" t="s">
        <v>658</v>
      </c>
      <c r="Q122" t="s">
        <v>3599</v>
      </c>
      <c r="R122" t="s">
        <v>3599</v>
      </c>
      <c r="S122" t="s">
        <v>3599</v>
      </c>
      <c r="T122">
        <v>1</v>
      </c>
      <c r="U122" t="s">
        <v>430</v>
      </c>
      <c r="V122">
        <v>4</v>
      </c>
      <c r="W122">
        <v>0</v>
      </c>
      <c r="X122">
        <v>1379865.25</v>
      </c>
      <c r="Y122">
        <v>2800000</v>
      </c>
    </row>
    <row r="123" spans="1:25" x14ac:dyDescent="0.3">
      <c r="A123" t="s">
        <v>659</v>
      </c>
      <c r="B123" t="s">
        <v>660</v>
      </c>
      <c r="C123">
        <v>1</v>
      </c>
      <c r="D123" t="s">
        <v>11</v>
      </c>
      <c r="E123" t="s">
        <v>21</v>
      </c>
      <c r="F123" t="s">
        <v>22</v>
      </c>
      <c r="H123" t="s">
        <v>71</v>
      </c>
      <c r="I123" t="s">
        <v>3617</v>
      </c>
      <c r="J123" t="s">
        <v>659</v>
      </c>
      <c r="K123" t="s">
        <v>430</v>
      </c>
      <c r="L123" t="s">
        <v>3618</v>
      </c>
      <c r="M123" t="s">
        <v>659</v>
      </c>
      <c r="N123" t="s">
        <v>660</v>
      </c>
      <c r="Q123" t="s">
        <v>3599</v>
      </c>
      <c r="R123" t="s">
        <v>3599</v>
      </c>
      <c r="S123" t="s">
        <v>3599</v>
      </c>
      <c r="T123">
        <v>1</v>
      </c>
      <c r="U123" t="s">
        <v>430</v>
      </c>
      <c r="V123">
        <v>4</v>
      </c>
      <c r="W123">
        <v>0</v>
      </c>
      <c r="X123">
        <v>1271351.23</v>
      </c>
      <c r="Y123">
        <v>1300000</v>
      </c>
    </row>
    <row r="124" spans="1:25" x14ac:dyDescent="0.3">
      <c r="A124" t="s">
        <v>661</v>
      </c>
      <c r="B124" t="s">
        <v>662</v>
      </c>
      <c r="C124">
        <v>1</v>
      </c>
      <c r="D124" t="s">
        <v>11</v>
      </c>
      <c r="E124" t="s">
        <v>21</v>
      </c>
      <c r="F124" t="s">
        <v>22</v>
      </c>
      <c r="H124" t="s">
        <v>71</v>
      </c>
      <c r="I124" t="s">
        <v>3617</v>
      </c>
      <c r="J124" t="s">
        <v>661</v>
      </c>
      <c r="K124" t="s">
        <v>430</v>
      </c>
      <c r="L124" t="s">
        <v>3618</v>
      </c>
      <c r="M124" t="s">
        <v>661</v>
      </c>
      <c r="N124" t="s">
        <v>662</v>
      </c>
      <c r="O124" t="s">
        <v>663</v>
      </c>
      <c r="Q124" t="s">
        <v>3599</v>
      </c>
      <c r="R124" t="s">
        <v>3599</v>
      </c>
      <c r="S124" t="s">
        <v>3599</v>
      </c>
      <c r="T124">
        <v>1</v>
      </c>
      <c r="U124" t="s">
        <v>430</v>
      </c>
      <c r="V124">
        <v>4</v>
      </c>
      <c r="W124">
        <v>0</v>
      </c>
      <c r="X124">
        <v>1258940</v>
      </c>
      <c r="Y124">
        <v>2500000</v>
      </c>
    </row>
    <row r="125" spans="1:25" x14ac:dyDescent="0.3">
      <c r="A125" t="s">
        <v>664</v>
      </c>
      <c r="B125" t="s">
        <v>665</v>
      </c>
      <c r="C125">
        <v>1</v>
      </c>
      <c r="D125" t="s">
        <v>11</v>
      </c>
      <c r="E125" t="s">
        <v>21</v>
      </c>
      <c r="F125" t="s">
        <v>22</v>
      </c>
      <c r="H125" t="s">
        <v>71</v>
      </c>
      <c r="I125" t="s">
        <v>3617</v>
      </c>
      <c r="J125" t="s">
        <v>664</v>
      </c>
      <c r="K125" t="s">
        <v>430</v>
      </c>
      <c r="L125" t="s">
        <v>3618</v>
      </c>
      <c r="M125" t="s">
        <v>664</v>
      </c>
      <c r="N125" t="s">
        <v>665</v>
      </c>
      <c r="Q125" t="s">
        <v>3599</v>
      </c>
      <c r="R125" t="s">
        <v>3599</v>
      </c>
      <c r="S125" t="s">
        <v>3599</v>
      </c>
      <c r="T125">
        <v>1</v>
      </c>
      <c r="U125" t="s">
        <v>430</v>
      </c>
      <c r="V125">
        <v>4</v>
      </c>
      <c r="W125">
        <v>0</v>
      </c>
      <c r="X125">
        <v>1197440.2</v>
      </c>
      <c r="Y125">
        <v>300000</v>
      </c>
    </row>
    <row r="126" spans="1:25" x14ac:dyDescent="0.3">
      <c r="A126" t="s">
        <v>666</v>
      </c>
      <c r="B126" t="s">
        <v>667</v>
      </c>
      <c r="C126">
        <v>1</v>
      </c>
      <c r="D126" t="s">
        <v>11</v>
      </c>
      <c r="E126" t="s">
        <v>21</v>
      </c>
      <c r="F126" t="s">
        <v>22</v>
      </c>
      <c r="H126" t="s">
        <v>71</v>
      </c>
      <c r="I126" t="s">
        <v>3617</v>
      </c>
      <c r="J126" t="s">
        <v>666</v>
      </c>
      <c r="K126" t="s">
        <v>430</v>
      </c>
      <c r="L126" t="s">
        <v>3618</v>
      </c>
      <c r="M126" t="s">
        <v>666</v>
      </c>
      <c r="N126" t="s">
        <v>667</v>
      </c>
      <c r="O126" t="s">
        <v>668</v>
      </c>
      <c r="Q126" t="s">
        <v>3599</v>
      </c>
      <c r="R126" t="s">
        <v>3599</v>
      </c>
      <c r="S126" t="s">
        <v>3599</v>
      </c>
      <c r="T126">
        <v>1</v>
      </c>
      <c r="U126" t="s">
        <v>430</v>
      </c>
      <c r="V126">
        <v>4</v>
      </c>
      <c r="W126">
        <v>0</v>
      </c>
      <c r="X126">
        <v>1152100</v>
      </c>
      <c r="Y126">
        <v>1200000</v>
      </c>
    </row>
    <row r="127" spans="1:25" x14ac:dyDescent="0.3">
      <c r="A127" t="s">
        <v>669</v>
      </c>
      <c r="B127" t="s">
        <v>670</v>
      </c>
      <c r="C127">
        <v>1</v>
      </c>
      <c r="D127" t="s">
        <v>11</v>
      </c>
      <c r="E127" t="s">
        <v>21</v>
      </c>
      <c r="F127" t="s">
        <v>22</v>
      </c>
      <c r="H127" t="s">
        <v>71</v>
      </c>
      <c r="I127" t="s">
        <v>3617</v>
      </c>
      <c r="J127" t="s">
        <v>669</v>
      </c>
      <c r="K127" t="s">
        <v>430</v>
      </c>
      <c r="L127" t="s">
        <v>3618</v>
      </c>
      <c r="M127" t="s">
        <v>669</v>
      </c>
      <c r="N127" t="s">
        <v>670</v>
      </c>
      <c r="O127" t="s">
        <v>671</v>
      </c>
      <c r="Q127" t="s">
        <v>3599</v>
      </c>
      <c r="R127" t="s">
        <v>3599</v>
      </c>
      <c r="S127" t="s">
        <v>3599</v>
      </c>
      <c r="T127">
        <v>1</v>
      </c>
      <c r="U127" t="s">
        <v>430</v>
      </c>
      <c r="V127">
        <v>4</v>
      </c>
      <c r="W127">
        <v>0</v>
      </c>
      <c r="X127">
        <v>1140945.0499999998</v>
      </c>
      <c r="Y127">
        <v>300000</v>
      </c>
    </row>
    <row r="128" spans="1:25" x14ac:dyDescent="0.3">
      <c r="A128" t="s">
        <v>672</v>
      </c>
      <c r="B128" t="s">
        <v>673</v>
      </c>
      <c r="C128">
        <v>1</v>
      </c>
      <c r="D128" t="s">
        <v>11</v>
      </c>
      <c r="E128" t="s">
        <v>21</v>
      </c>
      <c r="F128" t="s">
        <v>22</v>
      </c>
      <c r="H128" t="s">
        <v>71</v>
      </c>
      <c r="I128" t="s">
        <v>3617</v>
      </c>
      <c r="J128" t="s">
        <v>672</v>
      </c>
      <c r="K128" t="s">
        <v>430</v>
      </c>
      <c r="L128" t="s">
        <v>3618</v>
      </c>
      <c r="M128" t="s">
        <v>672</v>
      </c>
      <c r="N128" t="s">
        <v>673</v>
      </c>
      <c r="O128" t="s">
        <v>674</v>
      </c>
      <c r="Q128" t="s">
        <v>3599</v>
      </c>
      <c r="R128" t="s">
        <v>3599</v>
      </c>
      <c r="S128" t="s">
        <v>3599</v>
      </c>
      <c r="T128">
        <v>1</v>
      </c>
      <c r="U128" t="s">
        <v>430</v>
      </c>
      <c r="V128">
        <v>4</v>
      </c>
      <c r="W128">
        <v>0</v>
      </c>
      <c r="X128">
        <v>1128979</v>
      </c>
      <c r="Y128">
        <v>200000</v>
      </c>
    </row>
    <row r="129" spans="1:25" x14ac:dyDescent="0.3">
      <c r="A129" t="s">
        <v>675</v>
      </c>
      <c r="B129" t="s">
        <v>676</v>
      </c>
      <c r="C129">
        <v>1</v>
      </c>
      <c r="D129" t="s">
        <v>11</v>
      </c>
      <c r="E129" t="s">
        <v>21</v>
      </c>
      <c r="F129" t="s">
        <v>22</v>
      </c>
      <c r="H129" t="s">
        <v>71</v>
      </c>
      <c r="I129" t="s">
        <v>3617</v>
      </c>
      <c r="J129" t="s">
        <v>675</v>
      </c>
      <c r="K129" t="s">
        <v>430</v>
      </c>
      <c r="L129" t="s">
        <v>3618</v>
      </c>
      <c r="M129" t="s">
        <v>675</v>
      </c>
      <c r="N129" t="s">
        <v>676</v>
      </c>
      <c r="O129" t="s">
        <v>677</v>
      </c>
      <c r="Q129" t="s">
        <v>3599</v>
      </c>
      <c r="R129" t="s">
        <v>3599</v>
      </c>
      <c r="S129" t="s">
        <v>3599</v>
      </c>
      <c r="T129">
        <v>1</v>
      </c>
      <c r="U129" t="s">
        <v>430</v>
      </c>
      <c r="V129">
        <v>4</v>
      </c>
      <c r="W129">
        <v>0</v>
      </c>
      <c r="X129">
        <v>1108360</v>
      </c>
      <c r="Y129">
        <v>1100000</v>
      </c>
    </row>
    <row r="130" spans="1:25" x14ac:dyDescent="0.3">
      <c r="A130" t="s">
        <v>678</v>
      </c>
      <c r="B130" t="s">
        <v>679</v>
      </c>
      <c r="C130">
        <v>1</v>
      </c>
      <c r="D130" t="s">
        <v>11</v>
      </c>
      <c r="E130" t="s">
        <v>21</v>
      </c>
      <c r="F130" t="s">
        <v>22</v>
      </c>
      <c r="H130" t="s">
        <v>71</v>
      </c>
      <c r="I130" t="s">
        <v>3617</v>
      </c>
      <c r="J130" t="s">
        <v>678</v>
      </c>
      <c r="K130" t="s">
        <v>430</v>
      </c>
      <c r="L130" t="s">
        <v>3618</v>
      </c>
      <c r="M130" t="s">
        <v>678</v>
      </c>
      <c r="N130" t="s">
        <v>679</v>
      </c>
      <c r="Q130" t="s">
        <v>3599</v>
      </c>
      <c r="R130" t="s">
        <v>3599</v>
      </c>
      <c r="S130" t="s">
        <v>3599</v>
      </c>
      <c r="T130">
        <v>1</v>
      </c>
      <c r="U130" t="s">
        <v>430</v>
      </c>
      <c r="V130">
        <v>4</v>
      </c>
      <c r="W130">
        <v>0</v>
      </c>
      <c r="X130">
        <v>1052579</v>
      </c>
      <c r="Y130">
        <v>2100000</v>
      </c>
    </row>
    <row r="131" spans="1:25" x14ac:dyDescent="0.3">
      <c r="A131" t="s">
        <v>680</v>
      </c>
      <c r="B131" t="s">
        <v>681</v>
      </c>
      <c r="C131">
        <v>1</v>
      </c>
      <c r="D131" t="s">
        <v>11</v>
      </c>
      <c r="E131" t="s">
        <v>21</v>
      </c>
      <c r="F131" t="s">
        <v>22</v>
      </c>
      <c r="H131" t="s">
        <v>71</v>
      </c>
      <c r="I131" t="s">
        <v>3617</v>
      </c>
      <c r="J131" t="s">
        <v>680</v>
      </c>
      <c r="K131" t="s">
        <v>430</v>
      </c>
      <c r="L131" t="s">
        <v>3618</v>
      </c>
      <c r="M131" t="s">
        <v>680</v>
      </c>
      <c r="N131" t="s">
        <v>681</v>
      </c>
      <c r="O131" t="s">
        <v>682</v>
      </c>
      <c r="Q131" t="s">
        <v>3599</v>
      </c>
      <c r="R131" t="s">
        <v>3599</v>
      </c>
      <c r="S131" t="s">
        <v>3599</v>
      </c>
      <c r="T131">
        <v>1</v>
      </c>
      <c r="U131" t="s">
        <v>430</v>
      </c>
      <c r="V131">
        <v>4</v>
      </c>
      <c r="W131">
        <v>0</v>
      </c>
      <c r="X131">
        <v>1035000</v>
      </c>
      <c r="Y131">
        <v>2100000</v>
      </c>
    </row>
    <row r="132" spans="1:25" x14ac:dyDescent="0.3">
      <c r="A132" t="s">
        <v>683</v>
      </c>
      <c r="B132" t="s">
        <v>684</v>
      </c>
      <c r="C132">
        <v>1</v>
      </c>
      <c r="D132" t="s">
        <v>11</v>
      </c>
      <c r="E132" t="s">
        <v>21</v>
      </c>
      <c r="F132" t="s">
        <v>22</v>
      </c>
      <c r="H132" t="s">
        <v>71</v>
      </c>
      <c r="I132" t="s">
        <v>3617</v>
      </c>
      <c r="J132" t="s">
        <v>683</v>
      </c>
      <c r="K132" t="s">
        <v>430</v>
      </c>
      <c r="L132" t="s">
        <v>3618</v>
      </c>
      <c r="M132" t="s">
        <v>683</v>
      </c>
      <c r="N132" t="s">
        <v>684</v>
      </c>
      <c r="Q132" t="s">
        <v>3599</v>
      </c>
      <c r="R132" t="s">
        <v>3599</v>
      </c>
      <c r="S132" t="s">
        <v>3599</v>
      </c>
      <c r="T132">
        <v>1</v>
      </c>
      <c r="U132" t="s">
        <v>430</v>
      </c>
      <c r="V132">
        <v>4</v>
      </c>
      <c r="W132">
        <v>0</v>
      </c>
      <c r="X132">
        <v>1015069</v>
      </c>
      <c r="Y132">
        <v>1000000</v>
      </c>
    </row>
    <row r="133" spans="1:25" x14ac:dyDescent="0.3">
      <c r="A133" t="s">
        <v>685</v>
      </c>
      <c r="B133" t="s">
        <v>686</v>
      </c>
      <c r="C133">
        <v>1</v>
      </c>
      <c r="D133" t="s">
        <v>11</v>
      </c>
      <c r="E133" t="s">
        <v>21</v>
      </c>
      <c r="F133" t="s">
        <v>22</v>
      </c>
      <c r="H133" t="s">
        <v>71</v>
      </c>
      <c r="I133" t="s">
        <v>3617</v>
      </c>
      <c r="J133" t="s">
        <v>685</v>
      </c>
      <c r="K133" t="s">
        <v>430</v>
      </c>
      <c r="L133" t="s">
        <v>3618</v>
      </c>
      <c r="M133" t="s">
        <v>685</v>
      </c>
      <c r="N133" t="s">
        <v>686</v>
      </c>
      <c r="O133" t="s">
        <v>687</v>
      </c>
      <c r="Q133" t="s">
        <v>3599</v>
      </c>
      <c r="R133" t="s">
        <v>3599</v>
      </c>
      <c r="S133" t="s">
        <v>3599</v>
      </c>
      <c r="T133">
        <v>1</v>
      </c>
      <c r="U133" t="s">
        <v>430</v>
      </c>
      <c r="V133">
        <v>4</v>
      </c>
      <c r="W133">
        <v>0</v>
      </c>
      <c r="X133">
        <v>1007807.9</v>
      </c>
      <c r="Y133">
        <v>1000000</v>
      </c>
    </row>
    <row r="134" spans="1:25" x14ac:dyDescent="0.3">
      <c r="A134" t="s">
        <v>688</v>
      </c>
      <c r="B134" t="s">
        <v>689</v>
      </c>
      <c r="C134">
        <v>1</v>
      </c>
      <c r="D134" t="s">
        <v>11</v>
      </c>
      <c r="E134" t="s">
        <v>21</v>
      </c>
      <c r="F134" t="s">
        <v>22</v>
      </c>
      <c r="H134" t="s">
        <v>71</v>
      </c>
      <c r="I134" t="s">
        <v>3617</v>
      </c>
      <c r="J134" t="s">
        <v>688</v>
      </c>
      <c r="K134" t="s">
        <v>430</v>
      </c>
      <c r="L134" t="s">
        <v>3618</v>
      </c>
      <c r="M134" t="s">
        <v>688</v>
      </c>
      <c r="N134" t="s">
        <v>689</v>
      </c>
      <c r="O134" t="s">
        <v>489</v>
      </c>
      <c r="P134" t="s">
        <v>690</v>
      </c>
      <c r="Q134" t="s">
        <v>3599</v>
      </c>
      <c r="R134" t="s">
        <v>3599</v>
      </c>
      <c r="S134" t="s">
        <v>3599</v>
      </c>
      <c r="T134">
        <v>1</v>
      </c>
      <c r="U134" t="s">
        <v>430</v>
      </c>
      <c r="V134">
        <v>4</v>
      </c>
      <c r="W134">
        <v>0</v>
      </c>
      <c r="X134">
        <v>1000000</v>
      </c>
      <c r="Y134">
        <v>1000000</v>
      </c>
    </row>
    <row r="135" spans="1:25" x14ac:dyDescent="0.3">
      <c r="A135" t="s">
        <v>691</v>
      </c>
      <c r="B135" t="s">
        <v>692</v>
      </c>
      <c r="C135">
        <v>1</v>
      </c>
      <c r="D135" t="s">
        <v>11</v>
      </c>
      <c r="E135" t="s">
        <v>21</v>
      </c>
      <c r="F135" t="s">
        <v>22</v>
      </c>
      <c r="H135" t="s">
        <v>71</v>
      </c>
      <c r="I135" t="s">
        <v>3617</v>
      </c>
      <c r="J135" t="s">
        <v>691</v>
      </c>
      <c r="K135" t="s">
        <v>430</v>
      </c>
      <c r="L135" t="s">
        <v>3618</v>
      </c>
      <c r="M135" t="s">
        <v>691</v>
      </c>
      <c r="N135" t="s">
        <v>692</v>
      </c>
      <c r="Q135" t="s">
        <v>3599</v>
      </c>
      <c r="R135" t="s">
        <v>3599</v>
      </c>
      <c r="S135" t="s">
        <v>3599</v>
      </c>
      <c r="T135">
        <v>1</v>
      </c>
      <c r="U135" t="s">
        <v>430</v>
      </c>
      <c r="V135">
        <v>4</v>
      </c>
      <c r="W135">
        <v>0</v>
      </c>
      <c r="X135">
        <v>1000000</v>
      </c>
      <c r="Y135">
        <v>1000000</v>
      </c>
    </row>
    <row r="136" spans="1:25" x14ac:dyDescent="0.3">
      <c r="A136" t="s">
        <v>693</v>
      </c>
      <c r="B136" t="s">
        <v>47</v>
      </c>
      <c r="C136">
        <v>1</v>
      </c>
      <c r="D136" t="s">
        <v>11</v>
      </c>
      <c r="E136" t="s">
        <v>21</v>
      </c>
      <c r="F136" t="s">
        <v>22</v>
      </c>
      <c r="H136" t="s">
        <v>71</v>
      </c>
      <c r="I136" t="s">
        <v>3617</v>
      </c>
      <c r="J136" t="s">
        <v>693</v>
      </c>
      <c r="K136" t="s">
        <v>430</v>
      </c>
      <c r="L136" t="s">
        <v>3618</v>
      </c>
      <c r="M136" t="s">
        <v>693</v>
      </c>
      <c r="N136" t="s">
        <v>47</v>
      </c>
      <c r="Q136" t="s">
        <v>3599</v>
      </c>
      <c r="R136" t="s">
        <v>3599</v>
      </c>
      <c r="S136" t="s">
        <v>3599</v>
      </c>
      <c r="T136">
        <v>1</v>
      </c>
      <c r="U136" t="s">
        <v>430</v>
      </c>
      <c r="V136">
        <v>4</v>
      </c>
      <c r="W136">
        <v>0</v>
      </c>
      <c r="X136">
        <v>908190.91999999993</v>
      </c>
      <c r="Y136">
        <v>100000</v>
      </c>
    </row>
    <row r="137" spans="1:25" x14ac:dyDescent="0.3">
      <c r="A137" t="s">
        <v>694</v>
      </c>
      <c r="B137" t="s">
        <v>695</v>
      </c>
      <c r="C137">
        <v>1</v>
      </c>
      <c r="D137" t="s">
        <v>11</v>
      </c>
      <c r="E137" t="s">
        <v>21</v>
      </c>
      <c r="F137" t="s">
        <v>22</v>
      </c>
      <c r="H137" t="s">
        <v>71</v>
      </c>
      <c r="I137" t="s">
        <v>3617</v>
      </c>
      <c r="J137" t="s">
        <v>694</v>
      </c>
      <c r="K137" t="s">
        <v>430</v>
      </c>
      <c r="L137" t="s">
        <v>3618</v>
      </c>
      <c r="M137" t="s">
        <v>694</v>
      </c>
      <c r="N137" t="s">
        <v>695</v>
      </c>
      <c r="Q137" t="s">
        <v>3599</v>
      </c>
      <c r="R137" t="s">
        <v>3599</v>
      </c>
      <c r="S137" t="s">
        <v>3599</v>
      </c>
      <c r="T137">
        <v>1</v>
      </c>
      <c r="U137" t="s">
        <v>430</v>
      </c>
      <c r="V137">
        <v>4</v>
      </c>
      <c r="W137">
        <v>0</v>
      </c>
      <c r="X137">
        <v>901087</v>
      </c>
      <c r="Y137">
        <v>1800000</v>
      </c>
    </row>
    <row r="138" spans="1:25" x14ac:dyDescent="0.3">
      <c r="A138" t="s">
        <v>696</v>
      </c>
      <c r="B138" t="s">
        <v>697</v>
      </c>
      <c r="C138">
        <v>1</v>
      </c>
      <c r="D138" t="s">
        <v>11</v>
      </c>
      <c r="E138" t="s">
        <v>21</v>
      </c>
      <c r="F138" t="s">
        <v>22</v>
      </c>
      <c r="H138" t="s">
        <v>71</v>
      </c>
      <c r="I138" t="s">
        <v>3617</v>
      </c>
      <c r="J138" t="s">
        <v>696</v>
      </c>
      <c r="K138" t="s">
        <v>430</v>
      </c>
      <c r="L138" t="s">
        <v>3618</v>
      </c>
      <c r="M138" t="s">
        <v>696</v>
      </c>
      <c r="N138" t="s">
        <v>697</v>
      </c>
      <c r="Q138" t="s">
        <v>3599</v>
      </c>
      <c r="R138" t="s">
        <v>3599</v>
      </c>
      <c r="S138" t="s">
        <v>3599</v>
      </c>
      <c r="T138">
        <v>1</v>
      </c>
      <c r="U138" t="s">
        <v>430</v>
      </c>
      <c r="V138">
        <v>4</v>
      </c>
      <c r="W138">
        <v>0</v>
      </c>
      <c r="X138">
        <v>892375</v>
      </c>
      <c r="Y138">
        <v>900000</v>
      </c>
    </row>
    <row r="139" spans="1:25" x14ac:dyDescent="0.3">
      <c r="A139" t="s">
        <v>698</v>
      </c>
      <c r="B139" t="s">
        <v>699</v>
      </c>
      <c r="C139">
        <v>1</v>
      </c>
      <c r="D139" t="s">
        <v>11</v>
      </c>
      <c r="E139" t="s">
        <v>21</v>
      </c>
      <c r="F139" t="s">
        <v>22</v>
      </c>
      <c r="H139" t="s">
        <v>71</v>
      </c>
      <c r="I139" t="s">
        <v>3617</v>
      </c>
      <c r="K139" t="s">
        <v>430</v>
      </c>
      <c r="L139" t="s">
        <v>3618</v>
      </c>
      <c r="N139" t="s">
        <v>699</v>
      </c>
      <c r="Q139" t="s">
        <v>3599</v>
      </c>
      <c r="R139" t="s">
        <v>3599</v>
      </c>
      <c r="S139" t="s">
        <v>3599</v>
      </c>
      <c r="T139">
        <v>1</v>
      </c>
      <c r="U139" t="s">
        <v>430</v>
      </c>
      <c r="V139">
        <v>4</v>
      </c>
      <c r="W139">
        <v>0</v>
      </c>
      <c r="X139">
        <v>815548.43</v>
      </c>
      <c r="Y139">
        <v>300000</v>
      </c>
    </row>
    <row r="140" spans="1:25" x14ac:dyDescent="0.3">
      <c r="A140" t="s">
        <v>700</v>
      </c>
      <c r="B140" t="s">
        <v>701</v>
      </c>
      <c r="C140">
        <v>1</v>
      </c>
      <c r="D140" t="s">
        <v>11</v>
      </c>
      <c r="E140" t="s">
        <v>21</v>
      </c>
      <c r="F140" t="s">
        <v>22</v>
      </c>
      <c r="H140" t="s">
        <v>71</v>
      </c>
      <c r="I140" t="s">
        <v>3617</v>
      </c>
      <c r="J140" t="s">
        <v>700</v>
      </c>
      <c r="K140" t="s">
        <v>430</v>
      </c>
      <c r="L140" t="s">
        <v>3618</v>
      </c>
      <c r="M140" t="s">
        <v>700</v>
      </c>
      <c r="N140" t="s">
        <v>701</v>
      </c>
      <c r="O140" t="s">
        <v>702</v>
      </c>
      <c r="Q140" t="s">
        <v>3599</v>
      </c>
      <c r="R140" t="s">
        <v>3599</v>
      </c>
      <c r="S140" t="s">
        <v>3599</v>
      </c>
      <c r="T140">
        <v>1</v>
      </c>
      <c r="U140" t="s">
        <v>430</v>
      </c>
      <c r="V140">
        <v>4</v>
      </c>
      <c r="W140">
        <v>0</v>
      </c>
      <c r="X140">
        <v>752215.47</v>
      </c>
      <c r="Y140">
        <v>400000</v>
      </c>
    </row>
    <row r="141" spans="1:25" x14ac:dyDescent="0.3">
      <c r="A141" t="s">
        <v>703</v>
      </c>
      <c r="B141" t="s">
        <v>704</v>
      </c>
      <c r="C141">
        <v>1</v>
      </c>
      <c r="D141" t="s">
        <v>11</v>
      </c>
      <c r="E141" t="s">
        <v>21</v>
      </c>
      <c r="F141" t="s">
        <v>22</v>
      </c>
      <c r="H141" t="s">
        <v>71</v>
      </c>
      <c r="I141" t="s">
        <v>3617</v>
      </c>
      <c r="J141" t="s">
        <v>703</v>
      </c>
      <c r="K141" t="s">
        <v>430</v>
      </c>
      <c r="L141" t="s">
        <v>3618</v>
      </c>
      <c r="M141" t="s">
        <v>703</v>
      </c>
      <c r="N141" t="s">
        <v>704</v>
      </c>
      <c r="Q141" t="s">
        <v>3599</v>
      </c>
      <c r="R141" t="s">
        <v>3599</v>
      </c>
      <c r="S141" t="s">
        <v>3599</v>
      </c>
      <c r="T141">
        <v>1</v>
      </c>
      <c r="U141" t="s">
        <v>430</v>
      </c>
      <c r="V141">
        <v>4</v>
      </c>
      <c r="W141">
        <v>0</v>
      </c>
      <c r="X141">
        <v>750000</v>
      </c>
      <c r="Y141">
        <v>1500000</v>
      </c>
    </row>
    <row r="142" spans="1:25" x14ac:dyDescent="0.3">
      <c r="A142" t="s">
        <v>703</v>
      </c>
      <c r="B142" t="s">
        <v>704</v>
      </c>
      <c r="C142">
        <v>1</v>
      </c>
      <c r="D142" t="s">
        <v>11</v>
      </c>
      <c r="E142" t="s">
        <v>21</v>
      </c>
      <c r="F142" t="s">
        <v>22</v>
      </c>
      <c r="H142" t="s">
        <v>71</v>
      </c>
      <c r="I142" t="s">
        <v>3617</v>
      </c>
      <c r="J142" t="s">
        <v>703</v>
      </c>
      <c r="K142" t="s">
        <v>430</v>
      </c>
      <c r="L142" t="s">
        <v>3618</v>
      </c>
      <c r="M142" t="s">
        <v>703</v>
      </c>
      <c r="N142" t="s">
        <v>704</v>
      </c>
      <c r="O142" t="s">
        <v>705</v>
      </c>
      <c r="Q142" t="s">
        <v>3599</v>
      </c>
      <c r="R142" t="s">
        <v>3599</v>
      </c>
      <c r="S142" t="s">
        <v>3599</v>
      </c>
      <c r="T142">
        <v>1</v>
      </c>
      <c r="U142" t="s">
        <v>430</v>
      </c>
      <c r="V142">
        <v>4</v>
      </c>
      <c r="W142">
        <v>0</v>
      </c>
      <c r="X142">
        <v>750000</v>
      </c>
      <c r="Y142">
        <v>1500000</v>
      </c>
    </row>
    <row r="143" spans="1:25" x14ac:dyDescent="0.3">
      <c r="A143" t="s">
        <v>706</v>
      </c>
      <c r="B143" t="s">
        <v>707</v>
      </c>
      <c r="C143">
        <v>1</v>
      </c>
      <c r="D143" t="s">
        <v>11</v>
      </c>
      <c r="E143" t="s">
        <v>21</v>
      </c>
      <c r="F143" t="s">
        <v>22</v>
      </c>
      <c r="H143" t="s">
        <v>71</v>
      </c>
      <c r="I143" t="s">
        <v>3617</v>
      </c>
      <c r="J143" t="s">
        <v>706</v>
      </c>
      <c r="K143" t="s">
        <v>430</v>
      </c>
      <c r="L143" t="s">
        <v>3618</v>
      </c>
      <c r="M143" t="s">
        <v>706</v>
      </c>
      <c r="N143" t="s">
        <v>707</v>
      </c>
      <c r="Q143" t="s">
        <v>3599</v>
      </c>
      <c r="R143" t="s">
        <v>3599</v>
      </c>
      <c r="S143" t="s">
        <v>3599</v>
      </c>
      <c r="T143">
        <v>1</v>
      </c>
      <c r="U143" t="s">
        <v>430</v>
      </c>
      <c r="V143">
        <v>4</v>
      </c>
      <c r="W143">
        <v>0</v>
      </c>
      <c r="X143">
        <v>727480</v>
      </c>
      <c r="Y143">
        <v>1500000</v>
      </c>
    </row>
    <row r="144" spans="1:25" x14ac:dyDescent="0.3">
      <c r="A144" t="s">
        <v>708</v>
      </c>
      <c r="B144" t="s">
        <v>709</v>
      </c>
      <c r="C144">
        <v>1</v>
      </c>
      <c r="D144" t="s">
        <v>11</v>
      </c>
      <c r="E144" t="s">
        <v>21</v>
      </c>
      <c r="F144" t="s">
        <v>22</v>
      </c>
      <c r="H144" t="s">
        <v>71</v>
      </c>
      <c r="I144" t="s">
        <v>3617</v>
      </c>
      <c r="J144" t="s">
        <v>708</v>
      </c>
      <c r="K144" t="s">
        <v>430</v>
      </c>
      <c r="L144" t="s">
        <v>3618</v>
      </c>
      <c r="M144" t="s">
        <v>708</v>
      </c>
      <c r="N144" t="s">
        <v>709</v>
      </c>
      <c r="Q144" t="s">
        <v>3599</v>
      </c>
      <c r="R144" t="s">
        <v>3599</v>
      </c>
      <c r="S144" t="s">
        <v>3599</v>
      </c>
      <c r="T144">
        <v>1</v>
      </c>
      <c r="U144" t="s">
        <v>430</v>
      </c>
      <c r="V144">
        <v>4</v>
      </c>
      <c r="W144">
        <v>0</v>
      </c>
      <c r="X144">
        <v>701800</v>
      </c>
      <c r="Y144">
        <v>1400000</v>
      </c>
    </row>
    <row r="145" spans="1:25" x14ac:dyDescent="0.3">
      <c r="A145" t="s">
        <v>710</v>
      </c>
      <c r="B145" t="s">
        <v>711</v>
      </c>
      <c r="C145">
        <v>1</v>
      </c>
      <c r="D145" t="s">
        <v>11</v>
      </c>
      <c r="E145" t="s">
        <v>21</v>
      </c>
      <c r="F145" t="s">
        <v>22</v>
      </c>
      <c r="H145" t="s">
        <v>71</v>
      </c>
      <c r="I145" t="s">
        <v>3617</v>
      </c>
      <c r="J145" t="s">
        <v>710</v>
      </c>
      <c r="K145" t="s">
        <v>430</v>
      </c>
      <c r="L145" t="s">
        <v>3618</v>
      </c>
      <c r="M145" t="s">
        <v>710</v>
      </c>
      <c r="N145" t="s">
        <v>711</v>
      </c>
      <c r="Q145" t="s">
        <v>3599</v>
      </c>
      <c r="R145" t="s">
        <v>3599</v>
      </c>
      <c r="S145" t="s">
        <v>3599</v>
      </c>
      <c r="T145">
        <v>1</v>
      </c>
      <c r="U145" t="s">
        <v>430</v>
      </c>
      <c r="V145">
        <v>4</v>
      </c>
      <c r="W145">
        <v>0</v>
      </c>
      <c r="X145">
        <v>690449.37</v>
      </c>
      <c r="Y145">
        <v>500000</v>
      </c>
    </row>
    <row r="146" spans="1:25" x14ac:dyDescent="0.3">
      <c r="A146" t="s">
        <v>712</v>
      </c>
      <c r="B146" t="s">
        <v>713</v>
      </c>
      <c r="C146">
        <v>1</v>
      </c>
      <c r="D146" t="s">
        <v>11</v>
      </c>
      <c r="E146" t="s">
        <v>21</v>
      </c>
      <c r="F146" t="s">
        <v>22</v>
      </c>
      <c r="H146" t="s">
        <v>71</v>
      </c>
      <c r="I146" t="s">
        <v>3617</v>
      </c>
      <c r="J146" t="s">
        <v>712</v>
      </c>
      <c r="K146" t="s">
        <v>430</v>
      </c>
      <c r="L146" t="s">
        <v>3618</v>
      </c>
      <c r="M146" t="s">
        <v>712</v>
      </c>
      <c r="N146" t="s">
        <v>713</v>
      </c>
      <c r="O146" t="s">
        <v>714</v>
      </c>
      <c r="Q146" t="s">
        <v>3599</v>
      </c>
      <c r="R146" t="s">
        <v>3599</v>
      </c>
      <c r="S146" t="s">
        <v>3599</v>
      </c>
      <c r="T146">
        <v>1</v>
      </c>
      <c r="U146" t="s">
        <v>430</v>
      </c>
      <c r="V146">
        <v>4</v>
      </c>
      <c r="W146">
        <v>0</v>
      </c>
      <c r="X146">
        <v>687400</v>
      </c>
      <c r="Y146">
        <v>500000</v>
      </c>
    </row>
    <row r="147" spans="1:25" x14ac:dyDescent="0.3">
      <c r="A147" t="s">
        <v>715</v>
      </c>
      <c r="B147" t="s">
        <v>716</v>
      </c>
      <c r="C147">
        <v>1</v>
      </c>
      <c r="D147" t="s">
        <v>11</v>
      </c>
      <c r="E147" t="s">
        <v>21</v>
      </c>
      <c r="F147" t="s">
        <v>22</v>
      </c>
      <c r="H147" t="s">
        <v>71</v>
      </c>
      <c r="I147" t="s">
        <v>3617</v>
      </c>
      <c r="J147" t="s">
        <v>715</v>
      </c>
      <c r="K147" t="s">
        <v>430</v>
      </c>
      <c r="L147" t="s">
        <v>3618</v>
      </c>
      <c r="M147" t="s">
        <v>715</v>
      </c>
      <c r="N147" t="s">
        <v>716</v>
      </c>
      <c r="Q147" t="s">
        <v>3599</v>
      </c>
      <c r="R147" t="s">
        <v>3599</v>
      </c>
      <c r="S147" t="s">
        <v>3599</v>
      </c>
      <c r="T147">
        <v>1</v>
      </c>
      <c r="U147" t="s">
        <v>430</v>
      </c>
      <c r="V147">
        <v>4</v>
      </c>
      <c r="W147">
        <v>0</v>
      </c>
      <c r="X147">
        <v>624360</v>
      </c>
      <c r="Y147">
        <v>1200000</v>
      </c>
    </row>
    <row r="148" spans="1:25" x14ac:dyDescent="0.3">
      <c r="A148" t="s">
        <v>717</v>
      </c>
      <c r="B148" t="s">
        <v>91</v>
      </c>
      <c r="C148">
        <v>1</v>
      </c>
      <c r="D148" t="s">
        <v>11</v>
      </c>
      <c r="E148" t="s">
        <v>21</v>
      </c>
      <c r="F148" t="s">
        <v>22</v>
      </c>
      <c r="H148" t="s">
        <v>71</v>
      </c>
      <c r="I148" t="s">
        <v>3617</v>
      </c>
      <c r="J148" t="s">
        <v>717</v>
      </c>
      <c r="K148" t="s">
        <v>430</v>
      </c>
      <c r="L148" t="s">
        <v>3618</v>
      </c>
      <c r="M148" t="s">
        <v>717</v>
      </c>
      <c r="N148" t="s">
        <v>91</v>
      </c>
      <c r="Q148" t="s">
        <v>3599</v>
      </c>
      <c r="R148" t="s">
        <v>3599</v>
      </c>
      <c r="S148" t="s">
        <v>3599</v>
      </c>
      <c r="T148">
        <v>1</v>
      </c>
      <c r="U148" t="s">
        <v>430</v>
      </c>
      <c r="V148">
        <v>4</v>
      </c>
      <c r="W148">
        <v>0</v>
      </c>
      <c r="X148">
        <v>615829.5</v>
      </c>
      <c r="Y148">
        <v>600000</v>
      </c>
    </row>
    <row r="149" spans="1:25" x14ac:dyDescent="0.3">
      <c r="A149" t="s">
        <v>718</v>
      </c>
      <c r="B149" t="s">
        <v>719</v>
      </c>
      <c r="C149">
        <v>1</v>
      </c>
      <c r="D149" t="s">
        <v>11</v>
      </c>
      <c r="E149" t="s">
        <v>21</v>
      </c>
      <c r="F149" t="s">
        <v>22</v>
      </c>
      <c r="H149" t="s">
        <v>71</v>
      </c>
      <c r="I149" t="s">
        <v>3617</v>
      </c>
      <c r="J149" t="s">
        <v>718</v>
      </c>
      <c r="K149" t="s">
        <v>430</v>
      </c>
      <c r="L149" t="s">
        <v>3618</v>
      </c>
      <c r="M149" t="s">
        <v>718</v>
      </c>
      <c r="N149" t="s">
        <v>719</v>
      </c>
      <c r="Q149" t="s">
        <v>3599</v>
      </c>
      <c r="R149" t="s">
        <v>3599</v>
      </c>
      <c r="S149" t="s">
        <v>3599</v>
      </c>
      <c r="T149">
        <v>1</v>
      </c>
      <c r="U149" t="s">
        <v>430</v>
      </c>
      <c r="V149">
        <v>4</v>
      </c>
      <c r="W149">
        <v>0</v>
      </c>
      <c r="X149">
        <v>560000</v>
      </c>
      <c r="Y149">
        <v>100000</v>
      </c>
    </row>
    <row r="150" spans="1:25" x14ac:dyDescent="0.3">
      <c r="A150" t="s">
        <v>720</v>
      </c>
      <c r="B150" t="s">
        <v>721</v>
      </c>
      <c r="C150">
        <v>1</v>
      </c>
      <c r="D150" t="s">
        <v>11</v>
      </c>
      <c r="E150" t="s">
        <v>21</v>
      </c>
      <c r="F150" t="s">
        <v>22</v>
      </c>
      <c r="H150" t="s">
        <v>71</v>
      </c>
      <c r="I150" t="s">
        <v>3617</v>
      </c>
      <c r="J150" t="s">
        <v>720</v>
      </c>
      <c r="K150" t="s">
        <v>430</v>
      </c>
      <c r="L150" t="s">
        <v>3618</v>
      </c>
      <c r="M150" t="s">
        <v>720</v>
      </c>
      <c r="N150" t="s">
        <v>721</v>
      </c>
      <c r="Q150" t="s">
        <v>3599</v>
      </c>
      <c r="R150" t="s">
        <v>3599</v>
      </c>
      <c r="S150" t="s">
        <v>3599</v>
      </c>
      <c r="T150">
        <v>1</v>
      </c>
      <c r="U150" t="s">
        <v>430</v>
      </c>
      <c r="V150">
        <v>4</v>
      </c>
      <c r="W150">
        <v>0</v>
      </c>
      <c r="X150">
        <v>549083.48</v>
      </c>
      <c r="Y150">
        <v>500000</v>
      </c>
    </row>
    <row r="151" spans="1:25" x14ac:dyDescent="0.3">
      <c r="A151" t="s">
        <v>722</v>
      </c>
      <c r="B151" t="s">
        <v>723</v>
      </c>
      <c r="C151">
        <v>1</v>
      </c>
      <c r="D151" t="s">
        <v>11</v>
      </c>
      <c r="E151" t="s">
        <v>21</v>
      </c>
      <c r="F151" t="s">
        <v>22</v>
      </c>
      <c r="H151" t="s">
        <v>71</v>
      </c>
      <c r="I151" t="s">
        <v>3617</v>
      </c>
      <c r="J151" t="s">
        <v>722</v>
      </c>
      <c r="K151" t="s">
        <v>430</v>
      </c>
      <c r="L151" t="s">
        <v>3618</v>
      </c>
      <c r="M151" t="s">
        <v>722</v>
      </c>
      <c r="N151" t="s">
        <v>723</v>
      </c>
      <c r="O151" t="s">
        <v>724</v>
      </c>
      <c r="Q151" t="s">
        <v>3599</v>
      </c>
      <c r="R151" t="s">
        <v>3599</v>
      </c>
      <c r="S151" t="s">
        <v>3599</v>
      </c>
      <c r="T151">
        <v>1</v>
      </c>
      <c r="U151" t="s">
        <v>430</v>
      </c>
      <c r="V151">
        <v>4</v>
      </c>
      <c r="W151">
        <v>0</v>
      </c>
      <c r="X151">
        <v>544499.66</v>
      </c>
      <c r="Y151">
        <v>1100000</v>
      </c>
    </row>
    <row r="152" spans="1:25" x14ac:dyDescent="0.3">
      <c r="A152" t="s">
        <v>725</v>
      </c>
      <c r="B152" t="s">
        <v>726</v>
      </c>
      <c r="C152">
        <v>1</v>
      </c>
      <c r="D152" t="s">
        <v>11</v>
      </c>
      <c r="E152" t="s">
        <v>21</v>
      </c>
      <c r="F152" t="s">
        <v>22</v>
      </c>
      <c r="H152" t="s">
        <v>71</v>
      </c>
      <c r="I152" t="s">
        <v>3617</v>
      </c>
      <c r="J152" t="s">
        <v>725</v>
      </c>
      <c r="K152" t="s">
        <v>430</v>
      </c>
      <c r="L152" t="s">
        <v>3618</v>
      </c>
      <c r="M152" t="s">
        <v>725</v>
      </c>
      <c r="N152" t="s">
        <v>726</v>
      </c>
      <c r="O152" t="s">
        <v>727</v>
      </c>
      <c r="Q152" t="s">
        <v>3599</v>
      </c>
      <c r="R152" t="s">
        <v>3599</v>
      </c>
      <c r="S152" t="s">
        <v>3599</v>
      </c>
      <c r="T152">
        <v>1</v>
      </c>
      <c r="U152" t="s">
        <v>430</v>
      </c>
      <c r="V152">
        <v>4</v>
      </c>
      <c r="W152">
        <v>0</v>
      </c>
      <c r="X152">
        <v>532400</v>
      </c>
      <c r="Y152">
        <v>400000</v>
      </c>
    </row>
    <row r="153" spans="1:25" x14ac:dyDescent="0.3">
      <c r="A153" t="s">
        <v>728</v>
      </c>
      <c r="B153" t="s">
        <v>729</v>
      </c>
      <c r="C153">
        <v>1</v>
      </c>
      <c r="D153" t="s">
        <v>11</v>
      </c>
      <c r="E153" t="s">
        <v>21</v>
      </c>
      <c r="F153" t="s">
        <v>22</v>
      </c>
      <c r="H153" t="s">
        <v>71</v>
      </c>
      <c r="I153" t="s">
        <v>3617</v>
      </c>
      <c r="J153" t="s">
        <v>728</v>
      </c>
      <c r="K153" t="s">
        <v>430</v>
      </c>
      <c r="L153" t="s">
        <v>3618</v>
      </c>
      <c r="M153" t="s">
        <v>728</v>
      </c>
      <c r="N153" t="s">
        <v>729</v>
      </c>
      <c r="O153" t="s">
        <v>730</v>
      </c>
      <c r="Q153" t="s">
        <v>3599</v>
      </c>
      <c r="R153" t="s">
        <v>3599</v>
      </c>
      <c r="S153" t="s">
        <v>3599</v>
      </c>
      <c r="T153">
        <v>1</v>
      </c>
      <c r="U153" t="s">
        <v>430</v>
      </c>
      <c r="V153">
        <v>4</v>
      </c>
      <c r="W153">
        <v>0</v>
      </c>
      <c r="X153">
        <v>519999</v>
      </c>
      <c r="Y153">
        <v>1000000</v>
      </c>
    </row>
    <row r="154" spans="1:25" x14ac:dyDescent="0.3">
      <c r="A154" t="s">
        <v>731</v>
      </c>
      <c r="B154" t="s">
        <v>732</v>
      </c>
      <c r="C154">
        <v>1</v>
      </c>
      <c r="D154" t="s">
        <v>11</v>
      </c>
      <c r="E154" t="s">
        <v>21</v>
      </c>
      <c r="F154" t="s">
        <v>22</v>
      </c>
      <c r="H154" t="s">
        <v>71</v>
      </c>
      <c r="I154" t="s">
        <v>3617</v>
      </c>
      <c r="K154" t="s">
        <v>430</v>
      </c>
      <c r="L154" t="s">
        <v>3618</v>
      </c>
      <c r="N154" t="s">
        <v>732</v>
      </c>
      <c r="Q154" t="s">
        <v>3599</v>
      </c>
      <c r="R154" t="s">
        <v>3599</v>
      </c>
      <c r="S154" t="s">
        <v>3599</v>
      </c>
      <c r="T154">
        <v>1</v>
      </c>
      <c r="U154" t="s">
        <v>430</v>
      </c>
      <c r="V154">
        <v>4</v>
      </c>
      <c r="W154">
        <v>0</v>
      </c>
      <c r="X154">
        <v>515510.08999999997</v>
      </c>
      <c r="Y154">
        <v>300000</v>
      </c>
    </row>
    <row r="155" spans="1:25" x14ac:dyDescent="0.3">
      <c r="A155" t="s">
        <v>733</v>
      </c>
      <c r="B155" t="s">
        <v>734</v>
      </c>
      <c r="C155">
        <v>1</v>
      </c>
      <c r="D155" t="s">
        <v>11</v>
      </c>
      <c r="E155" t="s">
        <v>21</v>
      </c>
      <c r="F155" t="s">
        <v>22</v>
      </c>
      <c r="H155" t="s">
        <v>71</v>
      </c>
      <c r="I155" t="s">
        <v>3617</v>
      </c>
      <c r="J155" t="s">
        <v>733</v>
      </c>
      <c r="K155" t="s">
        <v>430</v>
      </c>
      <c r="L155" t="s">
        <v>3618</v>
      </c>
      <c r="M155" t="s">
        <v>733</v>
      </c>
      <c r="N155" t="s">
        <v>734</v>
      </c>
      <c r="O155" t="s">
        <v>735</v>
      </c>
      <c r="Q155" t="s">
        <v>3599</v>
      </c>
      <c r="R155" t="s">
        <v>3599</v>
      </c>
      <c r="S155" t="s">
        <v>3599</v>
      </c>
      <c r="T155">
        <v>1</v>
      </c>
      <c r="U155" t="s">
        <v>430</v>
      </c>
      <c r="V155">
        <v>4</v>
      </c>
      <c r="W155">
        <v>0</v>
      </c>
      <c r="X155">
        <v>503872.8</v>
      </c>
      <c r="Y155">
        <v>1000000</v>
      </c>
    </row>
    <row r="156" spans="1:25" x14ac:dyDescent="0.3">
      <c r="A156" t="s">
        <v>736</v>
      </c>
      <c r="B156" t="s">
        <v>737</v>
      </c>
      <c r="C156">
        <v>1</v>
      </c>
      <c r="D156" t="s">
        <v>11</v>
      </c>
      <c r="E156" t="s">
        <v>21</v>
      </c>
      <c r="F156" t="s">
        <v>22</v>
      </c>
      <c r="H156" t="s">
        <v>71</v>
      </c>
      <c r="I156" t="s">
        <v>3617</v>
      </c>
      <c r="K156" t="s">
        <v>430</v>
      </c>
      <c r="L156" t="s">
        <v>3618</v>
      </c>
      <c r="N156" t="s">
        <v>737</v>
      </c>
      <c r="Q156" t="s">
        <v>3599</v>
      </c>
      <c r="R156" t="s">
        <v>3599</v>
      </c>
      <c r="S156" t="s">
        <v>3599</v>
      </c>
      <c r="T156">
        <v>1</v>
      </c>
      <c r="U156" t="s">
        <v>430</v>
      </c>
      <c r="V156">
        <v>4</v>
      </c>
      <c r="W156">
        <v>0</v>
      </c>
      <c r="X156">
        <v>435018.48</v>
      </c>
      <c r="Y156">
        <v>400000</v>
      </c>
    </row>
    <row r="157" spans="1:25" x14ac:dyDescent="0.3">
      <c r="A157" t="s">
        <v>738</v>
      </c>
      <c r="B157" t="s">
        <v>739</v>
      </c>
      <c r="C157">
        <v>1</v>
      </c>
      <c r="D157" t="s">
        <v>11</v>
      </c>
      <c r="E157" t="s">
        <v>21</v>
      </c>
      <c r="F157" t="s">
        <v>22</v>
      </c>
      <c r="H157" t="s">
        <v>71</v>
      </c>
      <c r="I157" t="s">
        <v>3617</v>
      </c>
      <c r="J157" t="s">
        <v>738</v>
      </c>
      <c r="K157" t="s">
        <v>430</v>
      </c>
      <c r="L157" t="s">
        <v>3618</v>
      </c>
      <c r="M157" t="s">
        <v>738</v>
      </c>
      <c r="N157" t="s">
        <v>739</v>
      </c>
      <c r="Q157" t="s">
        <v>3599</v>
      </c>
      <c r="R157" t="s">
        <v>3599</v>
      </c>
      <c r="S157" t="s">
        <v>3599</v>
      </c>
      <c r="T157">
        <v>1</v>
      </c>
      <c r="U157" t="s">
        <v>430</v>
      </c>
      <c r="V157">
        <v>4</v>
      </c>
      <c r="W157">
        <v>0</v>
      </c>
      <c r="X157">
        <v>427024</v>
      </c>
      <c r="Y157">
        <v>900000</v>
      </c>
    </row>
    <row r="158" spans="1:25" x14ac:dyDescent="0.3">
      <c r="A158" t="s">
        <v>740</v>
      </c>
      <c r="B158" t="s">
        <v>741</v>
      </c>
      <c r="C158">
        <v>1</v>
      </c>
      <c r="D158" t="s">
        <v>11</v>
      </c>
      <c r="E158" t="s">
        <v>21</v>
      </c>
      <c r="F158" t="s">
        <v>22</v>
      </c>
      <c r="H158" t="s">
        <v>71</v>
      </c>
      <c r="I158" t="s">
        <v>3617</v>
      </c>
      <c r="J158" t="s">
        <v>740</v>
      </c>
      <c r="K158" t="s">
        <v>430</v>
      </c>
      <c r="L158" t="s">
        <v>3618</v>
      </c>
      <c r="M158" t="s">
        <v>740</v>
      </c>
      <c r="N158" t="s">
        <v>741</v>
      </c>
      <c r="Q158" t="s">
        <v>3599</v>
      </c>
      <c r="R158" t="s">
        <v>3599</v>
      </c>
      <c r="S158" t="s">
        <v>3599</v>
      </c>
      <c r="T158">
        <v>1</v>
      </c>
      <c r="U158" t="s">
        <v>430</v>
      </c>
      <c r="V158">
        <v>4</v>
      </c>
      <c r="W158">
        <v>0</v>
      </c>
      <c r="X158">
        <v>409222</v>
      </c>
      <c r="Y158">
        <v>200000</v>
      </c>
    </row>
    <row r="159" spans="1:25" x14ac:dyDescent="0.3">
      <c r="A159" t="s">
        <v>742</v>
      </c>
      <c r="B159" t="s">
        <v>37</v>
      </c>
      <c r="C159">
        <v>1</v>
      </c>
      <c r="D159" t="s">
        <v>11</v>
      </c>
      <c r="E159" t="s">
        <v>21</v>
      </c>
      <c r="F159" t="s">
        <v>22</v>
      </c>
      <c r="H159" t="s">
        <v>71</v>
      </c>
      <c r="I159" t="s">
        <v>3617</v>
      </c>
      <c r="J159" t="s">
        <v>742</v>
      </c>
      <c r="K159" t="s">
        <v>430</v>
      </c>
      <c r="L159" t="s">
        <v>3618</v>
      </c>
      <c r="M159" t="s">
        <v>742</v>
      </c>
      <c r="N159" t="s">
        <v>37</v>
      </c>
      <c r="O159" t="s">
        <v>744</v>
      </c>
      <c r="P159" t="s">
        <v>743</v>
      </c>
      <c r="Q159" t="s">
        <v>3599</v>
      </c>
      <c r="R159" t="s">
        <v>3599</v>
      </c>
      <c r="S159" t="s">
        <v>3599</v>
      </c>
      <c r="T159">
        <v>1</v>
      </c>
      <c r="U159" t="s">
        <v>430</v>
      </c>
      <c r="V159">
        <v>4</v>
      </c>
      <c r="W159">
        <v>0</v>
      </c>
      <c r="X159">
        <v>406916.25</v>
      </c>
      <c r="Y159">
        <v>200000</v>
      </c>
    </row>
    <row r="160" spans="1:25" x14ac:dyDescent="0.3">
      <c r="A160" t="s">
        <v>745</v>
      </c>
      <c r="B160" t="s">
        <v>76</v>
      </c>
      <c r="C160">
        <v>1</v>
      </c>
      <c r="D160" t="s">
        <v>11</v>
      </c>
      <c r="E160" t="s">
        <v>21</v>
      </c>
      <c r="F160" t="s">
        <v>22</v>
      </c>
      <c r="H160" t="s">
        <v>71</v>
      </c>
      <c r="I160" t="s">
        <v>3617</v>
      </c>
      <c r="J160" t="s">
        <v>745</v>
      </c>
      <c r="K160" t="s">
        <v>430</v>
      </c>
      <c r="L160" t="s">
        <v>3618</v>
      </c>
      <c r="M160" t="s">
        <v>745</v>
      </c>
      <c r="N160" t="s">
        <v>76</v>
      </c>
      <c r="Q160" t="s">
        <v>3599</v>
      </c>
      <c r="R160" t="s">
        <v>3599</v>
      </c>
      <c r="S160" t="s">
        <v>3599</v>
      </c>
      <c r="T160">
        <v>1</v>
      </c>
      <c r="U160" t="s">
        <v>430</v>
      </c>
      <c r="V160">
        <v>4</v>
      </c>
      <c r="W160">
        <v>0</v>
      </c>
      <c r="X160">
        <v>398298.96999999986</v>
      </c>
      <c r="Y160">
        <v>0</v>
      </c>
    </row>
    <row r="161" spans="1:25" x14ac:dyDescent="0.3">
      <c r="A161" t="s">
        <v>745</v>
      </c>
      <c r="B161" t="s">
        <v>76</v>
      </c>
      <c r="C161">
        <v>1</v>
      </c>
      <c r="D161" t="s">
        <v>11</v>
      </c>
      <c r="E161" t="s">
        <v>21</v>
      </c>
      <c r="F161" t="s">
        <v>22</v>
      </c>
      <c r="H161" t="s">
        <v>71</v>
      </c>
      <c r="I161" t="s">
        <v>3617</v>
      </c>
      <c r="J161" t="s">
        <v>745</v>
      </c>
      <c r="K161" t="s">
        <v>430</v>
      </c>
      <c r="L161" t="s">
        <v>3618</v>
      </c>
      <c r="M161" t="s">
        <v>745</v>
      </c>
      <c r="N161" t="s">
        <v>76</v>
      </c>
      <c r="Q161" t="s">
        <v>3599</v>
      </c>
      <c r="R161" t="s">
        <v>3599</v>
      </c>
      <c r="S161" t="s">
        <v>3599</v>
      </c>
      <c r="T161">
        <v>1</v>
      </c>
      <c r="U161" t="s">
        <v>430</v>
      </c>
      <c r="V161">
        <v>4</v>
      </c>
      <c r="W161">
        <v>0</v>
      </c>
      <c r="X161">
        <v>398298.96999999986</v>
      </c>
      <c r="Y161">
        <v>0</v>
      </c>
    </row>
    <row r="162" spans="1:25" x14ac:dyDescent="0.3">
      <c r="A162" t="s">
        <v>746</v>
      </c>
      <c r="B162" t="s">
        <v>747</v>
      </c>
      <c r="C162">
        <v>1</v>
      </c>
      <c r="D162" t="s">
        <v>11</v>
      </c>
      <c r="E162" t="s">
        <v>21</v>
      </c>
      <c r="F162" t="s">
        <v>22</v>
      </c>
      <c r="H162" t="s">
        <v>71</v>
      </c>
      <c r="I162" t="s">
        <v>3617</v>
      </c>
      <c r="J162" t="s">
        <v>746</v>
      </c>
      <c r="K162" t="s">
        <v>430</v>
      </c>
      <c r="L162" t="s">
        <v>3618</v>
      </c>
      <c r="M162" t="s">
        <v>746</v>
      </c>
      <c r="N162" t="s">
        <v>747</v>
      </c>
      <c r="O162" t="s">
        <v>749</v>
      </c>
      <c r="P162" t="s">
        <v>748</v>
      </c>
      <c r="Q162" t="s">
        <v>3599</v>
      </c>
      <c r="R162" t="s">
        <v>3599</v>
      </c>
      <c r="S162" t="s">
        <v>3599</v>
      </c>
      <c r="T162">
        <v>1</v>
      </c>
      <c r="U162" t="s">
        <v>430</v>
      </c>
      <c r="V162">
        <v>4</v>
      </c>
      <c r="W162">
        <v>0</v>
      </c>
      <c r="X162">
        <v>394631.81999999995</v>
      </c>
      <c r="Y162">
        <v>400000</v>
      </c>
    </row>
    <row r="163" spans="1:25" x14ac:dyDescent="0.3">
      <c r="A163" t="s">
        <v>750</v>
      </c>
      <c r="B163" t="s">
        <v>751</v>
      </c>
      <c r="C163">
        <v>1</v>
      </c>
      <c r="D163" t="s">
        <v>11</v>
      </c>
      <c r="E163" t="s">
        <v>21</v>
      </c>
      <c r="F163" t="s">
        <v>22</v>
      </c>
      <c r="H163" t="s">
        <v>71</v>
      </c>
      <c r="I163" t="s">
        <v>3617</v>
      </c>
      <c r="J163" t="s">
        <v>750</v>
      </c>
      <c r="K163" t="s">
        <v>430</v>
      </c>
      <c r="L163" t="s">
        <v>3618</v>
      </c>
      <c r="M163" t="s">
        <v>750</v>
      </c>
      <c r="N163" t="s">
        <v>751</v>
      </c>
      <c r="Q163" t="s">
        <v>3599</v>
      </c>
      <c r="R163" t="s">
        <v>3599</v>
      </c>
      <c r="S163" t="s">
        <v>3599</v>
      </c>
      <c r="T163">
        <v>1</v>
      </c>
      <c r="U163" t="s">
        <v>430</v>
      </c>
      <c r="V163">
        <v>4</v>
      </c>
      <c r="W163">
        <v>0</v>
      </c>
      <c r="X163">
        <v>388022.80000000005</v>
      </c>
      <c r="Y163">
        <v>100000</v>
      </c>
    </row>
    <row r="164" spans="1:25" x14ac:dyDescent="0.3">
      <c r="A164" t="s">
        <v>752</v>
      </c>
      <c r="B164" t="s">
        <v>753</v>
      </c>
      <c r="C164">
        <v>1</v>
      </c>
      <c r="D164" t="s">
        <v>11</v>
      </c>
      <c r="E164" t="s">
        <v>21</v>
      </c>
      <c r="F164" t="s">
        <v>22</v>
      </c>
      <c r="H164" t="s">
        <v>71</v>
      </c>
      <c r="I164" t="s">
        <v>3617</v>
      </c>
      <c r="J164" t="s">
        <v>752</v>
      </c>
      <c r="K164" t="s">
        <v>430</v>
      </c>
      <c r="L164" t="s">
        <v>3618</v>
      </c>
      <c r="M164" t="s">
        <v>752</v>
      </c>
      <c r="N164" t="s">
        <v>753</v>
      </c>
      <c r="O164" t="s">
        <v>755</v>
      </c>
      <c r="P164" t="s">
        <v>754</v>
      </c>
      <c r="Q164" t="s">
        <v>3599</v>
      </c>
      <c r="R164" t="s">
        <v>3599</v>
      </c>
      <c r="S164" t="s">
        <v>3599</v>
      </c>
      <c r="T164">
        <v>1</v>
      </c>
      <c r="U164" t="s">
        <v>430</v>
      </c>
      <c r="V164">
        <v>4</v>
      </c>
      <c r="W164">
        <v>0</v>
      </c>
      <c r="X164">
        <v>375200.01</v>
      </c>
      <c r="Y164">
        <v>800000</v>
      </c>
    </row>
    <row r="165" spans="1:25" x14ac:dyDescent="0.3">
      <c r="A165" t="s">
        <v>756</v>
      </c>
      <c r="B165" t="s">
        <v>757</v>
      </c>
      <c r="C165">
        <v>1</v>
      </c>
      <c r="D165" t="s">
        <v>11</v>
      </c>
      <c r="E165" t="s">
        <v>21</v>
      </c>
      <c r="F165" t="s">
        <v>22</v>
      </c>
      <c r="H165" t="s">
        <v>71</v>
      </c>
      <c r="I165" t="s">
        <v>3617</v>
      </c>
      <c r="K165" t="s">
        <v>430</v>
      </c>
      <c r="L165" t="s">
        <v>3618</v>
      </c>
      <c r="N165" t="s">
        <v>757</v>
      </c>
      <c r="Q165" t="s">
        <v>3599</v>
      </c>
      <c r="R165" t="s">
        <v>3599</v>
      </c>
      <c r="S165" t="s">
        <v>3599</v>
      </c>
      <c r="T165">
        <v>1</v>
      </c>
      <c r="U165" t="s">
        <v>430</v>
      </c>
      <c r="V165">
        <v>4</v>
      </c>
      <c r="W165">
        <v>0</v>
      </c>
      <c r="X165">
        <v>363947.05</v>
      </c>
      <c r="Y165">
        <v>400000</v>
      </c>
    </row>
    <row r="166" spans="1:25" x14ac:dyDescent="0.3">
      <c r="A166" t="s">
        <v>758</v>
      </c>
      <c r="B166" t="s">
        <v>26</v>
      </c>
      <c r="C166">
        <v>1</v>
      </c>
      <c r="D166" t="s">
        <v>11</v>
      </c>
      <c r="E166" t="s">
        <v>21</v>
      </c>
      <c r="F166" t="s">
        <v>22</v>
      </c>
      <c r="H166" t="s">
        <v>71</v>
      </c>
      <c r="I166" t="s">
        <v>3617</v>
      </c>
      <c r="J166" t="s">
        <v>758</v>
      </c>
      <c r="K166" t="s">
        <v>430</v>
      </c>
      <c r="L166" t="s">
        <v>3618</v>
      </c>
      <c r="M166" t="s">
        <v>758</v>
      </c>
      <c r="N166" t="s">
        <v>26</v>
      </c>
      <c r="P166" t="s">
        <v>759</v>
      </c>
      <c r="Q166" t="s">
        <v>3599</v>
      </c>
      <c r="R166" t="s">
        <v>3599</v>
      </c>
      <c r="S166" t="s">
        <v>3599</v>
      </c>
      <c r="T166">
        <v>1</v>
      </c>
      <c r="U166" t="s">
        <v>430</v>
      </c>
      <c r="V166">
        <v>4</v>
      </c>
      <c r="W166">
        <v>0</v>
      </c>
      <c r="X166">
        <v>355714.02</v>
      </c>
      <c r="Y166">
        <v>200000</v>
      </c>
    </row>
    <row r="167" spans="1:25" x14ac:dyDescent="0.3">
      <c r="A167" t="s">
        <v>760</v>
      </c>
      <c r="B167" t="s">
        <v>761</v>
      </c>
      <c r="C167">
        <v>1</v>
      </c>
      <c r="D167" t="s">
        <v>11</v>
      </c>
      <c r="E167" t="s">
        <v>21</v>
      </c>
      <c r="F167" t="s">
        <v>22</v>
      </c>
      <c r="H167" t="s">
        <v>71</v>
      </c>
      <c r="I167" t="s">
        <v>3617</v>
      </c>
      <c r="J167" t="s">
        <v>760</v>
      </c>
      <c r="K167" t="s">
        <v>430</v>
      </c>
      <c r="L167" t="s">
        <v>3618</v>
      </c>
      <c r="M167" t="s">
        <v>760</v>
      </c>
      <c r="N167" t="s">
        <v>761</v>
      </c>
      <c r="O167" t="s">
        <v>762</v>
      </c>
      <c r="Q167" t="s">
        <v>3599</v>
      </c>
      <c r="R167" t="s">
        <v>3599</v>
      </c>
      <c r="S167" t="s">
        <v>3599</v>
      </c>
      <c r="T167">
        <v>1</v>
      </c>
      <c r="U167" t="s">
        <v>430</v>
      </c>
      <c r="V167">
        <v>4</v>
      </c>
      <c r="W167">
        <v>0</v>
      </c>
      <c r="X167">
        <v>320650</v>
      </c>
      <c r="Y167">
        <v>600000</v>
      </c>
    </row>
    <row r="168" spans="1:25" x14ac:dyDescent="0.3">
      <c r="A168" t="s">
        <v>763</v>
      </c>
      <c r="B168" t="s">
        <v>101</v>
      </c>
      <c r="C168">
        <v>1</v>
      </c>
      <c r="D168" t="s">
        <v>11</v>
      </c>
      <c r="E168" t="s">
        <v>21</v>
      </c>
      <c r="F168" t="s">
        <v>22</v>
      </c>
      <c r="H168" t="s">
        <v>71</v>
      </c>
      <c r="I168" t="s">
        <v>3617</v>
      </c>
      <c r="J168" t="s">
        <v>763</v>
      </c>
      <c r="K168" t="s">
        <v>430</v>
      </c>
      <c r="L168" t="s">
        <v>3618</v>
      </c>
      <c r="M168" t="s">
        <v>763</v>
      </c>
      <c r="N168" t="s">
        <v>101</v>
      </c>
      <c r="Q168" t="s">
        <v>3599</v>
      </c>
      <c r="R168" t="s">
        <v>3599</v>
      </c>
      <c r="S168" t="s">
        <v>3599</v>
      </c>
      <c r="T168">
        <v>1</v>
      </c>
      <c r="U168" t="s">
        <v>430</v>
      </c>
      <c r="V168">
        <v>4</v>
      </c>
      <c r="W168">
        <v>0</v>
      </c>
      <c r="X168">
        <v>320000</v>
      </c>
      <c r="Y168">
        <v>200000</v>
      </c>
    </row>
    <row r="169" spans="1:25" x14ac:dyDescent="0.3">
      <c r="A169" t="s">
        <v>763</v>
      </c>
      <c r="B169" t="s">
        <v>101</v>
      </c>
      <c r="C169">
        <v>1</v>
      </c>
      <c r="D169" t="s">
        <v>11</v>
      </c>
      <c r="E169" t="s">
        <v>21</v>
      </c>
      <c r="F169" t="s">
        <v>22</v>
      </c>
      <c r="H169" t="s">
        <v>71</v>
      </c>
      <c r="I169" t="s">
        <v>3617</v>
      </c>
      <c r="J169" t="s">
        <v>763</v>
      </c>
      <c r="K169" t="s">
        <v>430</v>
      </c>
      <c r="L169" t="s">
        <v>3618</v>
      </c>
      <c r="M169" t="s">
        <v>763</v>
      </c>
      <c r="N169" t="s">
        <v>101</v>
      </c>
      <c r="Q169" t="s">
        <v>3599</v>
      </c>
      <c r="R169" t="s">
        <v>3599</v>
      </c>
      <c r="S169" t="s">
        <v>3599</v>
      </c>
      <c r="T169">
        <v>1</v>
      </c>
      <c r="U169" t="s">
        <v>430</v>
      </c>
      <c r="V169">
        <v>4</v>
      </c>
      <c r="W169">
        <v>0</v>
      </c>
      <c r="X169">
        <v>320000</v>
      </c>
      <c r="Y169">
        <v>200000</v>
      </c>
    </row>
    <row r="170" spans="1:25" x14ac:dyDescent="0.3">
      <c r="A170" t="s">
        <v>764</v>
      </c>
      <c r="B170" t="s">
        <v>765</v>
      </c>
      <c r="C170">
        <v>1</v>
      </c>
      <c r="D170" t="s">
        <v>11</v>
      </c>
      <c r="E170" t="s">
        <v>21</v>
      </c>
      <c r="F170" t="s">
        <v>22</v>
      </c>
      <c r="H170" t="s">
        <v>71</v>
      </c>
      <c r="I170" t="s">
        <v>3617</v>
      </c>
      <c r="J170" t="s">
        <v>764</v>
      </c>
      <c r="K170" t="s">
        <v>430</v>
      </c>
      <c r="L170" t="s">
        <v>3618</v>
      </c>
      <c r="M170" t="s">
        <v>764</v>
      </c>
      <c r="N170" t="s">
        <v>765</v>
      </c>
      <c r="Q170" t="s">
        <v>3599</v>
      </c>
      <c r="R170" t="s">
        <v>3599</v>
      </c>
      <c r="S170" t="s">
        <v>3599</v>
      </c>
      <c r="T170">
        <v>1</v>
      </c>
      <c r="U170" t="s">
        <v>430</v>
      </c>
      <c r="V170">
        <v>4</v>
      </c>
      <c r="W170">
        <v>0</v>
      </c>
      <c r="X170">
        <v>309146.63</v>
      </c>
      <c r="Y170">
        <v>200000</v>
      </c>
    </row>
    <row r="171" spans="1:25" x14ac:dyDescent="0.3">
      <c r="A171" t="s">
        <v>766</v>
      </c>
      <c r="B171" t="s">
        <v>211</v>
      </c>
      <c r="C171">
        <v>1</v>
      </c>
      <c r="D171" t="s">
        <v>11</v>
      </c>
      <c r="E171" t="s">
        <v>21</v>
      </c>
      <c r="F171" t="s">
        <v>22</v>
      </c>
      <c r="H171" t="s">
        <v>71</v>
      </c>
      <c r="I171" t="s">
        <v>3617</v>
      </c>
      <c r="J171" t="s">
        <v>766</v>
      </c>
      <c r="K171" t="s">
        <v>430</v>
      </c>
      <c r="L171" t="s">
        <v>3618</v>
      </c>
      <c r="M171" t="s">
        <v>766</v>
      </c>
      <c r="N171" t="s">
        <v>211</v>
      </c>
      <c r="Q171" t="s">
        <v>3599</v>
      </c>
      <c r="R171" t="s">
        <v>3599</v>
      </c>
      <c r="S171" t="s">
        <v>3599</v>
      </c>
      <c r="T171">
        <v>1</v>
      </c>
      <c r="U171" t="s">
        <v>430</v>
      </c>
      <c r="V171">
        <v>4</v>
      </c>
      <c r="W171">
        <v>0</v>
      </c>
      <c r="X171">
        <v>304786.81</v>
      </c>
      <c r="Y171">
        <v>600000</v>
      </c>
    </row>
    <row r="172" spans="1:25" x14ac:dyDescent="0.3">
      <c r="A172" t="s">
        <v>767</v>
      </c>
      <c r="B172" t="s">
        <v>768</v>
      </c>
      <c r="C172">
        <v>1</v>
      </c>
      <c r="D172" t="s">
        <v>11</v>
      </c>
      <c r="E172" t="s">
        <v>21</v>
      </c>
      <c r="F172" t="s">
        <v>22</v>
      </c>
      <c r="H172" t="s">
        <v>71</v>
      </c>
      <c r="I172" t="s">
        <v>3617</v>
      </c>
      <c r="J172" t="s">
        <v>767</v>
      </c>
      <c r="K172" t="s">
        <v>430</v>
      </c>
      <c r="L172" t="s">
        <v>3618</v>
      </c>
      <c r="M172" t="s">
        <v>767</v>
      </c>
      <c r="N172" t="s">
        <v>768</v>
      </c>
      <c r="Q172" t="s">
        <v>3599</v>
      </c>
      <c r="R172" t="s">
        <v>3599</v>
      </c>
      <c r="S172" t="s">
        <v>3599</v>
      </c>
      <c r="T172">
        <v>1</v>
      </c>
      <c r="U172" t="s">
        <v>430</v>
      </c>
      <c r="V172">
        <v>4</v>
      </c>
      <c r="W172">
        <v>0</v>
      </c>
      <c r="X172">
        <v>288923.90000000002</v>
      </c>
      <c r="Y172">
        <v>600000</v>
      </c>
    </row>
    <row r="173" spans="1:25" x14ac:dyDescent="0.3">
      <c r="A173" t="s">
        <v>769</v>
      </c>
      <c r="B173" t="s">
        <v>770</v>
      </c>
      <c r="C173">
        <v>1</v>
      </c>
      <c r="D173" t="s">
        <v>11</v>
      </c>
      <c r="E173" t="s">
        <v>21</v>
      </c>
      <c r="F173" t="s">
        <v>22</v>
      </c>
      <c r="H173" t="s">
        <v>71</v>
      </c>
      <c r="I173" t="s">
        <v>3617</v>
      </c>
      <c r="J173" t="s">
        <v>769</v>
      </c>
      <c r="K173" t="s">
        <v>430</v>
      </c>
      <c r="L173" t="s">
        <v>3618</v>
      </c>
      <c r="M173" t="s">
        <v>769</v>
      </c>
      <c r="N173" t="s">
        <v>770</v>
      </c>
      <c r="O173" t="s">
        <v>771</v>
      </c>
      <c r="Q173" t="s">
        <v>3599</v>
      </c>
      <c r="R173" t="s">
        <v>3599</v>
      </c>
      <c r="S173" t="s">
        <v>3599</v>
      </c>
      <c r="T173">
        <v>1</v>
      </c>
      <c r="U173" t="s">
        <v>430</v>
      </c>
      <c r="V173">
        <v>4</v>
      </c>
      <c r="W173">
        <v>0</v>
      </c>
      <c r="X173">
        <v>287880.01</v>
      </c>
      <c r="Y173">
        <v>100000</v>
      </c>
    </row>
    <row r="174" spans="1:25" x14ac:dyDescent="0.3">
      <c r="A174" t="s">
        <v>772</v>
      </c>
      <c r="B174" t="s">
        <v>773</v>
      </c>
      <c r="C174">
        <v>1</v>
      </c>
      <c r="D174" t="s">
        <v>11</v>
      </c>
      <c r="E174" t="s">
        <v>21</v>
      </c>
      <c r="F174" t="s">
        <v>22</v>
      </c>
      <c r="H174" t="s">
        <v>71</v>
      </c>
      <c r="I174" t="s">
        <v>3617</v>
      </c>
      <c r="J174" t="s">
        <v>772</v>
      </c>
      <c r="K174" t="s">
        <v>430</v>
      </c>
      <c r="L174" t="s">
        <v>3618</v>
      </c>
      <c r="M174" t="s">
        <v>772</v>
      </c>
      <c r="N174" t="s">
        <v>773</v>
      </c>
      <c r="Q174" t="s">
        <v>3599</v>
      </c>
      <c r="R174" t="s">
        <v>3599</v>
      </c>
      <c r="S174" t="s">
        <v>3599</v>
      </c>
      <c r="T174">
        <v>1</v>
      </c>
      <c r="U174" t="s">
        <v>430</v>
      </c>
      <c r="V174">
        <v>4</v>
      </c>
      <c r="W174">
        <v>0</v>
      </c>
      <c r="X174">
        <v>287417</v>
      </c>
      <c r="Y174">
        <v>600000</v>
      </c>
    </row>
    <row r="175" spans="1:25" x14ac:dyDescent="0.3">
      <c r="A175" t="s">
        <v>774</v>
      </c>
      <c r="B175" t="s">
        <v>775</v>
      </c>
      <c r="C175">
        <v>1</v>
      </c>
      <c r="D175" t="s">
        <v>11</v>
      </c>
      <c r="E175" t="s">
        <v>21</v>
      </c>
      <c r="F175" t="s">
        <v>22</v>
      </c>
      <c r="H175" t="s">
        <v>71</v>
      </c>
      <c r="I175" t="s">
        <v>3617</v>
      </c>
      <c r="J175" t="s">
        <v>774</v>
      </c>
      <c r="K175" t="s">
        <v>430</v>
      </c>
      <c r="L175" t="s">
        <v>3618</v>
      </c>
      <c r="M175" t="s">
        <v>774</v>
      </c>
      <c r="N175" t="s">
        <v>775</v>
      </c>
      <c r="O175" t="s">
        <v>566</v>
      </c>
      <c r="Q175" t="s">
        <v>3599</v>
      </c>
      <c r="R175" t="s">
        <v>3599</v>
      </c>
      <c r="S175" t="s">
        <v>3599</v>
      </c>
      <c r="T175">
        <v>1</v>
      </c>
      <c r="U175" t="s">
        <v>430</v>
      </c>
      <c r="V175">
        <v>4</v>
      </c>
      <c r="W175">
        <v>0</v>
      </c>
      <c r="X175">
        <v>225000</v>
      </c>
      <c r="Y175">
        <v>500000</v>
      </c>
    </row>
    <row r="176" spans="1:25" x14ac:dyDescent="0.3">
      <c r="A176" t="s">
        <v>776</v>
      </c>
      <c r="B176" t="s">
        <v>777</v>
      </c>
      <c r="C176">
        <v>1</v>
      </c>
      <c r="D176" t="s">
        <v>11</v>
      </c>
      <c r="E176" t="s">
        <v>21</v>
      </c>
      <c r="F176" t="s">
        <v>22</v>
      </c>
      <c r="H176" t="s">
        <v>71</v>
      </c>
      <c r="I176" t="s">
        <v>3617</v>
      </c>
      <c r="J176" t="s">
        <v>776</v>
      </c>
      <c r="K176" t="s">
        <v>430</v>
      </c>
      <c r="L176" t="s">
        <v>3618</v>
      </c>
      <c r="M176" t="s">
        <v>776</v>
      </c>
      <c r="N176" t="s">
        <v>777</v>
      </c>
      <c r="Q176" t="s">
        <v>3599</v>
      </c>
      <c r="R176" t="s">
        <v>3599</v>
      </c>
      <c r="S176" t="s">
        <v>3599</v>
      </c>
      <c r="T176">
        <v>1</v>
      </c>
      <c r="U176" t="s">
        <v>430</v>
      </c>
      <c r="V176">
        <v>4</v>
      </c>
      <c r="W176">
        <v>0</v>
      </c>
      <c r="X176">
        <v>206510.5</v>
      </c>
      <c r="Y176">
        <v>400000</v>
      </c>
    </row>
    <row r="177" spans="1:25" x14ac:dyDescent="0.3">
      <c r="A177" t="s">
        <v>778</v>
      </c>
      <c r="B177" t="s">
        <v>779</v>
      </c>
      <c r="C177">
        <v>1</v>
      </c>
      <c r="D177" t="s">
        <v>11</v>
      </c>
      <c r="E177" t="s">
        <v>21</v>
      </c>
      <c r="F177" t="s">
        <v>22</v>
      </c>
      <c r="H177" t="s">
        <v>71</v>
      </c>
      <c r="I177" t="s">
        <v>3617</v>
      </c>
      <c r="K177" t="s">
        <v>430</v>
      </c>
      <c r="L177" t="s">
        <v>3618</v>
      </c>
      <c r="N177" t="s">
        <v>779</v>
      </c>
      <c r="Q177" t="s">
        <v>3599</v>
      </c>
      <c r="R177" t="s">
        <v>3599</v>
      </c>
      <c r="S177" t="s">
        <v>3599</v>
      </c>
      <c r="T177">
        <v>1</v>
      </c>
      <c r="U177" t="s">
        <v>430</v>
      </c>
      <c r="V177">
        <v>4</v>
      </c>
      <c r="W177">
        <v>0</v>
      </c>
      <c r="X177">
        <v>201686.13</v>
      </c>
      <c r="Y177">
        <v>200000</v>
      </c>
    </row>
    <row r="178" spans="1:25" x14ac:dyDescent="0.3">
      <c r="A178" t="s">
        <v>780</v>
      </c>
      <c r="B178" t="s">
        <v>38</v>
      </c>
      <c r="C178">
        <v>1</v>
      </c>
      <c r="D178" t="s">
        <v>11</v>
      </c>
      <c r="E178" t="s">
        <v>21</v>
      </c>
      <c r="F178" t="s">
        <v>22</v>
      </c>
      <c r="H178" t="s">
        <v>71</v>
      </c>
      <c r="I178" t="s">
        <v>3617</v>
      </c>
      <c r="J178" t="s">
        <v>780</v>
      </c>
      <c r="K178" t="s">
        <v>430</v>
      </c>
      <c r="L178" t="s">
        <v>3618</v>
      </c>
      <c r="M178" t="s">
        <v>780</v>
      </c>
      <c r="N178" t="s">
        <v>38</v>
      </c>
      <c r="O178" t="s">
        <v>781</v>
      </c>
      <c r="Q178" t="s">
        <v>3599</v>
      </c>
      <c r="R178" t="s">
        <v>3599</v>
      </c>
      <c r="S178" t="s">
        <v>3599</v>
      </c>
      <c r="T178">
        <v>1</v>
      </c>
      <c r="U178" t="s">
        <v>430</v>
      </c>
      <c r="V178">
        <v>4</v>
      </c>
      <c r="W178">
        <v>0</v>
      </c>
      <c r="X178">
        <v>195690</v>
      </c>
      <c r="Y178">
        <v>0</v>
      </c>
    </row>
    <row r="179" spans="1:25" x14ac:dyDescent="0.3">
      <c r="A179" t="s">
        <v>782</v>
      </c>
      <c r="B179" t="s">
        <v>289</v>
      </c>
      <c r="C179">
        <v>1</v>
      </c>
      <c r="D179" t="s">
        <v>11</v>
      </c>
      <c r="E179" t="s">
        <v>21</v>
      </c>
      <c r="F179" t="s">
        <v>22</v>
      </c>
      <c r="H179" t="s">
        <v>71</v>
      </c>
      <c r="I179" t="s">
        <v>3617</v>
      </c>
      <c r="J179" t="s">
        <v>782</v>
      </c>
      <c r="K179" t="s">
        <v>430</v>
      </c>
      <c r="L179" t="s">
        <v>3618</v>
      </c>
      <c r="M179" t="s">
        <v>782</v>
      </c>
      <c r="N179" t="s">
        <v>289</v>
      </c>
      <c r="O179" t="s">
        <v>783</v>
      </c>
      <c r="Q179" t="s">
        <v>3599</v>
      </c>
      <c r="R179" t="s">
        <v>3599</v>
      </c>
      <c r="S179" t="s">
        <v>3599</v>
      </c>
      <c r="T179">
        <v>1</v>
      </c>
      <c r="U179" t="s">
        <v>430</v>
      </c>
      <c r="V179">
        <v>4</v>
      </c>
      <c r="W179">
        <v>0</v>
      </c>
      <c r="X179">
        <v>180000</v>
      </c>
      <c r="Y179">
        <v>400000</v>
      </c>
    </row>
    <row r="180" spans="1:25" x14ac:dyDescent="0.3">
      <c r="A180" t="s">
        <v>784</v>
      </c>
      <c r="B180" t="s">
        <v>196</v>
      </c>
      <c r="C180">
        <v>1</v>
      </c>
      <c r="D180" t="s">
        <v>11</v>
      </c>
      <c r="E180" t="s">
        <v>21</v>
      </c>
      <c r="F180" t="s">
        <v>22</v>
      </c>
      <c r="H180" t="s">
        <v>71</v>
      </c>
      <c r="I180" t="s">
        <v>3617</v>
      </c>
      <c r="J180" t="s">
        <v>784</v>
      </c>
      <c r="K180" t="s">
        <v>430</v>
      </c>
      <c r="L180" t="s">
        <v>3618</v>
      </c>
      <c r="M180" t="s">
        <v>784</v>
      </c>
      <c r="N180" t="s">
        <v>196</v>
      </c>
      <c r="O180" t="s">
        <v>785</v>
      </c>
      <c r="Q180" t="s">
        <v>3599</v>
      </c>
      <c r="R180" t="s">
        <v>3599</v>
      </c>
      <c r="S180" t="s">
        <v>3599</v>
      </c>
      <c r="T180">
        <v>1</v>
      </c>
      <c r="U180" t="s">
        <v>430</v>
      </c>
      <c r="V180">
        <v>4</v>
      </c>
      <c r="W180">
        <v>0</v>
      </c>
      <c r="X180">
        <v>172049.9</v>
      </c>
      <c r="Y180">
        <v>200000</v>
      </c>
    </row>
    <row r="181" spans="1:25" x14ac:dyDescent="0.3">
      <c r="A181" t="s">
        <v>786</v>
      </c>
      <c r="B181" t="s">
        <v>787</v>
      </c>
      <c r="C181">
        <v>1</v>
      </c>
      <c r="D181" t="s">
        <v>11</v>
      </c>
      <c r="E181" t="s">
        <v>21</v>
      </c>
      <c r="F181" t="s">
        <v>22</v>
      </c>
      <c r="H181" t="s">
        <v>71</v>
      </c>
      <c r="I181" t="s">
        <v>3617</v>
      </c>
      <c r="J181" t="s">
        <v>786</v>
      </c>
      <c r="K181" t="s">
        <v>430</v>
      </c>
      <c r="L181" t="s">
        <v>3618</v>
      </c>
      <c r="M181" t="s">
        <v>786</v>
      </c>
      <c r="N181" t="s">
        <v>787</v>
      </c>
      <c r="O181" t="s">
        <v>789</v>
      </c>
      <c r="P181" t="s">
        <v>788</v>
      </c>
      <c r="Q181" t="s">
        <v>3599</v>
      </c>
      <c r="R181" t="s">
        <v>3599</v>
      </c>
      <c r="S181" t="s">
        <v>3599</v>
      </c>
      <c r="T181">
        <v>1</v>
      </c>
      <c r="U181" t="s">
        <v>430</v>
      </c>
      <c r="V181">
        <v>4</v>
      </c>
      <c r="W181">
        <v>0</v>
      </c>
      <c r="X181">
        <v>170000</v>
      </c>
      <c r="Y181">
        <v>300000</v>
      </c>
    </row>
    <row r="182" spans="1:25" x14ac:dyDescent="0.3">
      <c r="A182" t="s">
        <v>790</v>
      </c>
      <c r="B182" t="s">
        <v>791</v>
      </c>
      <c r="C182">
        <v>1</v>
      </c>
      <c r="D182" t="s">
        <v>11</v>
      </c>
      <c r="E182" t="s">
        <v>21</v>
      </c>
      <c r="F182" t="s">
        <v>22</v>
      </c>
      <c r="H182" t="s">
        <v>71</v>
      </c>
      <c r="I182" t="s">
        <v>3617</v>
      </c>
      <c r="J182" t="s">
        <v>790</v>
      </c>
      <c r="K182" t="s">
        <v>430</v>
      </c>
      <c r="L182" t="s">
        <v>3618</v>
      </c>
      <c r="M182" t="s">
        <v>790</v>
      </c>
      <c r="N182" t="s">
        <v>791</v>
      </c>
      <c r="Q182" t="s">
        <v>3599</v>
      </c>
      <c r="R182" t="s">
        <v>3599</v>
      </c>
      <c r="S182" t="s">
        <v>3599</v>
      </c>
      <c r="T182">
        <v>1</v>
      </c>
      <c r="U182" t="s">
        <v>430</v>
      </c>
      <c r="V182">
        <v>4</v>
      </c>
      <c r="W182">
        <v>0</v>
      </c>
      <c r="X182">
        <v>164400</v>
      </c>
      <c r="Y182">
        <v>300000</v>
      </c>
    </row>
    <row r="183" spans="1:25" x14ac:dyDescent="0.3">
      <c r="A183" t="s">
        <v>792</v>
      </c>
      <c r="B183" t="s">
        <v>793</v>
      </c>
      <c r="C183">
        <v>1</v>
      </c>
      <c r="D183" t="s">
        <v>11</v>
      </c>
      <c r="E183" t="s">
        <v>21</v>
      </c>
      <c r="F183" t="s">
        <v>22</v>
      </c>
      <c r="H183" t="s">
        <v>71</v>
      </c>
      <c r="I183" t="s">
        <v>3617</v>
      </c>
      <c r="J183" t="s">
        <v>792</v>
      </c>
      <c r="K183" t="s">
        <v>430</v>
      </c>
      <c r="L183" t="s">
        <v>3618</v>
      </c>
      <c r="M183" t="s">
        <v>792</v>
      </c>
      <c r="N183" t="s">
        <v>793</v>
      </c>
      <c r="O183" t="s">
        <v>795</v>
      </c>
      <c r="P183" t="s">
        <v>794</v>
      </c>
      <c r="Q183" t="s">
        <v>3599</v>
      </c>
      <c r="R183" t="s">
        <v>3599</v>
      </c>
      <c r="S183" t="s">
        <v>3599</v>
      </c>
      <c r="T183">
        <v>1</v>
      </c>
      <c r="U183" t="s">
        <v>430</v>
      </c>
      <c r="V183">
        <v>4</v>
      </c>
      <c r="W183">
        <v>0</v>
      </c>
      <c r="X183">
        <v>160455.67999999999</v>
      </c>
      <c r="Y183">
        <v>200000</v>
      </c>
    </row>
    <row r="184" spans="1:25" x14ac:dyDescent="0.3">
      <c r="A184" t="s">
        <v>796</v>
      </c>
      <c r="B184" t="s">
        <v>797</v>
      </c>
      <c r="C184">
        <v>1</v>
      </c>
      <c r="D184" t="s">
        <v>11</v>
      </c>
      <c r="E184" t="s">
        <v>21</v>
      </c>
      <c r="F184" t="s">
        <v>22</v>
      </c>
      <c r="H184" t="s">
        <v>71</v>
      </c>
      <c r="I184" t="s">
        <v>3617</v>
      </c>
      <c r="J184" t="s">
        <v>796</v>
      </c>
      <c r="K184" t="s">
        <v>430</v>
      </c>
      <c r="L184" t="s">
        <v>3618</v>
      </c>
      <c r="M184" t="s">
        <v>796</v>
      </c>
      <c r="N184" t="s">
        <v>797</v>
      </c>
      <c r="O184" t="s">
        <v>798</v>
      </c>
      <c r="Q184" t="s">
        <v>3599</v>
      </c>
      <c r="R184" t="s">
        <v>3599</v>
      </c>
      <c r="S184" t="s">
        <v>3599</v>
      </c>
      <c r="T184">
        <v>1</v>
      </c>
      <c r="U184" t="s">
        <v>430</v>
      </c>
      <c r="V184">
        <v>4</v>
      </c>
      <c r="W184">
        <v>0</v>
      </c>
      <c r="X184">
        <v>160000</v>
      </c>
      <c r="Y184">
        <v>200000</v>
      </c>
    </row>
    <row r="185" spans="1:25" x14ac:dyDescent="0.3">
      <c r="A185" t="s">
        <v>799</v>
      </c>
      <c r="B185" t="s">
        <v>800</v>
      </c>
      <c r="C185">
        <v>1</v>
      </c>
      <c r="D185" t="s">
        <v>11</v>
      </c>
      <c r="E185" t="s">
        <v>21</v>
      </c>
      <c r="F185" t="s">
        <v>22</v>
      </c>
      <c r="H185" t="s">
        <v>71</v>
      </c>
      <c r="I185" t="s">
        <v>3617</v>
      </c>
      <c r="J185" t="s">
        <v>799</v>
      </c>
      <c r="K185" t="s">
        <v>430</v>
      </c>
      <c r="L185" t="s">
        <v>3618</v>
      </c>
      <c r="M185" t="s">
        <v>799</v>
      </c>
      <c r="N185" t="s">
        <v>800</v>
      </c>
      <c r="O185" t="s">
        <v>801</v>
      </c>
      <c r="Q185" t="s">
        <v>3599</v>
      </c>
      <c r="R185" t="s">
        <v>3599</v>
      </c>
      <c r="S185" t="s">
        <v>3599</v>
      </c>
      <c r="T185">
        <v>1</v>
      </c>
      <c r="U185" t="s">
        <v>430</v>
      </c>
      <c r="V185">
        <v>4</v>
      </c>
      <c r="W185">
        <v>0</v>
      </c>
      <c r="X185">
        <v>143102.59</v>
      </c>
      <c r="Y185">
        <v>300000</v>
      </c>
    </row>
    <row r="186" spans="1:25" x14ac:dyDescent="0.3">
      <c r="A186" t="s">
        <v>802</v>
      </c>
      <c r="B186" t="s">
        <v>77</v>
      </c>
      <c r="C186">
        <v>1</v>
      </c>
      <c r="D186" t="s">
        <v>11</v>
      </c>
      <c r="E186" t="s">
        <v>21</v>
      </c>
      <c r="F186" t="s">
        <v>22</v>
      </c>
      <c r="H186" t="s">
        <v>71</v>
      </c>
      <c r="I186" t="s">
        <v>3617</v>
      </c>
      <c r="J186" t="s">
        <v>802</v>
      </c>
      <c r="K186" t="s">
        <v>430</v>
      </c>
      <c r="L186" t="s">
        <v>3618</v>
      </c>
      <c r="M186" t="s">
        <v>802</v>
      </c>
      <c r="N186" t="s">
        <v>77</v>
      </c>
      <c r="Q186" t="s">
        <v>3599</v>
      </c>
      <c r="R186" t="s">
        <v>3599</v>
      </c>
      <c r="S186" t="s">
        <v>3599</v>
      </c>
      <c r="T186">
        <v>1</v>
      </c>
      <c r="U186" t="s">
        <v>430</v>
      </c>
      <c r="V186">
        <v>4</v>
      </c>
      <c r="W186">
        <v>0</v>
      </c>
      <c r="X186">
        <v>124799.65999999999</v>
      </c>
      <c r="Y186">
        <v>0</v>
      </c>
    </row>
    <row r="187" spans="1:25" x14ac:dyDescent="0.3">
      <c r="A187" t="s">
        <v>803</v>
      </c>
      <c r="B187" t="s">
        <v>804</v>
      </c>
      <c r="C187">
        <v>1</v>
      </c>
      <c r="D187" t="s">
        <v>11</v>
      </c>
      <c r="E187" t="s">
        <v>21</v>
      </c>
      <c r="F187" t="s">
        <v>22</v>
      </c>
      <c r="H187" t="s">
        <v>71</v>
      </c>
      <c r="I187" t="s">
        <v>3617</v>
      </c>
      <c r="K187" t="s">
        <v>430</v>
      </c>
      <c r="L187" t="s">
        <v>3618</v>
      </c>
      <c r="N187" t="s">
        <v>804</v>
      </c>
      <c r="Q187" t="s">
        <v>3599</v>
      </c>
      <c r="R187" t="s">
        <v>3599</v>
      </c>
      <c r="S187" t="s">
        <v>3599</v>
      </c>
      <c r="T187">
        <v>1</v>
      </c>
      <c r="U187" t="s">
        <v>430</v>
      </c>
      <c r="V187">
        <v>4</v>
      </c>
      <c r="W187">
        <v>0</v>
      </c>
      <c r="X187">
        <v>123502.6</v>
      </c>
      <c r="Y187">
        <v>100000</v>
      </c>
    </row>
    <row r="188" spans="1:25" x14ac:dyDescent="0.3">
      <c r="A188" t="s">
        <v>805</v>
      </c>
      <c r="B188" t="s">
        <v>806</v>
      </c>
      <c r="C188">
        <v>1</v>
      </c>
      <c r="D188" t="s">
        <v>11</v>
      </c>
      <c r="E188" t="s">
        <v>21</v>
      </c>
      <c r="F188" t="s">
        <v>22</v>
      </c>
      <c r="H188" t="s">
        <v>71</v>
      </c>
      <c r="I188" t="s">
        <v>3617</v>
      </c>
      <c r="J188" t="s">
        <v>805</v>
      </c>
      <c r="K188" t="s">
        <v>430</v>
      </c>
      <c r="L188" t="s">
        <v>3618</v>
      </c>
      <c r="M188" t="s">
        <v>805</v>
      </c>
      <c r="N188" t="s">
        <v>806</v>
      </c>
      <c r="Q188" t="s">
        <v>3599</v>
      </c>
      <c r="R188" t="s">
        <v>3599</v>
      </c>
      <c r="S188" t="s">
        <v>3599</v>
      </c>
      <c r="T188">
        <v>1</v>
      </c>
      <c r="U188" t="s">
        <v>430</v>
      </c>
      <c r="V188">
        <v>4</v>
      </c>
      <c r="W188">
        <v>0</v>
      </c>
      <c r="X188">
        <v>120000</v>
      </c>
      <c r="Y188">
        <v>200000</v>
      </c>
    </row>
    <row r="189" spans="1:25" x14ac:dyDescent="0.3">
      <c r="A189" t="s">
        <v>807</v>
      </c>
      <c r="B189" t="s">
        <v>808</v>
      </c>
      <c r="C189">
        <v>1</v>
      </c>
      <c r="D189" t="s">
        <v>11</v>
      </c>
      <c r="E189" t="s">
        <v>21</v>
      </c>
      <c r="F189" t="s">
        <v>22</v>
      </c>
      <c r="H189" t="s">
        <v>71</v>
      </c>
      <c r="I189" t="s">
        <v>3617</v>
      </c>
      <c r="J189" t="s">
        <v>807</v>
      </c>
      <c r="K189" t="s">
        <v>430</v>
      </c>
      <c r="L189" t="s">
        <v>3618</v>
      </c>
      <c r="M189" t="s">
        <v>807</v>
      </c>
      <c r="N189" t="s">
        <v>808</v>
      </c>
      <c r="O189" t="s">
        <v>810</v>
      </c>
      <c r="P189" t="s">
        <v>809</v>
      </c>
      <c r="Q189" t="s">
        <v>3599</v>
      </c>
      <c r="R189" t="s">
        <v>3599</v>
      </c>
      <c r="S189" t="s">
        <v>3599</v>
      </c>
      <c r="T189">
        <v>1</v>
      </c>
      <c r="U189" t="s">
        <v>430</v>
      </c>
      <c r="V189">
        <v>4</v>
      </c>
      <c r="W189">
        <v>0</v>
      </c>
      <c r="X189">
        <v>113000</v>
      </c>
      <c r="Y189">
        <v>200000</v>
      </c>
    </row>
    <row r="190" spans="1:25" x14ac:dyDescent="0.3">
      <c r="A190" t="s">
        <v>807</v>
      </c>
      <c r="B190" t="s">
        <v>808</v>
      </c>
      <c r="C190">
        <v>1</v>
      </c>
      <c r="D190" t="s">
        <v>11</v>
      </c>
      <c r="E190" t="s">
        <v>21</v>
      </c>
      <c r="F190" t="s">
        <v>22</v>
      </c>
      <c r="H190" t="s">
        <v>71</v>
      </c>
      <c r="I190" t="s">
        <v>3617</v>
      </c>
      <c r="J190" t="s">
        <v>807</v>
      </c>
      <c r="K190" t="s">
        <v>430</v>
      </c>
      <c r="L190" t="s">
        <v>3618</v>
      </c>
      <c r="M190" t="s">
        <v>807</v>
      </c>
      <c r="N190" t="s">
        <v>808</v>
      </c>
      <c r="Q190" t="s">
        <v>3599</v>
      </c>
      <c r="R190" t="s">
        <v>3599</v>
      </c>
      <c r="S190" t="s">
        <v>3599</v>
      </c>
      <c r="T190">
        <v>1</v>
      </c>
      <c r="U190" t="s">
        <v>430</v>
      </c>
      <c r="V190">
        <v>4</v>
      </c>
      <c r="W190">
        <v>0</v>
      </c>
      <c r="X190">
        <v>113000</v>
      </c>
      <c r="Y190">
        <v>200000</v>
      </c>
    </row>
    <row r="191" spans="1:25" x14ac:dyDescent="0.3">
      <c r="A191" t="s">
        <v>811</v>
      </c>
      <c r="B191" t="s">
        <v>812</v>
      </c>
      <c r="C191">
        <v>1</v>
      </c>
      <c r="D191" t="s">
        <v>11</v>
      </c>
      <c r="E191" t="s">
        <v>21</v>
      </c>
      <c r="F191" t="s">
        <v>22</v>
      </c>
      <c r="H191" t="s">
        <v>71</v>
      </c>
      <c r="I191" t="s">
        <v>3617</v>
      </c>
      <c r="J191" t="s">
        <v>811</v>
      </c>
      <c r="K191" t="s">
        <v>430</v>
      </c>
      <c r="L191" t="s">
        <v>3618</v>
      </c>
      <c r="M191" t="s">
        <v>811</v>
      </c>
      <c r="N191" t="s">
        <v>812</v>
      </c>
      <c r="Q191" t="s">
        <v>3599</v>
      </c>
      <c r="R191" t="s">
        <v>3599</v>
      </c>
      <c r="S191" t="s">
        <v>3599</v>
      </c>
      <c r="T191">
        <v>1</v>
      </c>
      <c r="U191" t="s">
        <v>430</v>
      </c>
      <c r="V191">
        <v>4</v>
      </c>
      <c r="W191">
        <v>0</v>
      </c>
      <c r="X191">
        <v>112960</v>
      </c>
      <c r="Y191">
        <v>200000</v>
      </c>
    </row>
    <row r="192" spans="1:25" x14ac:dyDescent="0.3">
      <c r="A192" t="s">
        <v>813</v>
      </c>
      <c r="B192" t="s">
        <v>814</v>
      </c>
      <c r="C192">
        <v>1</v>
      </c>
      <c r="D192" t="s">
        <v>11</v>
      </c>
      <c r="E192" t="s">
        <v>21</v>
      </c>
      <c r="F192" t="s">
        <v>22</v>
      </c>
      <c r="H192" t="s">
        <v>71</v>
      </c>
      <c r="I192" t="s">
        <v>3617</v>
      </c>
      <c r="J192" t="s">
        <v>813</v>
      </c>
      <c r="K192" t="s">
        <v>430</v>
      </c>
      <c r="L192" t="s">
        <v>3618</v>
      </c>
      <c r="M192" t="s">
        <v>813</v>
      </c>
      <c r="N192" t="s">
        <v>814</v>
      </c>
      <c r="O192" t="s">
        <v>815</v>
      </c>
      <c r="Q192" t="s">
        <v>3599</v>
      </c>
      <c r="R192" t="s">
        <v>3599</v>
      </c>
      <c r="S192" t="s">
        <v>3599</v>
      </c>
      <c r="T192">
        <v>1</v>
      </c>
      <c r="U192" t="s">
        <v>430</v>
      </c>
      <c r="V192">
        <v>4</v>
      </c>
      <c r="W192">
        <v>0</v>
      </c>
      <c r="X192">
        <v>112530</v>
      </c>
      <c r="Y192">
        <v>100000</v>
      </c>
    </row>
    <row r="193" spans="1:25" x14ac:dyDescent="0.3">
      <c r="A193" t="s">
        <v>816</v>
      </c>
      <c r="B193" t="s">
        <v>817</v>
      </c>
      <c r="C193">
        <v>1</v>
      </c>
      <c r="D193" t="s">
        <v>11</v>
      </c>
      <c r="E193" t="s">
        <v>21</v>
      </c>
      <c r="F193" t="s">
        <v>22</v>
      </c>
      <c r="H193" t="s">
        <v>71</v>
      </c>
      <c r="I193" t="s">
        <v>3617</v>
      </c>
      <c r="J193" t="s">
        <v>816</v>
      </c>
      <c r="K193" t="s">
        <v>430</v>
      </c>
      <c r="L193" t="s">
        <v>3618</v>
      </c>
      <c r="M193" t="s">
        <v>816</v>
      </c>
      <c r="N193" t="s">
        <v>817</v>
      </c>
      <c r="Q193" t="s">
        <v>3599</v>
      </c>
      <c r="R193" t="s">
        <v>3599</v>
      </c>
      <c r="S193" t="s">
        <v>3599</v>
      </c>
      <c r="T193">
        <v>1</v>
      </c>
      <c r="U193" t="s">
        <v>430</v>
      </c>
      <c r="V193">
        <v>4</v>
      </c>
      <c r="W193">
        <v>0</v>
      </c>
      <c r="X193">
        <v>102000</v>
      </c>
      <c r="Y193">
        <v>200000</v>
      </c>
    </row>
    <row r="194" spans="1:25" x14ac:dyDescent="0.3">
      <c r="A194" t="s">
        <v>818</v>
      </c>
      <c r="B194" t="s">
        <v>819</v>
      </c>
      <c r="C194">
        <v>1</v>
      </c>
      <c r="D194" t="s">
        <v>11</v>
      </c>
      <c r="E194" t="s">
        <v>21</v>
      </c>
      <c r="F194" t="s">
        <v>22</v>
      </c>
      <c r="H194" t="s">
        <v>71</v>
      </c>
      <c r="I194" t="s">
        <v>3617</v>
      </c>
      <c r="J194" t="s">
        <v>818</v>
      </c>
      <c r="K194" t="s">
        <v>430</v>
      </c>
      <c r="L194" t="s">
        <v>3618</v>
      </c>
      <c r="M194" t="s">
        <v>818</v>
      </c>
      <c r="N194" t="s">
        <v>819</v>
      </c>
      <c r="Q194" t="s">
        <v>3599</v>
      </c>
      <c r="R194" t="s">
        <v>3599</v>
      </c>
      <c r="S194" t="s">
        <v>3599</v>
      </c>
      <c r="T194">
        <v>1</v>
      </c>
      <c r="U194" t="s">
        <v>430</v>
      </c>
      <c r="V194">
        <v>4</v>
      </c>
      <c r="W194">
        <v>0</v>
      </c>
      <c r="X194">
        <v>99600.01</v>
      </c>
      <c r="Y194">
        <v>0</v>
      </c>
    </row>
    <row r="195" spans="1:25" x14ac:dyDescent="0.3">
      <c r="A195" t="s">
        <v>820</v>
      </c>
      <c r="B195" t="s">
        <v>821</v>
      </c>
      <c r="C195">
        <v>1</v>
      </c>
      <c r="D195" t="s">
        <v>11</v>
      </c>
      <c r="E195" t="s">
        <v>21</v>
      </c>
      <c r="F195" t="s">
        <v>22</v>
      </c>
      <c r="H195" t="s">
        <v>71</v>
      </c>
      <c r="I195" t="s">
        <v>3617</v>
      </c>
      <c r="J195" t="s">
        <v>820</v>
      </c>
      <c r="K195" t="s">
        <v>430</v>
      </c>
      <c r="L195" t="s">
        <v>3618</v>
      </c>
      <c r="M195" t="s">
        <v>820</v>
      </c>
      <c r="N195" t="s">
        <v>821</v>
      </c>
      <c r="O195" t="s">
        <v>822</v>
      </c>
      <c r="Q195" t="s">
        <v>3599</v>
      </c>
      <c r="R195" t="s">
        <v>3599</v>
      </c>
      <c r="S195" t="s">
        <v>3599</v>
      </c>
      <c r="T195">
        <v>1</v>
      </c>
      <c r="U195" t="s">
        <v>430</v>
      </c>
      <c r="V195">
        <v>4</v>
      </c>
      <c r="W195">
        <v>0</v>
      </c>
      <c r="X195">
        <v>97868.24</v>
      </c>
      <c r="Y195">
        <v>200000</v>
      </c>
    </row>
    <row r="196" spans="1:25" x14ac:dyDescent="0.3">
      <c r="A196" t="s">
        <v>823</v>
      </c>
      <c r="B196" t="s">
        <v>824</v>
      </c>
      <c r="C196">
        <v>1</v>
      </c>
      <c r="D196" t="s">
        <v>11</v>
      </c>
      <c r="E196" t="s">
        <v>21</v>
      </c>
      <c r="F196" t="s">
        <v>22</v>
      </c>
      <c r="H196" t="s">
        <v>71</v>
      </c>
      <c r="I196" t="s">
        <v>3617</v>
      </c>
      <c r="J196" t="s">
        <v>823</v>
      </c>
      <c r="K196" t="s">
        <v>430</v>
      </c>
      <c r="L196" t="s">
        <v>3618</v>
      </c>
      <c r="M196" t="s">
        <v>823</v>
      </c>
      <c r="N196" t="s">
        <v>824</v>
      </c>
      <c r="O196" t="s">
        <v>826</v>
      </c>
      <c r="P196" t="s">
        <v>825</v>
      </c>
      <c r="Q196" t="s">
        <v>3599</v>
      </c>
      <c r="R196" t="s">
        <v>3599</v>
      </c>
      <c r="S196" t="s">
        <v>3599</v>
      </c>
      <c r="T196">
        <v>1</v>
      </c>
      <c r="U196" t="s">
        <v>430</v>
      </c>
      <c r="V196">
        <v>4</v>
      </c>
      <c r="W196">
        <v>0</v>
      </c>
      <c r="X196">
        <v>96150.700000000012</v>
      </c>
      <c r="Y196">
        <v>100000</v>
      </c>
    </row>
    <row r="197" spans="1:25" x14ac:dyDescent="0.3">
      <c r="A197" t="s">
        <v>827</v>
      </c>
      <c r="B197" t="s">
        <v>828</v>
      </c>
      <c r="C197">
        <v>1</v>
      </c>
      <c r="D197" t="s">
        <v>11</v>
      </c>
      <c r="E197" t="s">
        <v>21</v>
      </c>
      <c r="F197" t="s">
        <v>22</v>
      </c>
      <c r="H197" t="s">
        <v>71</v>
      </c>
      <c r="I197" t="s">
        <v>3617</v>
      </c>
      <c r="J197" t="s">
        <v>827</v>
      </c>
      <c r="K197" t="s">
        <v>430</v>
      </c>
      <c r="L197" t="s">
        <v>3618</v>
      </c>
      <c r="M197" t="s">
        <v>827</v>
      </c>
      <c r="N197" t="s">
        <v>828</v>
      </c>
      <c r="Q197" t="s">
        <v>3599</v>
      </c>
      <c r="R197" t="s">
        <v>3599</v>
      </c>
      <c r="S197" t="s">
        <v>3599</v>
      </c>
      <c r="T197">
        <v>1</v>
      </c>
      <c r="U197" t="s">
        <v>430</v>
      </c>
      <c r="V197">
        <v>4</v>
      </c>
      <c r="W197">
        <v>0</v>
      </c>
      <c r="X197">
        <v>93014.22</v>
      </c>
      <c r="Y197">
        <v>200000</v>
      </c>
    </row>
    <row r="198" spans="1:25" x14ac:dyDescent="0.3">
      <c r="A198" t="s">
        <v>829</v>
      </c>
      <c r="B198" t="s">
        <v>830</v>
      </c>
      <c r="C198">
        <v>1</v>
      </c>
      <c r="D198" t="s">
        <v>11</v>
      </c>
      <c r="E198" t="s">
        <v>21</v>
      </c>
      <c r="F198" t="s">
        <v>22</v>
      </c>
      <c r="H198" t="s">
        <v>71</v>
      </c>
      <c r="I198" t="s">
        <v>3617</v>
      </c>
      <c r="J198" t="s">
        <v>829</v>
      </c>
      <c r="K198" t="s">
        <v>430</v>
      </c>
      <c r="L198" t="s">
        <v>3618</v>
      </c>
      <c r="M198" t="s">
        <v>829</v>
      </c>
      <c r="N198" t="s">
        <v>830</v>
      </c>
      <c r="Q198" t="s">
        <v>3599</v>
      </c>
      <c r="R198" t="s">
        <v>3599</v>
      </c>
      <c r="S198" t="s">
        <v>3599</v>
      </c>
      <c r="T198">
        <v>1</v>
      </c>
      <c r="U198" t="s">
        <v>430</v>
      </c>
      <c r="V198">
        <v>4</v>
      </c>
      <c r="W198">
        <v>0</v>
      </c>
      <c r="X198">
        <v>88444.95</v>
      </c>
      <c r="Y198">
        <v>200000</v>
      </c>
    </row>
    <row r="199" spans="1:25" x14ac:dyDescent="0.3">
      <c r="A199" t="s">
        <v>831</v>
      </c>
      <c r="B199" t="s">
        <v>832</v>
      </c>
      <c r="C199">
        <v>1</v>
      </c>
      <c r="D199" t="s">
        <v>11</v>
      </c>
      <c r="E199" t="s">
        <v>21</v>
      </c>
      <c r="F199" t="s">
        <v>22</v>
      </c>
      <c r="H199" t="s">
        <v>71</v>
      </c>
      <c r="I199" t="s">
        <v>3617</v>
      </c>
      <c r="J199" t="s">
        <v>831</v>
      </c>
      <c r="K199" t="s">
        <v>430</v>
      </c>
      <c r="L199" t="s">
        <v>3618</v>
      </c>
      <c r="M199" t="s">
        <v>831</v>
      </c>
      <c r="N199" t="s">
        <v>832</v>
      </c>
      <c r="Q199" t="s">
        <v>3599</v>
      </c>
      <c r="R199" t="s">
        <v>3599</v>
      </c>
      <c r="S199" t="s">
        <v>3599</v>
      </c>
      <c r="T199">
        <v>1</v>
      </c>
      <c r="U199" t="s">
        <v>430</v>
      </c>
      <c r="V199">
        <v>4</v>
      </c>
      <c r="W199">
        <v>0</v>
      </c>
      <c r="X199">
        <v>85840.57</v>
      </c>
      <c r="Y199">
        <v>200000</v>
      </c>
    </row>
    <row r="200" spans="1:25" x14ac:dyDescent="0.3">
      <c r="A200" t="s">
        <v>833</v>
      </c>
      <c r="B200" t="s">
        <v>834</v>
      </c>
      <c r="C200">
        <v>1</v>
      </c>
      <c r="D200" t="s">
        <v>11</v>
      </c>
      <c r="E200" t="s">
        <v>21</v>
      </c>
      <c r="F200" t="s">
        <v>22</v>
      </c>
      <c r="H200" t="s">
        <v>71</v>
      </c>
      <c r="I200" t="s">
        <v>3617</v>
      </c>
      <c r="J200" t="s">
        <v>833</v>
      </c>
      <c r="K200" t="s">
        <v>430</v>
      </c>
      <c r="L200" t="s">
        <v>3618</v>
      </c>
      <c r="M200" t="s">
        <v>833</v>
      </c>
      <c r="N200" t="s">
        <v>834</v>
      </c>
      <c r="Q200" t="s">
        <v>3599</v>
      </c>
      <c r="R200" t="s">
        <v>3599</v>
      </c>
      <c r="S200" t="s">
        <v>3599</v>
      </c>
      <c r="T200">
        <v>1</v>
      </c>
      <c r="U200" t="s">
        <v>430</v>
      </c>
      <c r="V200">
        <v>4</v>
      </c>
      <c r="W200">
        <v>0</v>
      </c>
      <c r="X200">
        <v>84700</v>
      </c>
      <c r="Y200">
        <v>200000</v>
      </c>
    </row>
    <row r="201" spans="1:25" x14ac:dyDescent="0.3">
      <c r="A201" t="s">
        <v>835</v>
      </c>
      <c r="B201" t="s">
        <v>836</v>
      </c>
      <c r="C201">
        <v>1</v>
      </c>
      <c r="D201" t="s">
        <v>11</v>
      </c>
      <c r="E201" t="s">
        <v>21</v>
      </c>
      <c r="F201" t="s">
        <v>22</v>
      </c>
      <c r="H201" t="s">
        <v>71</v>
      </c>
      <c r="I201" t="s">
        <v>3617</v>
      </c>
      <c r="J201" t="s">
        <v>835</v>
      </c>
      <c r="K201" t="s">
        <v>430</v>
      </c>
      <c r="L201" t="s">
        <v>3618</v>
      </c>
      <c r="M201" t="s">
        <v>835</v>
      </c>
      <c r="N201" t="s">
        <v>836</v>
      </c>
      <c r="Q201" t="s">
        <v>3599</v>
      </c>
      <c r="R201" t="s">
        <v>3599</v>
      </c>
      <c r="S201" t="s">
        <v>3599</v>
      </c>
      <c r="T201">
        <v>1</v>
      </c>
      <c r="U201" t="s">
        <v>430</v>
      </c>
      <c r="V201">
        <v>4</v>
      </c>
      <c r="W201">
        <v>0</v>
      </c>
      <c r="X201">
        <v>65900</v>
      </c>
      <c r="Y201">
        <v>100000</v>
      </c>
    </row>
    <row r="202" spans="1:25" x14ac:dyDescent="0.3">
      <c r="A202" t="s">
        <v>837</v>
      </c>
      <c r="B202" t="s">
        <v>838</v>
      </c>
      <c r="C202">
        <v>1</v>
      </c>
      <c r="D202" t="s">
        <v>11</v>
      </c>
      <c r="E202" t="s">
        <v>21</v>
      </c>
      <c r="F202" t="s">
        <v>22</v>
      </c>
      <c r="H202" t="s">
        <v>71</v>
      </c>
      <c r="I202" t="s">
        <v>3617</v>
      </c>
      <c r="J202" t="s">
        <v>837</v>
      </c>
      <c r="K202" t="s">
        <v>430</v>
      </c>
      <c r="L202" t="s">
        <v>3618</v>
      </c>
      <c r="M202" t="s">
        <v>837</v>
      </c>
      <c r="N202" t="s">
        <v>838</v>
      </c>
      <c r="Q202" t="s">
        <v>3599</v>
      </c>
      <c r="R202" t="s">
        <v>3599</v>
      </c>
      <c r="S202" t="s">
        <v>3599</v>
      </c>
      <c r="T202">
        <v>1</v>
      </c>
      <c r="U202" t="s">
        <v>430</v>
      </c>
      <c r="V202">
        <v>4</v>
      </c>
      <c r="W202">
        <v>0</v>
      </c>
      <c r="X202">
        <v>63597</v>
      </c>
      <c r="Y202">
        <v>100000</v>
      </c>
    </row>
    <row r="203" spans="1:25" x14ac:dyDescent="0.3">
      <c r="A203" t="s">
        <v>839</v>
      </c>
      <c r="B203" t="s">
        <v>840</v>
      </c>
      <c r="C203">
        <v>1</v>
      </c>
      <c r="D203" t="s">
        <v>11</v>
      </c>
      <c r="E203" t="s">
        <v>21</v>
      </c>
      <c r="F203" t="s">
        <v>22</v>
      </c>
      <c r="H203" t="s">
        <v>71</v>
      </c>
      <c r="I203" t="s">
        <v>3617</v>
      </c>
      <c r="J203" t="s">
        <v>839</v>
      </c>
      <c r="K203" t="s">
        <v>430</v>
      </c>
      <c r="L203" t="s">
        <v>3618</v>
      </c>
      <c r="M203" t="s">
        <v>839</v>
      </c>
      <c r="N203" t="s">
        <v>840</v>
      </c>
      <c r="Q203" t="s">
        <v>3599</v>
      </c>
      <c r="R203" t="s">
        <v>3599</v>
      </c>
      <c r="S203" t="s">
        <v>3599</v>
      </c>
      <c r="T203">
        <v>1</v>
      </c>
      <c r="U203" t="s">
        <v>430</v>
      </c>
      <c r="V203">
        <v>4</v>
      </c>
      <c r="W203">
        <v>0</v>
      </c>
      <c r="X203">
        <v>55000</v>
      </c>
      <c r="Y203">
        <v>100000</v>
      </c>
    </row>
    <row r="204" spans="1:25" x14ac:dyDescent="0.3">
      <c r="A204" t="s">
        <v>841</v>
      </c>
      <c r="B204" t="s">
        <v>842</v>
      </c>
      <c r="C204">
        <v>1</v>
      </c>
      <c r="D204" t="s">
        <v>11</v>
      </c>
      <c r="E204" t="s">
        <v>21</v>
      </c>
      <c r="F204" t="s">
        <v>22</v>
      </c>
      <c r="H204" t="s">
        <v>71</v>
      </c>
      <c r="I204" t="s">
        <v>3617</v>
      </c>
      <c r="J204" t="s">
        <v>841</v>
      </c>
      <c r="K204" t="s">
        <v>430</v>
      </c>
      <c r="L204" t="s">
        <v>3618</v>
      </c>
      <c r="M204" t="s">
        <v>841</v>
      </c>
      <c r="N204" t="s">
        <v>842</v>
      </c>
      <c r="O204" t="s">
        <v>843</v>
      </c>
      <c r="Q204" t="s">
        <v>3599</v>
      </c>
      <c r="R204" t="s">
        <v>3599</v>
      </c>
      <c r="S204" t="s">
        <v>3599</v>
      </c>
      <c r="T204">
        <v>1</v>
      </c>
      <c r="U204" t="s">
        <v>430</v>
      </c>
      <c r="V204">
        <v>4</v>
      </c>
      <c r="W204">
        <v>0</v>
      </c>
      <c r="X204">
        <v>46889.39</v>
      </c>
      <c r="Y204">
        <v>100000</v>
      </c>
    </row>
    <row r="205" spans="1:25" x14ac:dyDescent="0.3">
      <c r="A205" t="s">
        <v>844</v>
      </c>
      <c r="B205" t="s">
        <v>845</v>
      </c>
      <c r="C205">
        <v>1</v>
      </c>
      <c r="D205" t="s">
        <v>11</v>
      </c>
      <c r="E205" t="s">
        <v>21</v>
      </c>
      <c r="F205" t="s">
        <v>22</v>
      </c>
      <c r="H205" t="s">
        <v>71</v>
      </c>
      <c r="I205" t="s">
        <v>3617</v>
      </c>
      <c r="J205" t="s">
        <v>844</v>
      </c>
      <c r="K205" t="s">
        <v>430</v>
      </c>
      <c r="L205" t="s">
        <v>3618</v>
      </c>
      <c r="M205" t="s">
        <v>844</v>
      </c>
      <c r="N205" t="s">
        <v>845</v>
      </c>
      <c r="O205" t="s">
        <v>846</v>
      </c>
      <c r="Q205" t="s">
        <v>3599</v>
      </c>
      <c r="R205" t="s">
        <v>3599</v>
      </c>
      <c r="S205" t="s">
        <v>3599</v>
      </c>
      <c r="T205">
        <v>1</v>
      </c>
      <c r="U205" t="s">
        <v>430</v>
      </c>
      <c r="V205">
        <v>4</v>
      </c>
      <c r="W205">
        <v>0</v>
      </c>
      <c r="X205">
        <v>19000</v>
      </c>
      <c r="Y205">
        <v>0</v>
      </c>
    </row>
    <row r="206" spans="1:25" x14ac:dyDescent="0.3">
      <c r="A206" t="s">
        <v>847</v>
      </c>
      <c r="B206" t="s">
        <v>848</v>
      </c>
      <c r="C206">
        <v>1</v>
      </c>
      <c r="D206" t="s">
        <v>11</v>
      </c>
      <c r="E206" t="s">
        <v>21</v>
      </c>
      <c r="F206" t="s">
        <v>22</v>
      </c>
      <c r="H206" t="s">
        <v>71</v>
      </c>
      <c r="I206" t="s">
        <v>3617</v>
      </c>
      <c r="J206" t="s">
        <v>847</v>
      </c>
      <c r="K206" t="s">
        <v>430</v>
      </c>
      <c r="L206" t="s">
        <v>3618</v>
      </c>
      <c r="M206" t="s">
        <v>847</v>
      </c>
      <c r="N206" t="s">
        <v>848</v>
      </c>
      <c r="Q206" t="s">
        <v>3599</v>
      </c>
      <c r="R206" t="s">
        <v>3599</v>
      </c>
      <c r="S206" t="s">
        <v>3599</v>
      </c>
      <c r="T206">
        <v>1</v>
      </c>
      <c r="U206" t="s">
        <v>430</v>
      </c>
      <c r="V206">
        <v>4</v>
      </c>
      <c r="W206">
        <v>0</v>
      </c>
      <c r="X206">
        <v>12100</v>
      </c>
      <c r="Y206">
        <v>0</v>
      </c>
    </row>
    <row r="207" spans="1:25" x14ac:dyDescent="0.3">
      <c r="A207" t="s">
        <v>849</v>
      </c>
      <c r="B207" t="s">
        <v>850</v>
      </c>
      <c r="C207">
        <v>1</v>
      </c>
      <c r="D207" t="s">
        <v>11</v>
      </c>
      <c r="E207" t="s">
        <v>21</v>
      </c>
      <c r="F207" t="s">
        <v>22</v>
      </c>
      <c r="H207" t="s">
        <v>71</v>
      </c>
      <c r="I207" t="s">
        <v>3617</v>
      </c>
      <c r="J207" t="s">
        <v>849</v>
      </c>
      <c r="K207" t="s">
        <v>430</v>
      </c>
      <c r="L207" t="s">
        <v>3618</v>
      </c>
      <c r="M207" t="s">
        <v>849</v>
      </c>
      <c r="N207" t="s">
        <v>850</v>
      </c>
      <c r="Q207" t="s">
        <v>3599</v>
      </c>
      <c r="R207" t="s">
        <v>3599</v>
      </c>
      <c r="S207" t="s">
        <v>3599</v>
      </c>
      <c r="T207">
        <v>1</v>
      </c>
      <c r="U207" t="s">
        <v>430</v>
      </c>
      <c r="V207">
        <v>4</v>
      </c>
      <c r="W207">
        <v>0</v>
      </c>
      <c r="X207">
        <v>8060</v>
      </c>
      <c r="Y207">
        <v>0</v>
      </c>
    </row>
    <row r="208" spans="1:25" x14ac:dyDescent="0.3">
      <c r="A208" t="s">
        <v>851</v>
      </c>
      <c r="B208" t="s">
        <v>852</v>
      </c>
      <c r="C208">
        <v>1</v>
      </c>
      <c r="D208" t="s">
        <v>11</v>
      </c>
      <c r="E208" t="s">
        <v>21</v>
      </c>
      <c r="F208" t="s">
        <v>22</v>
      </c>
      <c r="H208" t="s">
        <v>71</v>
      </c>
      <c r="I208" t="s">
        <v>3617</v>
      </c>
      <c r="J208" t="s">
        <v>851</v>
      </c>
      <c r="K208" t="s">
        <v>430</v>
      </c>
      <c r="L208" t="s">
        <v>3618</v>
      </c>
      <c r="M208" t="s">
        <v>851</v>
      </c>
      <c r="N208" t="s">
        <v>852</v>
      </c>
      <c r="O208" t="s">
        <v>853</v>
      </c>
      <c r="Q208" t="s">
        <v>3599</v>
      </c>
      <c r="R208" t="s">
        <v>3599</v>
      </c>
      <c r="S208" t="s">
        <v>3599</v>
      </c>
      <c r="T208">
        <v>1</v>
      </c>
      <c r="U208" t="s">
        <v>430</v>
      </c>
      <c r="V208">
        <v>4</v>
      </c>
      <c r="W208">
        <v>0</v>
      </c>
      <c r="X208">
        <v>6043.95</v>
      </c>
      <c r="Y208">
        <v>0</v>
      </c>
    </row>
    <row r="209" spans="1:25" x14ac:dyDescent="0.3">
      <c r="A209" t="s">
        <v>854</v>
      </c>
      <c r="B209" t="s">
        <v>855</v>
      </c>
      <c r="C209">
        <v>1</v>
      </c>
      <c r="D209" t="s">
        <v>11</v>
      </c>
      <c r="E209" t="s">
        <v>21</v>
      </c>
      <c r="F209" t="s">
        <v>22</v>
      </c>
      <c r="H209" t="s">
        <v>71</v>
      </c>
      <c r="I209" t="s">
        <v>3617</v>
      </c>
      <c r="J209" t="s">
        <v>854</v>
      </c>
      <c r="K209" t="s">
        <v>430</v>
      </c>
      <c r="L209" t="s">
        <v>3618</v>
      </c>
      <c r="M209" t="s">
        <v>854</v>
      </c>
      <c r="N209" t="s">
        <v>855</v>
      </c>
      <c r="Q209" t="s">
        <v>3599</v>
      </c>
      <c r="R209" t="s">
        <v>3599</v>
      </c>
      <c r="S209" t="s">
        <v>3599</v>
      </c>
      <c r="T209">
        <v>1</v>
      </c>
      <c r="U209" t="s">
        <v>430</v>
      </c>
      <c r="V209">
        <v>4</v>
      </c>
      <c r="W209">
        <v>0</v>
      </c>
      <c r="X209">
        <v>6000</v>
      </c>
      <c r="Y209">
        <v>0</v>
      </c>
    </row>
    <row r="210" spans="1:25" x14ac:dyDescent="0.3">
      <c r="A210" t="s">
        <v>856</v>
      </c>
      <c r="B210" t="s">
        <v>857</v>
      </c>
      <c r="C210">
        <v>1</v>
      </c>
      <c r="D210" t="s">
        <v>11</v>
      </c>
      <c r="E210" t="s">
        <v>21</v>
      </c>
      <c r="F210" t="s">
        <v>22</v>
      </c>
      <c r="H210" t="s">
        <v>71</v>
      </c>
      <c r="I210" t="s">
        <v>3617</v>
      </c>
      <c r="J210" t="s">
        <v>856</v>
      </c>
      <c r="K210" t="s">
        <v>430</v>
      </c>
      <c r="L210" t="s">
        <v>3618</v>
      </c>
      <c r="M210" t="s">
        <v>856</v>
      </c>
      <c r="N210" t="s">
        <v>857</v>
      </c>
      <c r="Q210" t="s">
        <v>3599</v>
      </c>
      <c r="R210" t="s">
        <v>3599</v>
      </c>
      <c r="S210" t="s">
        <v>3599</v>
      </c>
      <c r="T210">
        <v>1</v>
      </c>
      <c r="U210" t="s">
        <v>430</v>
      </c>
      <c r="V210">
        <v>4</v>
      </c>
      <c r="W210">
        <v>0</v>
      </c>
      <c r="X210">
        <v>4000.01</v>
      </c>
      <c r="Y210">
        <v>0</v>
      </c>
    </row>
    <row r="211" spans="1:25" x14ac:dyDescent="0.3">
      <c r="A211" t="s">
        <v>858</v>
      </c>
      <c r="B211" t="s">
        <v>859</v>
      </c>
      <c r="C211">
        <v>1</v>
      </c>
      <c r="D211" t="s">
        <v>11</v>
      </c>
      <c r="E211" t="s">
        <v>21</v>
      </c>
      <c r="F211" t="s">
        <v>22</v>
      </c>
      <c r="H211" t="s">
        <v>71</v>
      </c>
      <c r="I211" t="s">
        <v>3617</v>
      </c>
      <c r="J211" t="s">
        <v>858</v>
      </c>
      <c r="K211" t="s">
        <v>430</v>
      </c>
      <c r="L211" t="s">
        <v>3618</v>
      </c>
      <c r="M211" t="s">
        <v>858</v>
      </c>
      <c r="N211" t="s">
        <v>859</v>
      </c>
      <c r="O211" t="s">
        <v>860</v>
      </c>
      <c r="Q211" t="s">
        <v>3599</v>
      </c>
      <c r="R211" t="s">
        <v>3599</v>
      </c>
      <c r="S211" t="s">
        <v>3599</v>
      </c>
      <c r="T211">
        <v>1</v>
      </c>
      <c r="U211" t="s">
        <v>430</v>
      </c>
      <c r="V211">
        <v>4</v>
      </c>
      <c r="W211">
        <v>0</v>
      </c>
      <c r="X211">
        <v>3886.31</v>
      </c>
      <c r="Y211">
        <v>0</v>
      </c>
    </row>
    <row r="212" spans="1:25" x14ac:dyDescent="0.3">
      <c r="A212" t="s">
        <v>861</v>
      </c>
      <c r="B212" t="s">
        <v>862</v>
      </c>
      <c r="C212">
        <v>1</v>
      </c>
      <c r="D212" t="s">
        <v>11</v>
      </c>
      <c r="E212" t="s">
        <v>21</v>
      </c>
      <c r="F212" t="s">
        <v>22</v>
      </c>
      <c r="H212" t="s">
        <v>71</v>
      </c>
      <c r="I212" t="s">
        <v>3617</v>
      </c>
      <c r="K212" t="s">
        <v>430</v>
      </c>
      <c r="L212" t="s">
        <v>3618</v>
      </c>
      <c r="N212" t="s">
        <v>862</v>
      </c>
      <c r="Q212" t="s">
        <v>3599</v>
      </c>
      <c r="R212" t="s">
        <v>3599</v>
      </c>
      <c r="S212" t="s">
        <v>3599</v>
      </c>
      <c r="T212">
        <v>1</v>
      </c>
      <c r="U212" t="s">
        <v>430</v>
      </c>
      <c r="V212">
        <v>4</v>
      </c>
      <c r="W212">
        <v>0</v>
      </c>
      <c r="X212">
        <v>3481.14</v>
      </c>
      <c r="Y212">
        <v>0</v>
      </c>
    </row>
    <row r="213" spans="1:25" x14ac:dyDescent="0.3">
      <c r="A213" t="s">
        <v>863</v>
      </c>
      <c r="B213" t="s">
        <v>864</v>
      </c>
      <c r="C213">
        <v>1</v>
      </c>
      <c r="D213" t="s">
        <v>11</v>
      </c>
      <c r="E213" t="s">
        <v>21</v>
      </c>
      <c r="F213" t="s">
        <v>22</v>
      </c>
      <c r="H213" t="s">
        <v>71</v>
      </c>
      <c r="I213" t="s">
        <v>3617</v>
      </c>
      <c r="J213" t="s">
        <v>863</v>
      </c>
      <c r="K213" t="s">
        <v>430</v>
      </c>
      <c r="L213" t="s">
        <v>3618</v>
      </c>
      <c r="M213" t="s">
        <v>863</v>
      </c>
      <c r="N213" t="s">
        <v>864</v>
      </c>
      <c r="Q213" t="s">
        <v>3599</v>
      </c>
      <c r="R213" t="s">
        <v>3599</v>
      </c>
      <c r="S213" t="s">
        <v>3599</v>
      </c>
      <c r="T213">
        <v>1</v>
      </c>
      <c r="U213" t="s">
        <v>430</v>
      </c>
      <c r="V213">
        <v>4</v>
      </c>
      <c r="W213">
        <v>0</v>
      </c>
      <c r="X213">
        <v>1361.25</v>
      </c>
      <c r="Y213">
        <v>0</v>
      </c>
    </row>
    <row r="214" spans="1:25" x14ac:dyDescent="0.3">
      <c r="A214" t="s">
        <v>865</v>
      </c>
      <c r="B214" t="s">
        <v>866</v>
      </c>
      <c r="C214">
        <v>1</v>
      </c>
      <c r="D214" t="s">
        <v>11</v>
      </c>
      <c r="E214" t="s">
        <v>21</v>
      </c>
      <c r="F214" t="s">
        <v>22</v>
      </c>
      <c r="H214" t="s">
        <v>71</v>
      </c>
      <c r="I214" t="s">
        <v>3617</v>
      </c>
      <c r="J214" t="s">
        <v>865</v>
      </c>
      <c r="K214" t="s">
        <v>868</v>
      </c>
      <c r="L214" t="s">
        <v>3618</v>
      </c>
      <c r="M214" t="s">
        <v>865</v>
      </c>
      <c r="N214" t="s">
        <v>866</v>
      </c>
      <c r="O214" t="s">
        <v>867</v>
      </c>
      <c r="Q214" t="s">
        <v>3599</v>
      </c>
      <c r="R214" t="s">
        <v>3599</v>
      </c>
      <c r="S214" t="s">
        <v>3599</v>
      </c>
      <c r="T214">
        <v>1</v>
      </c>
      <c r="U214" t="s">
        <v>868</v>
      </c>
      <c r="V214">
        <v>5</v>
      </c>
      <c r="W214">
        <v>0</v>
      </c>
      <c r="X214">
        <v>0</v>
      </c>
    </row>
    <row r="215" spans="1:25" x14ac:dyDescent="0.3">
      <c r="A215" t="s">
        <v>869</v>
      </c>
      <c r="B215" t="s">
        <v>870</v>
      </c>
      <c r="C215">
        <v>1</v>
      </c>
      <c r="D215" t="s">
        <v>11</v>
      </c>
      <c r="E215" t="s">
        <v>21</v>
      </c>
      <c r="F215" t="s">
        <v>22</v>
      </c>
      <c r="H215" t="s">
        <v>71</v>
      </c>
      <c r="I215" t="s">
        <v>3617</v>
      </c>
      <c r="J215" t="s">
        <v>869</v>
      </c>
      <c r="K215" t="s">
        <v>868</v>
      </c>
      <c r="L215" t="s">
        <v>3618</v>
      </c>
      <c r="M215" t="s">
        <v>869</v>
      </c>
      <c r="N215" t="s">
        <v>870</v>
      </c>
      <c r="O215" t="s">
        <v>872</v>
      </c>
      <c r="P215" t="s">
        <v>871</v>
      </c>
      <c r="Q215" t="s">
        <v>3599</v>
      </c>
      <c r="R215" t="s">
        <v>3599</v>
      </c>
      <c r="S215" t="s">
        <v>3599</v>
      </c>
      <c r="T215">
        <v>1</v>
      </c>
      <c r="U215" t="s">
        <v>868</v>
      </c>
      <c r="V215">
        <v>5</v>
      </c>
      <c r="W215">
        <v>0</v>
      </c>
      <c r="X215">
        <v>0</v>
      </c>
    </row>
    <row r="216" spans="1:25" x14ac:dyDescent="0.3">
      <c r="A216" t="s">
        <v>873</v>
      </c>
      <c r="B216" t="s">
        <v>874</v>
      </c>
      <c r="C216">
        <v>1</v>
      </c>
      <c r="D216" t="s">
        <v>11</v>
      </c>
      <c r="E216" t="s">
        <v>21</v>
      </c>
      <c r="F216" t="s">
        <v>22</v>
      </c>
      <c r="H216" t="s">
        <v>71</v>
      </c>
      <c r="I216" t="s">
        <v>3617</v>
      </c>
      <c r="K216" t="s">
        <v>868</v>
      </c>
      <c r="L216" t="s">
        <v>3618</v>
      </c>
      <c r="N216" t="s">
        <v>874</v>
      </c>
      <c r="Q216" t="s">
        <v>3599</v>
      </c>
      <c r="R216" t="s">
        <v>3599</v>
      </c>
      <c r="S216" t="s">
        <v>3599</v>
      </c>
      <c r="T216">
        <v>1</v>
      </c>
      <c r="U216" t="s">
        <v>868</v>
      </c>
      <c r="V216">
        <v>5</v>
      </c>
      <c r="W216">
        <v>0</v>
      </c>
      <c r="X216">
        <v>0</v>
      </c>
    </row>
    <row r="217" spans="1:25" x14ac:dyDescent="0.3">
      <c r="A217" t="s">
        <v>875</v>
      </c>
      <c r="B217" t="s">
        <v>876</v>
      </c>
      <c r="C217">
        <v>1</v>
      </c>
      <c r="D217" t="s">
        <v>11</v>
      </c>
      <c r="E217" t="s">
        <v>21</v>
      </c>
      <c r="F217" t="s">
        <v>22</v>
      </c>
      <c r="H217" t="s">
        <v>71</v>
      </c>
      <c r="I217" t="s">
        <v>3617</v>
      </c>
      <c r="J217" t="s">
        <v>875</v>
      </c>
      <c r="K217" t="s">
        <v>868</v>
      </c>
      <c r="L217" t="s">
        <v>3618</v>
      </c>
      <c r="M217" t="s">
        <v>875</v>
      </c>
      <c r="N217" t="s">
        <v>876</v>
      </c>
      <c r="O217" t="s">
        <v>878</v>
      </c>
      <c r="P217" t="s">
        <v>877</v>
      </c>
      <c r="Q217" t="s">
        <v>3599</v>
      </c>
      <c r="R217" t="s">
        <v>3599</v>
      </c>
      <c r="S217" t="s">
        <v>3599</v>
      </c>
      <c r="T217">
        <v>1</v>
      </c>
      <c r="U217" t="s">
        <v>868</v>
      </c>
      <c r="V217">
        <v>5</v>
      </c>
      <c r="W217">
        <v>0</v>
      </c>
      <c r="X217">
        <v>0</v>
      </c>
    </row>
    <row r="218" spans="1:25" x14ac:dyDescent="0.3">
      <c r="A218" t="s">
        <v>879</v>
      </c>
      <c r="B218" t="s">
        <v>880</v>
      </c>
      <c r="C218">
        <v>1</v>
      </c>
      <c r="D218" t="s">
        <v>11</v>
      </c>
      <c r="E218" t="s">
        <v>21</v>
      </c>
      <c r="F218" t="s">
        <v>22</v>
      </c>
      <c r="H218" t="s">
        <v>71</v>
      </c>
      <c r="I218" t="s">
        <v>3617</v>
      </c>
      <c r="K218" t="s">
        <v>868</v>
      </c>
      <c r="L218" t="s">
        <v>3618</v>
      </c>
      <c r="N218" t="s">
        <v>880</v>
      </c>
      <c r="Q218" t="s">
        <v>3599</v>
      </c>
      <c r="R218" t="s">
        <v>3599</v>
      </c>
      <c r="S218" t="s">
        <v>3599</v>
      </c>
      <c r="T218">
        <v>1</v>
      </c>
      <c r="U218" t="s">
        <v>868</v>
      </c>
      <c r="V218">
        <v>5</v>
      </c>
      <c r="W218">
        <v>0</v>
      </c>
      <c r="X218">
        <v>0</v>
      </c>
    </row>
    <row r="219" spans="1:25" x14ac:dyDescent="0.3">
      <c r="A219" t="s">
        <v>881</v>
      </c>
      <c r="B219" t="s">
        <v>882</v>
      </c>
      <c r="C219">
        <v>1</v>
      </c>
      <c r="D219" t="s">
        <v>11</v>
      </c>
      <c r="E219" t="s">
        <v>21</v>
      </c>
      <c r="F219" t="s">
        <v>22</v>
      </c>
      <c r="H219" t="s">
        <v>71</v>
      </c>
      <c r="I219" t="s">
        <v>3617</v>
      </c>
      <c r="K219" t="s">
        <v>868</v>
      </c>
      <c r="L219" t="s">
        <v>3618</v>
      </c>
      <c r="N219" t="s">
        <v>882</v>
      </c>
      <c r="Q219" t="s">
        <v>3599</v>
      </c>
      <c r="R219" t="s">
        <v>3599</v>
      </c>
      <c r="S219" t="s">
        <v>3599</v>
      </c>
      <c r="T219">
        <v>1</v>
      </c>
      <c r="U219" t="s">
        <v>868</v>
      </c>
      <c r="V219">
        <v>5</v>
      </c>
      <c r="W219">
        <v>0</v>
      </c>
      <c r="X219">
        <v>0</v>
      </c>
    </row>
    <row r="220" spans="1:25" x14ac:dyDescent="0.3">
      <c r="A220" t="s">
        <v>883</v>
      </c>
      <c r="B220" t="s">
        <v>884</v>
      </c>
      <c r="C220">
        <v>1</v>
      </c>
      <c r="D220" t="s">
        <v>11</v>
      </c>
      <c r="E220" t="s">
        <v>21</v>
      </c>
      <c r="F220" t="s">
        <v>22</v>
      </c>
      <c r="H220" t="s">
        <v>71</v>
      </c>
      <c r="I220" t="s">
        <v>3617</v>
      </c>
      <c r="J220" t="s">
        <v>883</v>
      </c>
      <c r="K220" t="s">
        <v>868</v>
      </c>
      <c r="L220" t="s">
        <v>3618</v>
      </c>
      <c r="M220" t="s">
        <v>883</v>
      </c>
      <c r="N220" t="s">
        <v>884</v>
      </c>
      <c r="O220" t="s">
        <v>885</v>
      </c>
      <c r="Q220" t="s">
        <v>3599</v>
      </c>
      <c r="R220" t="s">
        <v>3599</v>
      </c>
      <c r="S220" t="s">
        <v>3599</v>
      </c>
      <c r="T220">
        <v>1</v>
      </c>
      <c r="U220" t="s">
        <v>868</v>
      </c>
      <c r="V220">
        <v>5</v>
      </c>
      <c r="W220">
        <v>0</v>
      </c>
      <c r="X220">
        <v>0</v>
      </c>
    </row>
    <row r="221" spans="1:25" x14ac:dyDescent="0.3">
      <c r="A221" t="s">
        <v>886</v>
      </c>
      <c r="B221" t="s">
        <v>887</v>
      </c>
      <c r="C221">
        <v>1</v>
      </c>
      <c r="D221" t="s">
        <v>11</v>
      </c>
      <c r="E221" t="s">
        <v>21</v>
      </c>
      <c r="F221" t="s">
        <v>22</v>
      </c>
      <c r="H221" t="s">
        <v>71</v>
      </c>
      <c r="I221" t="s">
        <v>3617</v>
      </c>
      <c r="J221" t="s">
        <v>886</v>
      </c>
      <c r="K221" t="s">
        <v>868</v>
      </c>
      <c r="L221" t="s">
        <v>3618</v>
      </c>
      <c r="M221" t="s">
        <v>886</v>
      </c>
      <c r="N221" t="s">
        <v>887</v>
      </c>
      <c r="Q221" t="s">
        <v>3599</v>
      </c>
      <c r="R221" t="s">
        <v>3599</v>
      </c>
      <c r="S221" t="s">
        <v>3599</v>
      </c>
      <c r="T221">
        <v>1</v>
      </c>
      <c r="U221" t="s">
        <v>868</v>
      </c>
      <c r="V221">
        <v>5</v>
      </c>
      <c r="W221">
        <v>0</v>
      </c>
      <c r="X221">
        <v>0</v>
      </c>
    </row>
    <row r="222" spans="1:25" x14ac:dyDescent="0.3">
      <c r="A222" t="s">
        <v>457</v>
      </c>
      <c r="B222" t="s">
        <v>888</v>
      </c>
      <c r="C222">
        <v>1</v>
      </c>
      <c r="D222" t="s">
        <v>11</v>
      </c>
      <c r="E222" t="s">
        <v>21</v>
      </c>
      <c r="F222" t="s">
        <v>22</v>
      </c>
      <c r="H222" t="s">
        <v>71</v>
      </c>
      <c r="I222" t="s">
        <v>3617</v>
      </c>
      <c r="J222" t="s">
        <v>457</v>
      </c>
      <c r="K222" t="s">
        <v>868</v>
      </c>
      <c r="L222" t="s">
        <v>3618</v>
      </c>
      <c r="M222" t="s">
        <v>457</v>
      </c>
      <c r="N222" t="s">
        <v>888</v>
      </c>
      <c r="O222" t="s">
        <v>890</v>
      </c>
      <c r="P222" t="s">
        <v>889</v>
      </c>
      <c r="Q222" t="s">
        <v>3599</v>
      </c>
      <c r="R222" t="s">
        <v>3599</v>
      </c>
      <c r="S222" t="s">
        <v>3599</v>
      </c>
      <c r="T222">
        <v>1</v>
      </c>
      <c r="U222" t="s">
        <v>868</v>
      </c>
      <c r="V222">
        <v>5</v>
      </c>
      <c r="W222">
        <v>0</v>
      </c>
      <c r="X222">
        <v>0</v>
      </c>
    </row>
    <row r="223" spans="1:25" x14ac:dyDescent="0.3">
      <c r="A223" t="s">
        <v>891</v>
      </c>
      <c r="B223" t="s">
        <v>892</v>
      </c>
      <c r="C223">
        <v>1</v>
      </c>
      <c r="D223" t="s">
        <v>11</v>
      </c>
      <c r="E223" t="s">
        <v>21</v>
      </c>
      <c r="F223" t="s">
        <v>22</v>
      </c>
      <c r="H223" t="s">
        <v>71</v>
      </c>
      <c r="I223" t="s">
        <v>3617</v>
      </c>
      <c r="J223" t="s">
        <v>891</v>
      </c>
      <c r="K223" t="s">
        <v>868</v>
      </c>
      <c r="L223" t="s">
        <v>3618</v>
      </c>
      <c r="M223" t="s">
        <v>891</v>
      </c>
      <c r="N223" t="s">
        <v>892</v>
      </c>
      <c r="Q223" t="s">
        <v>3599</v>
      </c>
      <c r="R223" t="s">
        <v>3599</v>
      </c>
      <c r="S223" t="s">
        <v>3599</v>
      </c>
      <c r="T223">
        <v>1</v>
      </c>
      <c r="U223" t="s">
        <v>868</v>
      </c>
      <c r="V223">
        <v>5</v>
      </c>
      <c r="W223">
        <v>0</v>
      </c>
      <c r="X223">
        <v>0</v>
      </c>
    </row>
    <row r="224" spans="1:25" x14ac:dyDescent="0.3">
      <c r="A224" t="s">
        <v>893</v>
      </c>
      <c r="B224" t="s">
        <v>894</v>
      </c>
      <c r="C224">
        <v>1</v>
      </c>
      <c r="D224" t="s">
        <v>11</v>
      </c>
      <c r="E224" t="s">
        <v>21</v>
      </c>
      <c r="F224" t="s">
        <v>22</v>
      </c>
      <c r="H224" t="s">
        <v>71</v>
      </c>
      <c r="I224" t="s">
        <v>3617</v>
      </c>
      <c r="J224" t="s">
        <v>893</v>
      </c>
      <c r="K224" t="s">
        <v>868</v>
      </c>
      <c r="L224" t="s">
        <v>3618</v>
      </c>
      <c r="M224" t="s">
        <v>893</v>
      </c>
      <c r="N224" t="s">
        <v>894</v>
      </c>
      <c r="Q224" t="s">
        <v>3599</v>
      </c>
      <c r="R224" t="s">
        <v>3599</v>
      </c>
      <c r="S224" t="s">
        <v>3599</v>
      </c>
      <c r="T224">
        <v>1</v>
      </c>
      <c r="U224" t="s">
        <v>868</v>
      </c>
      <c r="V224">
        <v>5</v>
      </c>
      <c r="W224">
        <v>0</v>
      </c>
      <c r="X224">
        <v>0</v>
      </c>
    </row>
    <row r="225" spans="1:24" x14ac:dyDescent="0.3">
      <c r="A225" t="s">
        <v>895</v>
      </c>
      <c r="B225" t="s">
        <v>896</v>
      </c>
      <c r="C225">
        <v>1</v>
      </c>
      <c r="D225" t="s">
        <v>11</v>
      </c>
      <c r="E225" t="s">
        <v>21</v>
      </c>
      <c r="F225" t="s">
        <v>22</v>
      </c>
      <c r="H225" t="s">
        <v>71</v>
      </c>
      <c r="I225" t="s">
        <v>3617</v>
      </c>
      <c r="J225" t="s">
        <v>895</v>
      </c>
      <c r="K225" t="s">
        <v>868</v>
      </c>
      <c r="L225" t="s">
        <v>3618</v>
      </c>
      <c r="M225" t="s">
        <v>895</v>
      </c>
      <c r="N225" t="s">
        <v>896</v>
      </c>
      <c r="Q225" t="s">
        <v>3599</v>
      </c>
      <c r="R225" t="s">
        <v>3599</v>
      </c>
      <c r="S225" t="s">
        <v>3599</v>
      </c>
      <c r="T225">
        <v>1</v>
      </c>
      <c r="U225" t="s">
        <v>868</v>
      </c>
      <c r="V225">
        <v>5</v>
      </c>
      <c r="W225">
        <v>0</v>
      </c>
      <c r="X225">
        <v>0</v>
      </c>
    </row>
    <row r="226" spans="1:24" x14ac:dyDescent="0.3">
      <c r="A226" t="s">
        <v>897</v>
      </c>
      <c r="B226" t="s">
        <v>898</v>
      </c>
      <c r="C226">
        <v>1</v>
      </c>
      <c r="D226" t="s">
        <v>11</v>
      </c>
      <c r="E226" t="s">
        <v>21</v>
      </c>
      <c r="F226" t="s">
        <v>22</v>
      </c>
      <c r="H226" t="s">
        <v>71</v>
      </c>
      <c r="I226" t="s">
        <v>3617</v>
      </c>
      <c r="J226" t="s">
        <v>897</v>
      </c>
      <c r="K226" t="s">
        <v>868</v>
      </c>
      <c r="L226" t="s">
        <v>3618</v>
      </c>
      <c r="M226" t="s">
        <v>897</v>
      </c>
      <c r="N226" t="s">
        <v>898</v>
      </c>
      <c r="Q226" t="s">
        <v>3599</v>
      </c>
      <c r="R226" t="s">
        <v>3599</v>
      </c>
      <c r="S226" t="s">
        <v>3599</v>
      </c>
      <c r="T226">
        <v>1</v>
      </c>
      <c r="U226" t="s">
        <v>868</v>
      </c>
      <c r="V226">
        <v>5</v>
      </c>
      <c r="W226">
        <v>0</v>
      </c>
      <c r="X226">
        <v>0</v>
      </c>
    </row>
    <row r="227" spans="1:24" x14ac:dyDescent="0.3">
      <c r="A227" t="s">
        <v>899</v>
      </c>
      <c r="B227" t="s">
        <v>900</v>
      </c>
      <c r="C227">
        <v>1</v>
      </c>
      <c r="D227" t="s">
        <v>11</v>
      </c>
      <c r="E227" t="s">
        <v>21</v>
      </c>
      <c r="F227" t="s">
        <v>22</v>
      </c>
      <c r="H227" t="s">
        <v>71</v>
      </c>
      <c r="I227" t="s">
        <v>3617</v>
      </c>
      <c r="J227" t="s">
        <v>899</v>
      </c>
      <c r="K227" t="s">
        <v>868</v>
      </c>
      <c r="L227" t="s">
        <v>3618</v>
      </c>
      <c r="M227" t="s">
        <v>899</v>
      </c>
      <c r="N227" t="s">
        <v>900</v>
      </c>
      <c r="O227" t="s">
        <v>901</v>
      </c>
      <c r="Q227" t="s">
        <v>3599</v>
      </c>
      <c r="R227" t="s">
        <v>3599</v>
      </c>
      <c r="S227" t="s">
        <v>3599</v>
      </c>
      <c r="T227">
        <v>1</v>
      </c>
      <c r="U227" t="s">
        <v>868</v>
      </c>
      <c r="V227">
        <v>5</v>
      </c>
      <c r="W227">
        <v>0</v>
      </c>
      <c r="X227">
        <v>0</v>
      </c>
    </row>
    <row r="228" spans="1:24" x14ac:dyDescent="0.3">
      <c r="A228" t="s">
        <v>902</v>
      </c>
      <c r="B228" t="s">
        <v>903</v>
      </c>
      <c r="C228">
        <v>1</v>
      </c>
      <c r="D228" t="s">
        <v>11</v>
      </c>
      <c r="E228" t="s">
        <v>21</v>
      </c>
      <c r="F228" t="s">
        <v>22</v>
      </c>
      <c r="H228" t="s">
        <v>71</v>
      </c>
      <c r="I228" t="s">
        <v>3617</v>
      </c>
      <c r="J228" t="s">
        <v>902</v>
      </c>
      <c r="K228" t="s">
        <v>868</v>
      </c>
      <c r="L228" t="s">
        <v>3618</v>
      </c>
      <c r="M228" t="s">
        <v>902</v>
      </c>
      <c r="N228" t="s">
        <v>903</v>
      </c>
      <c r="O228" t="s">
        <v>904</v>
      </c>
      <c r="Q228" t="s">
        <v>3599</v>
      </c>
      <c r="R228" t="s">
        <v>3599</v>
      </c>
      <c r="S228" t="s">
        <v>3599</v>
      </c>
      <c r="T228">
        <v>1</v>
      </c>
      <c r="U228" t="s">
        <v>868</v>
      </c>
      <c r="V228">
        <v>5</v>
      </c>
      <c r="W228">
        <v>0</v>
      </c>
      <c r="X228">
        <v>0</v>
      </c>
    </row>
    <row r="229" spans="1:24" x14ac:dyDescent="0.3">
      <c r="A229" t="s">
        <v>905</v>
      </c>
      <c r="B229" t="s">
        <v>906</v>
      </c>
      <c r="C229">
        <v>1</v>
      </c>
      <c r="D229" t="s">
        <v>11</v>
      </c>
      <c r="E229" t="s">
        <v>21</v>
      </c>
      <c r="F229" t="s">
        <v>22</v>
      </c>
      <c r="H229" t="s">
        <v>71</v>
      </c>
      <c r="I229" t="s">
        <v>3617</v>
      </c>
      <c r="J229" t="s">
        <v>905</v>
      </c>
      <c r="K229" t="s">
        <v>868</v>
      </c>
      <c r="L229" t="s">
        <v>3618</v>
      </c>
      <c r="M229" t="s">
        <v>905</v>
      </c>
      <c r="N229" t="s">
        <v>906</v>
      </c>
      <c r="O229" t="s">
        <v>489</v>
      </c>
      <c r="Q229" t="s">
        <v>3599</v>
      </c>
      <c r="R229" t="s">
        <v>3599</v>
      </c>
      <c r="S229" t="s">
        <v>3599</v>
      </c>
      <c r="T229">
        <v>1</v>
      </c>
      <c r="U229" t="s">
        <v>868</v>
      </c>
      <c r="V229">
        <v>5</v>
      </c>
      <c r="W229">
        <v>0</v>
      </c>
      <c r="X229">
        <v>0</v>
      </c>
    </row>
    <row r="230" spans="1:24" x14ac:dyDescent="0.3">
      <c r="A230" t="s">
        <v>907</v>
      </c>
      <c r="B230" t="s">
        <v>908</v>
      </c>
      <c r="C230">
        <v>1</v>
      </c>
      <c r="D230" t="s">
        <v>11</v>
      </c>
      <c r="E230" t="s">
        <v>21</v>
      </c>
      <c r="F230" t="s">
        <v>22</v>
      </c>
      <c r="H230" t="s">
        <v>71</v>
      </c>
      <c r="I230" t="s">
        <v>3617</v>
      </c>
      <c r="J230" t="s">
        <v>907</v>
      </c>
      <c r="K230" t="s">
        <v>868</v>
      </c>
      <c r="L230" t="s">
        <v>3618</v>
      </c>
      <c r="M230" t="s">
        <v>907</v>
      </c>
      <c r="N230" t="s">
        <v>908</v>
      </c>
      <c r="Q230" t="s">
        <v>3599</v>
      </c>
      <c r="R230" t="s">
        <v>3599</v>
      </c>
      <c r="S230" t="s">
        <v>3599</v>
      </c>
      <c r="T230">
        <v>1</v>
      </c>
      <c r="U230" t="s">
        <v>868</v>
      </c>
      <c r="V230">
        <v>5</v>
      </c>
      <c r="W230">
        <v>0</v>
      </c>
      <c r="X230">
        <v>0</v>
      </c>
    </row>
    <row r="231" spans="1:24" x14ac:dyDescent="0.3">
      <c r="A231" t="s">
        <v>909</v>
      </c>
      <c r="B231" t="s">
        <v>910</v>
      </c>
      <c r="C231">
        <v>1</v>
      </c>
      <c r="D231" t="s">
        <v>11</v>
      </c>
      <c r="E231" t="s">
        <v>21</v>
      </c>
      <c r="F231" t="s">
        <v>22</v>
      </c>
      <c r="H231" t="s">
        <v>71</v>
      </c>
      <c r="I231" t="s">
        <v>3617</v>
      </c>
      <c r="J231" t="s">
        <v>909</v>
      </c>
      <c r="K231" t="s">
        <v>868</v>
      </c>
      <c r="L231" t="s">
        <v>3618</v>
      </c>
      <c r="M231" t="s">
        <v>909</v>
      </c>
      <c r="N231" t="s">
        <v>910</v>
      </c>
      <c r="O231" t="s">
        <v>911</v>
      </c>
      <c r="Q231" t="s">
        <v>3599</v>
      </c>
      <c r="R231" t="s">
        <v>3599</v>
      </c>
      <c r="S231" t="s">
        <v>3599</v>
      </c>
      <c r="T231">
        <v>1</v>
      </c>
      <c r="U231" t="s">
        <v>868</v>
      </c>
      <c r="V231">
        <v>5</v>
      </c>
      <c r="W231">
        <v>0</v>
      </c>
      <c r="X231">
        <v>0</v>
      </c>
    </row>
    <row r="232" spans="1:24" x14ac:dyDescent="0.3">
      <c r="A232" t="s">
        <v>912</v>
      </c>
      <c r="B232" t="s">
        <v>913</v>
      </c>
      <c r="C232">
        <v>1</v>
      </c>
      <c r="D232" t="s">
        <v>11</v>
      </c>
      <c r="E232" t="s">
        <v>21</v>
      </c>
      <c r="F232" t="s">
        <v>22</v>
      </c>
      <c r="H232" t="s">
        <v>71</v>
      </c>
      <c r="I232" t="s">
        <v>3617</v>
      </c>
      <c r="J232" t="s">
        <v>912</v>
      </c>
      <c r="K232" t="s">
        <v>868</v>
      </c>
      <c r="L232" t="s">
        <v>3618</v>
      </c>
      <c r="M232" t="s">
        <v>912</v>
      </c>
      <c r="N232" t="s">
        <v>913</v>
      </c>
      <c r="O232" t="s">
        <v>914</v>
      </c>
      <c r="Q232" t="s">
        <v>3599</v>
      </c>
      <c r="R232" t="s">
        <v>3599</v>
      </c>
      <c r="S232" t="s">
        <v>3599</v>
      </c>
      <c r="T232">
        <v>1</v>
      </c>
      <c r="U232" t="s">
        <v>868</v>
      </c>
      <c r="V232">
        <v>5</v>
      </c>
      <c r="W232">
        <v>0</v>
      </c>
      <c r="X232">
        <v>0</v>
      </c>
    </row>
    <row r="233" spans="1:24" x14ac:dyDescent="0.3">
      <c r="A233" t="s">
        <v>915</v>
      </c>
      <c r="B233" t="s">
        <v>916</v>
      </c>
      <c r="C233">
        <v>1</v>
      </c>
      <c r="D233" t="s">
        <v>11</v>
      </c>
      <c r="E233" t="s">
        <v>21</v>
      </c>
      <c r="F233" t="s">
        <v>22</v>
      </c>
      <c r="H233" t="s">
        <v>71</v>
      </c>
      <c r="I233" t="s">
        <v>3617</v>
      </c>
      <c r="J233" t="s">
        <v>915</v>
      </c>
      <c r="K233" t="s">
        <v>868</v>
      </c>
      <c r="L233" t="s">
        <v>3618</v>
      </c>
      <c r="M233" t="s">
        <v>915</v>
      </c>
      <c r="N233" t="s">
        <v>916</v>
      </c>
      <c r="O233" t="s">
        <v>918</v>
      </c>
      <c r="P233" t="s">
        <v>917</v>
      </c>
      <c r="Q233" t="s">
        <v>3599</v>
      </c>
      <c r="R233" t="s">
        <v>3599</v>
      </c>
      <c r="S233" t="s">
        <v>3599</v>
      </c>
      <c r="T233">
        <v>1</v>
      </c>
      <c r="U233" t="s">
        <v>868</v>
      </c>
      <c r="V233">
        <v>5</v>
      </c>
      <c r="W233">
        <v>0</v>
      </c>
      <c r="X233">
        <v>0</v>
      </c>
    </row>
    <row r="234" spans="1:24" x14ac:dyDescent="0.3">
      <c r="A234" t="s">
        <v>919</v>
      </c>
      <c r="B234" t="s">
        <v>920</v>
      </c>
      <c r="C234">
        <v>1</v>
      </c>
      <c r="D234" t="s">
        <v>11</v>
      </c>
      <c r="E234" t="s">
        <v>21</v>
      </c>
      <c r="F234" t="s">
        <v>22</v>
      </c>
      <c r="H234" t="s">
        <v>71</v>
      </c>
      <c r="I234" t="s">
        <v>3617</v>
      </c>
      <c r="J234" t="s">
        <v>919</v>
      </c>
      <c r="K234" t="s">
        <v>868</v>
      </c>
      <c r="L234" t="s">
        <v>3618</v>
      </c>
      <c r="M234" t="s">
        <v>919</v>
      </c>
      <c r="N234" t="s">
        <v>920</v>
      </c>
      <c r="Q234" t="s">
        <v>3599</v>
      </c>
      <c r="R234" t="s">
        <v>3599</v>
      </c>
      <c r="S234" t="s">
        <v>3599</v>
      </c>
      <c r="T234">
        <v>1</v>
      </c>
      <c r="U234" t="s">
        <v>868</v>
      </c>
      <c r="V234">
        <v>5</v>
      </c>
      <c r="W234">
        <v>0</v>
      </c>
      <c r="X234">
        <v>0</v>
      </c>
    </row>
    <row r="235" spans="1:24" x14ac:dyDescent="0.3">
      <c r="A235" t="s">
        <v>921</v>
      </c>
      <c r="B235" t="s">
        <v>922</v>
      </c>
      <c r="C235">
        <v>1</v>
      </c>
      <c r="D235" t="s">
        <v>11</v>
      </c>
      <c r="E235" t="s">
        <v>21</v>
      </c>
      <c r="F235" t="s">
        <v>22</v>
      </c>
      <c r="H235" t="s">
        <v>71</v>
      </c>
      <c r="I235" t="s">
        <v>3617</v>
      </c>
      <c r="J235" t="s">
        <v>921</v>
      </c>
      <c r="K235" t="s">
        <v>868</v>
      </c>
      <c r="L235" t="s">
        <v>3618</v>
      </c>
      <c r="M235" t="s">
        <v>921</v>
      </c>
      <c r="N235" t="s">
        <v>922</v>
      </c>
      <c r="O235" t="s">
        <v>489</v>
      </c>
      <c r="Q235" t="s">
        <v>3599</v>
      </c>
      <c r="R235" t="s">
        <v>3599</v>
      </c>
      <c r="S235" t="s">
        <v>3599</v>
      </c>
      <c r="T235">
        <v>1</v>
      </c>
      <c r="U235" t="s">
        <v>868</v>
      </c>
      <c r="V235">
        <v>5</v>
      </c>
      <c r="W235">
        <v>0</v>
      </c>
      <c r="X235">
        <v>0</v>
      </c>
    </row>
    <row r="236" spans="1:24" x14ac:dyDescent="0.3">
      <c r="A236" t="s">
        <v>923</v>
      </c>
      <c r="B236" t="s">
        <v>924</v>
      </c>
      <c r="C236">
        <v>1</v>
      </c>
      <c r="D236" t="s">
        <v>11</v>
      </c>
      <c r="E236" t="s">
        <v>21</v>
      </c>
      <c r="F236" t="s">
        <v>22</v>
      </c>
      <c r="H236" t="s">
        <v>71</v>
      </c>
      <c r="I236" t="s">
        <v>3617</v>
      </c>
      <c r="J236" t="s">
        <v>923</v>
      </c>
      <c r="K236" t="s">
        <v>868</v>
      </c>
      <c r="L236" t="s">
        <v>3618</v>
      </c>
      <c r="M236" t="s">
        <v>923</v>
      </c>
      <c r="N236" t="s">
        <v>924</v>
      </c>
      <c r="P236" t="s">
        <v>925</v>
      </c>
      <c r="Q236" t="s">
        <v>3599</v>
      </c>
      <c r="R236" t="s">
        <v>3599</v>
      </c>
      <c r="S236" t="s">
        <v>3599</v>
      </c>
      <c r="T236">
        <v>1</v>
      </c>
      <c r="U236" t="s">
        <v>868</v>
      </c>
      <c r="V236">
        <v>5</v>
      </c>
      <c r="W236">
        <v>0</v>
      </c>
      <c r="X236">
        <v>0</v>
      </c>
    </row>
    <row r="237" spans="1:24" x14ac:dyDescent="0.3">
      <c r="A237" t="s">
        <v>926</v>
      </c>
      <c r="B237" t="s">
        <v>927</v>
      </c>
      <c r="C237">
        <v>1</v>
      </c>
      <c r="D237" t="s">
        <v>11</v>
      </c>
      <c r="E237" t="s">
        <v>21</v>
      </c>
      <c r="F237" t="s">
        <v>22</v>
      </c>
      <c r="H237" t="s">
        <v>71</v>
      </c>
      <c r="I237" t="s">
        <v>3617</v>
      </c>
      <c r="J237" t="s">
        <v>926</v>
      </c>
      <c r="K237" t="s">
        <v>868</v>
      </c>
      <c r="L237" t="s">
        <v>3618</v>
      </c>
      <c r="M237" t="s">
        <v>926</v>
      </c>
      <c r="N237" t="s">
        <v>927</v>
      </c>
      <c r="Q237" t="s">
        <v>3599</v>
      </c>
      <c r="R237" t="s">
        <v>3599</v>
      </c>
      <c r="S237" t="s">
        <v>3599</v>
      </c>
      <c r="T237">
        <v>1</v>
      </c>
      <c r="U237" t="s">
        <v>868</v>
      </c>
      <c r="V237">
        <v>5</v>
      </c>
      <c r="W237">
        <v>0</v>
      </c>
      <c r="X237">
        <v>0</v>
      </c>
    </row>
    <row r="238" spans="1:24" x14ac:dyDescent="0.3">
      <c r="A238" t="s">
        <v>526</v>
      </c>
      <c r="B238" t="s">
        <v>928</v>
      </c>
      <c r="C238">
        <v>1</v>
      </c>
      <c r="D238" t="s">
        <v>11</v>
      </c>
      <c r="E238" t="s">
        <v>21</v>
      </c>
      <c r="F238" t="s">
        <v>22</v>
      </c>
      <c r="H238" t="s">
        <v>71</v>
      </c>
      <c r="I238" t="s">
        <v>3617</v>
      </c>
      <c r="J238" t="s">
        <v>526</v>
      </c>
      <c r="K238" t="s">
        <v>868</v>
      </c>
      <c r="L238" t="s">
        <v>3618</v>
      </c>
      <c r="M238" t="s">
        <v>526</v>
      </c>
      <c r="N238" t="s">
        <v>928</v>
      </c>
      <c r="O238" t="s">
        <v>929</v>
      </c>
      <c r="Q238" t="s">
        <v>3599</v>
      </c>
      <c r="R238" t="s">
        <v>3599</v>
      </c>
      <c r="S238" t="s">
        <v>3599</v>
      </c>
      <c r="T238">
        <v>1</v>
      </c>
      <c r="U238" t="s">
        <v>868</v>
      </c>
      <c r="V238">
        <v>5</v>
      </c>
      <c r="W238">
        <v>0</v>
      </c>
      <c r="X238">
        <v>0</v>
      </c>
    </row>
    <row r="239" spans="1:24" x14ac:dyDescent="0.3">
      <c r="A239" t="s">
        <v>930</v>
      </c>
      <c r="B239" t="s">
        <v>931</v>
      </c>
      <c r="C239">
        <v>1</v>
      </c>
      <c r="D239" t="s">
        <v>11</v>
      </c>
      <c r="E239" t="s">
        <v>21</v>
      </c>
      <c r="F239" t="s">
        <v>22</v>
      </c>
      <c r="H239" t="s">
        <v>71</v>
      </c>
      <c r="I239" t="s">
        <v>3617</v>
      </c>
      <c r="J239" t="s">
        <v>930</v>
      </c>
      <c r="K239" t="s">
        <v>868</v>
      </c>
      <c r="L239" t="s">
        <v>3618</v>
      </c>
      <c r="M239" t="s">
        <v>930</v>
      </c>
      <c r="N239" t="s">
        <v>931</v>
      </c>
      <c r="O239" t="s">
        <v>933</v>
      </c>
      <c r="P239" t="s">
        <v>932</v>
      </c>
      <c r="Q239" t="s">
        <v>3599</v>
      </c>
      <c r="R239" t="s">
        <v>3599</v>
      </c>
      <c r="S239" t="s">
        <v>3599</v>
      </c>
      <c r="T239">
        <v>1</v>
      </c>
      <c r="U239" t="s">
        <v>868</v>
      </c>
      <c r="V239">
        <v>5</v>
      </c>
      <c r="W239">
        <v>0</v>
      </c>
      <c r="X239">
        <v>0</v>
      </c>
    </row>
    <row r="240" spans="1:24" x14ac:dyDescent="0.3">
      <c r="A240" t="s">
        <v>934</v>
      </c>
      <c r="B240" t="s">
        <v>935</v>
      </c>
      <c r="C240">
        <v>1</v>
      </c>
      <c r="D240" t="s">
        <v>11</v>
      </c>
      <c r="E240" t="s">
        <v>21</v>
      </c>
      <c r="F240" t="s">
        <v>22</v>
      </c>
      <c r="H240" t="s">
        <v>71</v>
      </c>
      <c r="I240" t="s">
        <v>3617</v>
      </c>
      <c r="J240" t="s">
        <v>934</v>
      </c>
      <c r="K240" t="s">
        <v>868</v>
      </c>
      <c r="L240" t="s">
        <v>3618</v>
      </c>
      <c r="M240" t="s">
        <v>934</v>
      </c>
      <c r="N240" t="s">
        <v>935</v>
      </c>
      <c r="Q240" t="s">
        <v>3599</v>
      </c>
      <c r="R240" t="s">
        <v>3599</v>
      </c>
      <c r="S240" t="s">
        <v>3599</v>
      </c>
      <c r="T240">
        <v>1</v>
      </c>
      <c r="U240" t="s">
        <v>868</v>
      </c>
      <c r="V240">
        <v>5</v>
      </c>
      <c r="W240">
        <v>0</v>
      </c>
      <c r="X240">
        <v>0</v>
      </c>
    </row>
    <row r="241" spans="1:24" x14ac:dyDescent="0.3">
      <c r="A241" t="s">
        <v>936</v>
      </c>
      <c r="B241" t="s">
        <v>937</v>
      </c>
      <c r="C241">
        <v>1</v>
      </c>
      <c r="D241" t="s">
        <v>11</v>
      </c>
      <c r="E241" t="s">
        <v>21</v>
      </c>
      <c r="F241" t="s">
        <v>22</v>
      </c>
      <c r="H241" t="s">
        <v>71</v>
      </c>
      <c r="I241" t="s">
        <v>3617</v>
      </c>
      <c r="J241" t="s">
        <v>936</v>
      </c>
      <c r="K241" t="s">
        <v>868</v>
      </c>
      <c r="L241" t="s">
        <v>3618</v>
      </c>
      <c r="M241" t="s">
        <v>936</v>
      </c>
      <c r="N241" t="s">
        <v>937</v>
      </c>
      <c r="Q241" t="s">
        <v>3599</v>
      </c>
      <c r="R241" t="s">
        <v>3599</v>
      </c>
      <c r="S241" t="s">
        <v>3599</v>
      </c>
      <c r="T241">
        <v>1</v>
      </c>
      <c r="U241" t="s">
        <v>868</v>
      </c>
      <c r="V241">
        <v>5</v>
      </c>
      <c r="W241">
        <v>0</v>
      </c>
      <c r="X241">
        <v>0</v>
      </c>
    </row>
    <row r="242" spans="1:24" x14ac:dyDescent="0.3">
      <c r="A242" t="s">
        <v>938</v>
      </c>
      <c r="B242" t="s">
        <v>939</v>
      </c>
      <c r="C242">
        <v>1</v>
      </c>
      <c r="D242" t="s">
        <v>11</v>
      </c>
      <c r="E242" t="s">
        <v>21</v>
      </c>
      <c r="F242" t="s">
        <v>22</v>
      </c>
      <c r="H242" t="s">
        <v>71</v>
      </c>
      <c r="I242" t="s">
        <v>3617</v>
      </c>
      <c r="J242" t="s">
        <v>938</v>
      </c>
      <c r="K242" t="s">
        <v>868</v>
      </c>
      <c r="L242" t="s">
        <v>3618</v>
      </c>
      <c r="M242" t="s">
        <v>938</v>
      </c>
      <c r="N242" t="s">
        <v>939</v>
      </c>
      <c r="O242" t="s">
        <v>940</v>
      </c>
      <c r="Q242" t="s">
        <v>3599</v>
      </c>
      <c r="R242" t="s">
        <v>3599</v>
      </c>
      <c r="S242" t="s">
        <v>3599</v>
      </c>
      <c r="T242">
        <v>1</v>
      </c>
      <c r="U242" t="s">
        <v>868</v>
      </c>
      <c r="V242">
        <v>5</v>
      </c>
      <c r="W242">
        <v>0</v>
      </c>
      <c r="X242">
        <v>0</v>
      </c>
    </row>
    <row r="243" spans="1:24" x14ac:dyDescent="0.3">
      <c r="A243" t="s">
        <v>941</v>
      </c>
      <c r="B243" t="s">
        <v>942</v>
      </c>
      <c r="C243">
        <v>1</v>
      </c>
      <c r="D243" t="s">
        <v>11</v>
      </c>
      <c r="E243" t="s">
        <v>21</v>
      </c>
      <c r="F243" t="s">
        <v>22</v>
      </c>
      <c r="H243" t="s">
        <v>71</v>
      </c>
      <c r="I243" t="s">
        <v>3617</v>
      </c>
      <c r="K243" t="s">
        <v>868</v>
      </c>
      <c r="L243" t="s">
        <v>3618</v>
      </c>
      <c r="N243" t="s">
        <v>942</v>
      </c>
      <c r="Q243" t="s">
        <v>3599</v>
      </c>
      <c r="R243" t="s">
        <v>3599</v>
      </c>
      <c r="S243" t="s">
        <v>3599</v>
      </c>
      <c r="T243">
        <v>1</v>
      </c>
      <c r="U243" t="s">
        <v>868</v>
      </c>
      <c r="V243">
        <v>5</v>
      </c>
      <c r="W243">
        <v>0</v>
      </c>
      <c r="X243">
        <v>0</v>
      </c>
    </row>
    <row r="244" spans="1:24" x14ac:dyDescent="0.3">
      <c r="A244" t="s">
        <v>943</v>
      </c>
      <c r="B244" t="s">
        <v>944</v>
      </c>
      <c r="C244">
        <v>1</v>
      </c>
      <c r="D244" t="s">
        <v>11</v>
      </c>
      <c r="E244" t="s">
        <v>21</v>
      </c>
      <c r="F244" t="s">
        <v>22</v>
      </c>
      <c r="H244" t="s">
        <v>71</v>
      </c>
      <c r="I244" t="s">
        <v>3617</v>
      </c>
      <c r="J244" t="s">
        <v>943</v>
      </c>
      <c r="K244" t="s">
        <v>868</v>
      </c>
      <c r="L244" t="s">
        <v>3618</v>
      </c>
      <c r="M244" t="s">
        <v>943</v>
      </c>
      <c r="N244" t="s">
        <v>944</v>
      </c>
      <c r="Q244" t="s">
        <v>3599</v>
      </c>
      <c r="R244" t="s">
        <v>3599</v>
      </c>
      <c r="S244" t="s">
        <v>3599</v>
      </c>
      <c r="T244">
        <v>1</v>
      </c>
      <c r="U244" t="s">
        <v>868</v>
      </c>
      <c r="V244">
        <v>5</v>
      </c>
      <c r="W244">
        <v>0</v>
      </c>
      <c r="X244">
        <v>0</v>
      </c>
    </row>
    <row r="245" spans="1:24" x14ac:dyDescent="0.3">
      <c r="A245" t="s">
        <v>945</v>
      </c>
      <c r="B245" t="s">
        <v>946</v>
      </c>
      <c r="C245">
        <v>1</v>
      </c>
      <c r="D245" t="s">
        <v>11</v>
      </c>
      <c r="E245" t="s">
        <v>21</v>
      </c>
      <c r="F245" t="s">
        <v>22</v>
      </c>
      <c r="H245" t="s">
        <v>71</v>
      </c>
      <c r="I245" t="s">
        <v>3617</v>
      </c>
      <c r="J245" t="s">
        <v>945</v>
      </c>
      <c r="K245" t="s">
        <v>868</v>
      </c>
      <c r="L245" t="s">
        <v>3618</v>
      </c>
      <c r="M245" t="s">
        <v>945</v>
      </c>
      <c r="N245" t="s">
        <v>946</v>
      </c>
      <c r="Q245" t="s">
        <v>3599</v>
      </c>
      <c r="R245" t="s">
        <v>3599</v>
      </c>
      <c r="S245" t="s">
        <v>3599</v>
      </c>
      <c r="T245">
        <v>1</v>
      </c>
      <c r="U245" t="s">
        <v>868</v>
      </c>
      <c r="V245">
        <v>5</v>
      </c>
      <c r="W245">
        <v>0</v>
      </c>
      <c r="X245">
        <v>0</v>
      </c>
    </row>
    <row r="246" spans="1:24" x14ac:dyDescent="0.3">
      <c r="A246" t="s">
        <v>947</v>
      </c>
      <c r="B246" t="s">
        <v>948</v>
      </c>
      <c r="C246">
        <v>1</v>
      </c>
      <c r="D246" t="s">
        <v>11</v>
      </c>
      <c r="E246" t="s">
        <v>21</v>
      </c>
      <c r="F246" t="s">
        <v>22</v>
      </c>
      <c r="H246" t="s">
        <v>71</v>
      </c>
      <c r="I246" t="s">
        <v>3617</v>
      </c>
      <c r="J246" t="s">
        <v>947</v>
      </c>
      <c r="K246" t="s">
        <v>868</v>
      </c>
      <c r="L246" t="s">
        <v>3618</v>
      </c>
      <c r="M246" t="s">
        <v>947</v>
      </c>
      <c r="N246" t="s">
        <v>948</v>
      </c>
      <c r="Q246" t="s">
        <v>3599</v>
      </c>
      <c r="R246" t="s">
        <v>3599</v>
      </c>
      <c r="S246" t="s">
        <v>3599</v>
      </c>
      <c r="T246">
        <v>1</v>
      </c>
      <c r="U246" t="s">
        <v>868</v>
      </c>
      <c r="V246">
        <v>5</v>
      </c>
      <c r="W246">
        <v>0</v>
      </c>
      <c r="X246">
        <v>0</v>
      </c>
    </row>
    <row r="247" spans="1:24" x14ac:dyDescent="0.3">
      <c r="A247" t="s">
        <v>949</v>
      </c>
      <c r="B247" t="s">
        <v>950</v>
      </c>
      <c r="C247">
        <v>1</v>
      </c>
      <c r="D247" t="s">
        <v>11</v>
      </c>
      <c r="E247" t="s">
        <v>21</v>
      </c>
      <c r="F247" t="s">
        <v>22</v>
      </c>
      <c r="H247" t="s">
        <v>71</v>
      </c>
      <c r="I247" t="s">
        <v>3617</v>
      </c>
      <c r="J247" t="s">
        <v>949</v>
      </c>
      <c r="K247" t="s">
        <v>868</v>
      </c>
      <c r="L247" t="s">
        <v>3618</v>
      </c>
      <c r="M247" t="s">
        <v>949</v>
      </c>
      <c r="N247" t="s">
        <v>950</v>
      </c>
      <c r="Q247" t="s">
        <v>3599</v>
      </c>
      <c r="R247" t="s">
        <v>3599</v>
      </c>
      <c r="S247" t="s">
        <v>3599</v>
      </c>
      <c r="T247">
        <v>1</v>
      </c>
      <c r="U247" t="s">
        <v>868</v>
      </c>
      <c r="V247">
        <v>5</v>
      </c>
      <c r="W247">
        <v>0</v>
      </c>
      <c r="X247">
        <v>0</v>
      </c>
    </row>
    <row r="248" spans="1:24" x14ac:dyDescent="0.3">
      <c r="A248" t="s">
        <v>951</v>
      </c>
      <c r="B248" t="s">
        <v>952</v>
      </c>
      <c r="C248">
        <v>1</v>
      </c>
      <c r="D248" t="s">
        <v>11</v>
      </c>
      <c r="E248" t="s">
        <v>21</v>
      </c>
      <c r="F248" t="s">
        <v>22</v>
      </c>
      <c r="H248" t="s">
        <v>71</v>
      </c>
      <c r="I248" t="s">
        <v>3617</v>
      </c>
      <c r="J248" t="s">
        <v>951</v>
      </c>
      <c r="K248" t="s">
        <v>868</v>
      </c>
      <c r="L248" t="s">
        <v>3618</v>
      </c>
      <c r="M248" t="s">
        <v>951</v>
      </c>
      <c r="N248" t="s">
        <v>952</v>
      </c>
      <c r="Q248" t="s">
        <v>3599</v>
      </c>
      <c r="R248" t="s">
        <v>3599</v>
      </c>
      <c r="S248" t="s">
        <v>3599</v>
      </c>
      <c r="T248">
        <v>1</v>
      </c>
      <c r="U248" t="s">
        <v>868</v>
      </c>
      <c r="V248">
        <v>5</v>
      </c>
      <c r="W248">
        <v>0</v>
      </c>
      <c r="X248">
        <v>0</v>
      </c>
    </row>
    <row r="249" spans="1:24" x14ac:dyDescent="0.3">
      <c r="A249" t="s">
        <v>953</v>
      </c>
      <c r="B249" t="s">
        <v>954</v>
      </c>
      <c r="C249">
        <v>1</v>
      </c>
      <c r="D249" t="s">
        <v>11</v>
      </c>
      <c r="E249" t="s">
        <v>21</v>
      </c>
      <c r="F249" t="s">
        <v>22</v>
      </c>
      <c r="H249" t="s">
        <v>71</v>
      </c>
      <c r="I249" t="s">
        <v>3617</v>
      </c>
      <c r="J249" t="s">
        <v>953</v>
      </c>
      <c r="K249" t="s">
        <v>868</v>
      </c>
      <c r="L249" t="s">
        <v>3618</v>
      </c>
      <c r="M249" t="s">
        <v>953</v>
      </c>
      <c r="N249" t="s">
        <v>954</v>
      </c>
      <c r="O249" t="s">
        <v>956</v>
      </c>
      <c r="P249" t="s">
        <v>955</v>
      </c>
      <c r="Q249" t="s">
        <v>3599</v>
      </c>
      <c r="R249" t="s">
        <v>3599</v>
      </c>
      <c r="S249" t="s">
        <v>3599</v>
      </c>
      <c r="T249">
        <v>1</v>
      </c>
      <c r="U249" t="s">
        <v>868</v>
      </c>
      <c r="V249">
        <v>5</v>
      </c>
      <c r="W249">
        <v>0</v>
      </c>
      <c r="X249">
        <v>0</v>
      </c>
    </row>
    <row r="250" spans="1:24" x14ac:dyDescent="0.3">
      <c r="A250" t="s">
        <v>957</v>
      </c>
      <c r="B250" t="s">
        <v>958</v>
      </c>
      <c r="C250">
        <v>1</v>
      </c>
      <c r="D250" t="s">
        <v>11</v>
      </c>
      <c r="E250" t="s">
        <v>21</v>
      </c>
      <c r="F250" t="s">
        <v>22</v>
      </c>
      <c r="H250" t="s">
        <v>71</v>
      </c>
      <c r="I250" t="s">
        <v>3617</v>
      </c>
      <c r="J250" t="s">
        <v>957</v>
      </c>
      <c r="K250" t="s">
        <v>868</v>
      </c>
      <c r="L250" t="s">
        <v>3618</v>
      </c>
      <c r="M250" t="s">
        <v>957</v>
      </c>
      <c r="N250" t="s">
        <v>958</v>
      </c>
      <c r="O250" t="s">
        <v>959</v>
      </c>
      <c r="Q250" t="s">
        <v>3599</v>
      </c>
      <c r="R250" t="s">
        <v>3599</v>
      </c>
      <c r="S250" t="s">
        <v>3599</v>
      </c>
      <c r="T250">
        <v>1</v>
      </c>
      <c r="U250" t="s">
        <v>868</v>
      </c>
      <c r="V250">
        <v>5</v>
      </c>
      <c r="W250">
        <v>0</v>
      </c>
      <c r="X250">
        <v>0</v>
      </c>
    </row>
    <row r="251" spans="1:24" x14ac:dyDescent="0.3">
      <c r="A251" t="s">
        <v>960</v>
      </c>
      <c r="B251" t="s">
        <v>961</v>
      </c>
      <c r="C251">
        <v>1</v>
      </c>
      <c r="D251" t="s">
        <v>11</v>
      </c>
      <c r="E251" t="s">
        <v>21</v>
      </c>
      <c r="F251" t="s">
        <v>22</v>
      </c>
      <c r="H251" t="s">
        <v>71</v>
      </c>
      <c r="I251" t="s">
        <v>3617</v>
      </c>
      <c r="J251" t="s">
        <v>960</v>
      </c>
      <c r="K251" t="s">
        <v>868</v>
      </c>
      <c r="L251" t="s">
        <v>3618</v>
      </c>
      <c r="M251" t="s">
        <v>960</v>
      </c>
      <c r="N251" t="s">
        <v>961</v>
      </c>
      <c r="Q251" t="s">
        <v>3599</v>
      </c>
      <c r="R251" t="s">
        <v>3599</v>
      </c>
      <c r="S251" t="s">
        <v>3599</v>
      </c>
      <c r="T251">
        <v>1</v>
      </c>
      <c r="U251" t="s">
        <v>868</v>
      </c>
      <c r="V251">
        <v>5</v>
      </c>
      <c r="W251">
        <v>0</v>
      </c>
      <c r="X251">
        <v>0</v>
      </c>
    </row>
    <row r="252" spans="1:24" x14ac:dyDescent="0.3">
      <c r="A252" t="s">
        <v>962</v>
      </c>
      <c r="B252" t="s">
        <v>963</v>
      </c>
      <c r="C252">
        <v>1</v>
      </c>
      <c r="D252" t="s">
        <v>11</v>
      </c>
      <c r="E252" t="s">
        <v>21</v>
      </c>
      <c r="F252" t="s">
        <v>22</v>
      </c>
      <c r="H252" t="s">
        <v>71</v>
      </c>
      <c r="I252" t="s">
        <v>3617</v>
      </c>
      <c r="J252" t="s">
        <v>962</v>
      </c>
      <c r="K252" t="s">
        <v>868</v>
      </c>
      <c r="L252" t="s">
        <v>3618</v>
      </c>
      <c r="M252" t="s">
        <v>962</v>
      </c>
      <c r="N252" t="s">
        <v>963</v>
      </c>
      <c r="Q252" t="s">
        <v>3599</v>
      </c>
      <c r="R252" t="s">
        <v>3599</v>
      </c>
      <c r="S252" t="s">
        <v>3599</v>
      </c>
      <c r="T252">
        <v>1</v>
      </c>
      <c r="U252" t="s">
        <v>868</v>
      </c>
      <c r="V252">
        <v>5</v>
      </c>
      <c r="W252">
        <v>0</v>
      </c>
      <c r="X252">
        <v>0</v>
      </c>
    </row>
    <row r="253" spans="1:24" x14ac:dyDescent="0.3">
      <c r="A253" t="s">
        <v>964</v>
      </c>
      <c r="B253" t="s">
        <v>965</v>
      </c>
      <c r="C253">
        <v>1</v>
      </c>
      <c r="D253" t="s">
        <v>11</v>
      </c>
      <c r="E253" t="s">
        <v>21</v>
      </c>
      <c r="F253" t="s">
        <v>22</v>
      </c>
      <c r="H253" t="s">
        <v>71</v>
      </c>
      <c r="I253" t="s">
        <v>3617</v>
      </c>
      <c r="J253" t="s">
        <v>964</v>
      </c>
      <c r="K253" t="s">
        <v>868</v>
      </c>
      <c r="L253" t="s">
        <v>3618</v>
      </c>
      <c r="M253" t="s">
        <v>964</v>
      </c>
      <c r="N253" t="s">
        <v>965</v>
      </c>
      <c r="Q253" t="s">
        <v>3599</v>
      </c>
      <c r="R253" t="s">
        <v>3599</v>
      </c>
      <c r="S253" t="s">
        <v>3599</v>
      </c>
      <c r="T253">
        <v>1</v>
      </c>
      <c r="U253" t="s">
        <v>868</v>
      </c>
      <c r="V253">
        <v>5</v>
      </c>
      <c r="W253">
        <v>0</v>
      </c>
      <c r="X253">
        <v>0</v>
      </c>
    </row>
    <row r="254" spans="1:24" x14ac:dyDescent="0.3">
      <c r="A254" t="s">
        <v>966</v>
      </c>
      <c r="B254" t="s">
        <v>967</v>
      </c>
      <c r="C254">
        <v>1</v>
      </c>
      <c r="D254" t="s">
        <v>11</v>
      </c>
      <c r="E254" t="s">
        <v>21</v>
      </c>
      <c r="F254" t="s">
        <v>22</v>
      </c>
      <c r="H254" t="s">
        <v>71</v>
      </c>
      <c r="I254" t="s">
        <v>3617</v>
      </c>
      <c r="J254" t="s">
        <v>966</v>
      </c>
      <c r="K254" t="s">
        <v>868</v>
      </c>
      <c r="L254" t="s">
        <v>3618</v>
      </c>
      <c r="M254" t="s">
        <v>966</v>
      </c>
      <c r="N254" t="s">
        <v>967</v>
      </c>
      <c r="Q254" t="s">
        <v>3599</v>
      </c>
      <c r="R254" t="s">
        <v>3599</v>
      </c>
      <c r="S254" t="s">
        <v>3599</v>
      </c>
      <c r="T254">
        <v>1</v>
      </c>
      <c r="U254" t="s">
        <v>868</v>
      </c>
      <c r="V254">
        <v>5</v>
      </c>
      <c r="W254">
        <v>0</v>
      </c>
      <c r="X254">
        <v>0</v>
      </c>
    </row>
    <row r="255" spans="1:24" x14ac:dyDescent="0.3">
      <c r="A255" t="s">
        <v>968</v>
      </c>
      <c r="B255" t="s">
        <v>969</v>
      </c>
      <c r="C255">
        <v>1</v>
      </c>
      <c r="D255" t="s">
        <v>11</v>
      </c>
      <c r="E255" t="s">
        <v>21</v>
      </c>
      <c r="F255" t="s">
        <v>22</v>
      </c>
      <c r="H255" t="s">
        <v>71</v>
      </c>
      <c r="I255" t="s">
        <v>3617</v>
      </c>
      <c r="J255" t="s">
        <v>968</v>
      </c>
      <c r="K255" t="s">
        <v>868</v>
      </c>
      <c r="L255" t="s">
        <v>3618</v>
      </c>
      <c r="M255" t="s">
        <v>968</v>
      </c>
      <c r="N255" t="s">
        <v>969</v>
      </c>
      <c r="Q255" t="s">
        <v>3599</v>
      </c>
      <c r="R255" t="s">
        <v>3599</v>
      </c>
      <c r="S255" t="s">
        <v>3599</v>
      </c>
      <c r="T255">
        <v>1</v>
      </c>
      <c r="U255" t="s">
        <v>868</v>
      </c>
      <c r="V255">
        <v>5</v>
      </c>
      <c r="W255">
        <v>0</v>
      </c>
      <c r="X255">
        <v>0</v>
      </c>
    </row>
    <row r="256" spans="1:24" x14ac:dyDescent="0.3">
      <c r="A256" t="s">
        <v>970</v>
      </c>
      <c r="B256" t="s">
        <v>971</v>
      </c>
      <c r="C256">
        <v>1</v>
      </c>
      <c r="D256" t="s">
        <v>11</v>
      </c>
      <c r="E256" t="s">
        <v>21</v>
      </c>
      <c r="F256" t="s">
        <v>22</v>
      </c>
      <c r="H256" t="s">
        <v>71</v>
      </c>
      <c r="I256" t="s">
        <v>3617</v>
      </c>
      <c r="J256" t="s">
        <v>970</v>
      </c>
      <c r="K256" t="s">
        <v>868</v>
      </c>
      <c r="L256" t="s">
        <v>3618</v>
      </c>
      <c r="M256" t="s">
        <v>970</v>
      </c>
      <c r="N256" t="s">
        <v>971</v>
      </c>
      <c r="O256" t="s">
        <v>972</v>
      </c>
      <c r="Q256" t="s">
        <v>3599</v>
      </c>
      <c r="R256" t="s">
        <v>3599</v>
      </c>
      <c r="S256" t="s">
        <v>3599</v>
      </c>
      <c r="T256">
        <v>1</v>
      </c>
      <c r="U256" t="s">
        <v>868</v>
      </c>
      <c r="V256">
        <v>5</v>
      </c>
      <c r="W256">
        <v>0</v>
      </c>
      <c r="X256">
        <v>0</v>
      </c>
    </row>
    <row r="257" spans="1:24" x14ac:dyDescent="0.3">
      <c r="A257" t="s">
        <v>973</v>
      </c>
      <c r="B257" t="s">
        <v>974</v>
      </c>
      <c r="C257">
        <v>1</v>
      </c>
      <c r="D257" t="s">
        <v>11</v>
      </c>
      <c r="E257" t="s">
        <v>21</v>
      </c>
      <c r="F257" t="s">
        <v>22</v>
      </c>
      <c r="H257" t="s">
        <v>71</v>
      </c>
      <c r="I257" t="s">
        <v>3617</v>
      </c>
      <c r="J257" t="s">
        <v>973</v>
      </c>
      <c r="K257" t="s">
        <v>868</v>
      </c>
      <c r="L257" t="s">
        <v>3618</v>
      </c>
      <c r="M257" t="s">
        <v>973</v>
      </c>
      <c r="N257" t="s">
        <v>974</v>
      </c>
      <c r="Q257" t="s">
        <v>3599</v>
      </c>
      <c r="R257" t="s">
        <v>3599</v>
      </c>
      <c r="S257" t="s">
        <v>3599</v>
      </c>
      <c r="T257">
        <v>1</v>
      </c>
      <c r="U257" t="s">
        <v>868</v>
      </c>
      <c r="V257">
        <v>5</v>
      </c>
      <c r="W257">
        <v>0</v>
      </c>
      <c r="X257">
        <v>0</v>
      </c>
    </row>
    <row r="258" spans="1:24" x14ac:dyDescent="0.3">
      <c r="A258" t="s">
        <v>975</v>
      </c>
      <c r="B258" t="s">
        <v>976</v>
      </c>
      <c r="C258">
        <v>1</v>
      </c>
      <c r="D258" t="s">
        <v>11</v>
      </c>
      <c r="E258" t="s">
        <v>21</v>
      </c>
      <c r="F258" t="s">
        <v>22</v>
      </c>
      <c r="H258" t="s">
        <v>71</v>
      </c>
      <c r="I258" t="s">
        <v>3617</v>
      </c>
      <c r="J258" t="s">
        <v>975</v>
      </c>
      <c r="K258" t="s">
        <v>868</v>
      </c>
      <c r="L258" t="s">
        <v>3618</v>
      </c>
      <c r="M258" t="s">
        <v>975</v>
      </c>
      <c r="N258" t="s">
        <v>976</v>
      </c>
      <c r="Q258" t="s">
        <v>3599</v>
      </c>
      <c r="R258" t="s">
        <v>3599</v>
      </c>
      <c r="S258" t="s">
        <v>3599</v>
      </c>
      <c r="T258">
        <v>1</v>
      </c>
      <c r="U258" t="s">
        <v>868</v>
      </c>
      <c r="V258">
        <v>5</v>
      </c>
      <c r="W258">
        <v>0</v>
      </c>
      <c r="X258">
        <v>0</v>
      </c>
    </row>
    <row r="259" spans="1:24" x14ac:dyDescent="0.3">
      <c r="A259" t="s">
        <v>977</v>
      </c>
      <c r="B259" t="s">
        <v>978</v>
      </c>
      <c r="C259">
        <v>1</v>
      </c>
      <c r="D259" t="s">
        <v>11</v>
      </c>
      <c r="E259" t="s">
        <v>21</v>
      </c>
      <c r="F259" t="s">
        <v>22</v>
      </c>
      <c r="H259" t="s">
        <v>71</v>
      </c>
      <c r="I259" t="s">
        <v>3617</v>
      </c>
      <c r="J259" t="s">
        <v>977</v>
      </c>
      <c r="K259" t="s">
        <v>868</v>
      </c>
      <c r="L259" t="s">
        <v>3618</v>
      </c>
      <c r="M259" t="s">
        <v>977</v>
      </c>
      <c r="N259" t="s">
        <v>978</v>
      </c>
      <c r="O259" t="s">
        <v>979</v>
      </c>
      <c r="Q259" t="s">
        <v>3599</v>
      </c>
      <c r="R259" t="s">
        <v>3599</v>
      </c>
      <c r="S259" t="s">
        <v>3599</v>
      </c>
      <c r="T259">
        <v>1</v>
      </c>
      <c r="U259" t="s">
        <v>868</v>
      </c>
      <c r="V259">
        <v>5</v>
      </c>
      <c r="W259">
        <v>0</v>
      </c>
      <c r="X259">
        <v>0</v>
      </c>
    </row>
    <row r="260" spans="1:24" x14ac:dyDescent="0.3">
      <c r="A260" t="s">
        <v>980</v>
      </c>
      <c r="B260" t="s">
        <v>981</v>
      </c>
      <c r="C260">
        <v>1</v>
      </c>
      <c r="D260" t="s">
        <v>11</v>
      </c>
      <c r="E260" t="s">
        <v>21</v>
      </c>
      <c r="F260" t="s">
        <v>22</v>
      </c>
      <c r="H260" t="s">
        <v>71</v>
      </c>
      <c r="I260" t="s">
        <v>3617</v>
      </c>
      <c r="J260" t="s">
        <v>980</v>
      </c>
      <c r="K260" t="s">
        <v>868</v>
      </c>
      <c r="L260" t="s">
        <v>3618</v>
      </c>
      <c r="M260" t="s">
        <v>980</v>
      </c>
      <c r="N260" t="s">
        <v>981</v>
      </c>
      <c r="Q260" t="s">
        <v>3599</v>
      </c>
      <c r="R260" t="s">
        <v>3599</v>
      </c>
      <c r="S260" t="s">
        <v>3599</v>
      </c>
      <c r="T260">
        <v>1</v>
      </c>
      <c r="U260" t="s">
        <v>868</v>
      </c>
      <c r="V260">
        <v>5</v>
      </c>
      <c r="W260">
        <v>0</v>
      </c>
      <c r="X260">
        <v>0</v>
      </c>
    </row>
    <row r="261" spans="1:24" x14ac:dyDescent="0.3">
      <c r="A261" t="s">
        <v>982</v>
      </c>
      <c r="B261" t="s">
        <v>983</v>
      </c>
      <c r="C261">
        <v>1</v>
      </c>
      <c r="D261" t="s">
        <v>11</v>
      </c>
      <c r="E261" t="s">
        <v>21</v>
      </c>
      <c r="F261" t="s">
        <v>22</v>
      </c>
      <c r="H261" t="s">
        <v>71</v>
      </c>
      <c r="I261" t="s">
        <v>3617</v>
      </c>
      <c r="J261" t="s">
        <v>982</v>
      </c>
      <c r="K261" t="s">
        <v>868</v>
      </c>
      <c r="L261" t="s">
        <v>3618</v>
      </c>
      <c r="M261" t="s">
        <v>982</v>
      </c>
      <c r="N261" t="s">
        <v>983</v>
      </c>
      <c r="O261" t="s">
        <v>984</v>
      </c>
      <c r="Q261" t="s">
        <v>3599</v>
      </c>
      <c r="R261" t="s">
        <v>3599</v>
      </c>
      <c r="S261" t="s">
        <v>3599</v>
      </c>
      <c r="T261">
        <v>1</v>
      </c>
      <c r="U261" t="s">
        <v>868</v>
      </c>
      <c r="V261">
        <v>5</v>
      </c>
      <c r="W261">
        <v>0</v>
      </c>
      <c r="X261">
        <v>0</v>
      </c>
    </row>
    <row r="262" spans="1:24" x14ac:dyDescent="0.3">
      <c r="A262" t="s">
        <v>985</v>
      </c>
      <c r="B262" t="s">
        <v>986</v>
      </c>
      <c r="C262">
        <v>1</v>
      </c>
      <c r="D262" t="s">
        <v>11</v>
      </c>
      <c r="E262" t="s">
        <v>21</v>
      </c>
      <c r="F262" t="s">
        <v>22</v>
      </c>
      <c r="H262" t="s">
        <v>71</v>
      </c>
      <c r="I262" t="s">
        <v>3617</v>
      </c>
      <c r="J262" t="s">
        <v>985</v>
      </c>
      <c r="K262" t="s">
        <v>868</v>
      </c>
      <c r="L262" t="s">
        <v>3618</v>
      </c>
      <c r="M262" t="s">
        <v>985</v>
      </c>
      <c r="N262" t="s">
        <v>986</v>
      </c>
      <c r="Q262" t="s">
        <v>3599</v>
      </c>
      <c r="R262" t="s">
        <v>3599</v>
      </c>
      <c r="S262" t="s">
        <v>3599</v>
      </c>
      <c r="T262">
        <v>1</v>
      </c>
      <c r="U262" t="s">
        <v>868</v>
      </c>
      <c r="V262">
        <v>5</v>
      </c>
      <c r="W262">
        <v>0</v>
      </c>
      <c r="X262">
        <v>0</v>
      </c>
    </row>
    <row r="263" spans="1:24" x14ac:dyDescent="0.3">
      <c r="A263" t="s">
        <v>987</v>
      </c>
      <c r="B263" t="s">
        <v>988</v>
      </c>
      <c r="C263">
        <v>1</v>
      </c>
      <c r="D263" t="s">
        <v>11</v>
      </c>
      <c r="E263" t="s">
        <v>21</v>
      </c>
      <c r="F263" t="s">
        <v>22</v>
      </c>
      <c r="H263" t="s">
        <v>71</v>
      </c>
      <c r="I263" t="s">
        <v>3617</v>
      </c>
      <c r="J263" t="s">
        <v>987</v>
      </c>
      <c r="K263" t="s">
        <v>868</v>
      </c>
      <c r="L263" t="s">
        <v>3618</v>
      </c>
      <c r="M263" t="s">
        <v>987</v>
      </c>
      <c r="N263" t="s">
        <v>988</v>
      </c>
      <c r="Q263" t="s">
        <v>3599</v>
      </c>
      <c r="R263" t="s">
        <v>3599</v>
      </c>
      <c r="S263" t="s">
        <v>3599</v>
      </c>
      <c r="T263">
        <v>1</v>
      </c>
      <c r="U263" t="s">
        <v>868</v>
      </c>
      <c r="V263">
        <v>5</v>
      </c>
      <c r="W263">
        <v>0</v>
      </c>
      <c r="X263">
        <v>0</v>
      </c>
    </row>
    <row r="264" spans="1:24" x14ac:dyDescent="0.3">
      <c r="A264" t="s">
        <v>989</v>
      </c>
      <c r="B264" t="s">
        <v>990</v>
      </c>
      <c r="C264">
        <v>1</v>
      </c>
      <c r="D264" t="s">
        <v>11</v>
      </c>
      <c r="E264" t="s">
        <v>21</v>
      </c>
      <c r="F264" t="s">
        <v>22</v>
      </c>
      <c r="H264" t="s">
        <v>71</v>
      </c>
      <c r="I264" t="s">
        <v>3617</v>
      </c>
      <c r="J264" t="s">
        <v>989</v>
      </c>
      <c r="K264" t="s">
        <v>868</v>
      </c>
      <c r="L264" t="s">
        <v>3618</v>
      </c>
      <c r="M264" t="s">
        <v>989</v>
      </c>
      <c r="N264" t="s">
        <v>990</v>
      </c>
      <c r="Q264" t="s">
        <v>3599</v>
      </c>
      <c r="R264" t="s">
        <v>3599</v>
      </c>
      <c r="S264" t="s">
        <v>3599</v>
      </c>
      <c r="T264">
        <v>1</v>
      </c>
      <c r="U264" t="s">
        <v>868</v>
      </c>
      <c r="V264">
        <v>5</v>
      </c>
      <c r="W264">
        <v>0</v>
      </c>
      <c r="X264">
        <v>0</v>
      </c>
    </row>
    <row r="265" spans="1:24" x14ac:dyDescent="0.3">
      <c r="A265" t="s">
        <v>991</v>
      </c>
      <c r="B265" t="s">
        <v>992</v>
      </c>
      <c r="C265">
        <v>1</v>
      </c>
      <c r="D265" t="s">
        <v>11</v>
      </c>
      <c r="E265" t="s">
        <v>21</v>
      </c>
      <c r="F265" t="s">
        <v>22</v>
      </c>
      <c r="H265" t="s">
        <v>71</v>
      </c>
      <c r="I265" t="s">
        <v>3617</v>
      </c>
      <c r="K265" t="s">
        <v>868</v>
      </c>
      <c r="L265" t="s">
        <v>3618</v>
      </c>
      <c r="N265" t="s">
        <v>992</v>
      </c>
      <c r="Q265" t="s">
        <v>3599</v>
      </c>
      <c r="R265" t="s">
        <v>3599</v>
      </c>
      <c r="S265" t="s">
        <v>3599</v>
      </c>
      <c r="T265">
        <v>1</v>
      </c>
      <c r="U265" t="s">
        <v>868</v>
      </c>
      <c r="V265">
        <v>5</v>
      </c>
      <c r="W265">
        <v>0</v>
      </c>
      <c r="X265">
        <v>0</v>
      </c>
    </row>
    <row r="266" spans="1:24" x14ac:dyDescent="0.3">
      <c r="A266" t="s">
        <v>993</v>
      </c>
      <c r="B266" t="s">
        <v>994</v>
      </c>
      <c r="C266">
        <v>1</v>
      </c>
      <c r="D266" t="s">
        <v>11</v>
      </c>
      <c r="E266" t="s">
        <v>21</v>
      </c>
      <c r="F266" t="s">
        <v>22</v>
      </c>
      <c r="H266" t="s">
        <v>71</v>
      </c>
      <c r="I266" t="s">
        <v>3617</v>
      </c>
      <c r="J266" t="s">
        <v>993</v>
      </c>
      <c r="K266" t="s">
        <v>868</v>
      </c>
      <c r="L266" t="s">
        <v>3618</v>
      </c>
      <c r="M266" t="s">
        <v>993</v>
      </c>
      <c r="N266" t="s">
        <v>994</v>
      </c>
      <c r="Q266" t="s">
        <v>3599</v>
      </c>
      <c r="R266" t="s">
        <v>3599</v>
      </c>
      <c r="S266" t="s">
        <v>3599</v>
      </c>
      <c r="T266">
        <v>1</v>
      </c>
      <c r="U266" t="s">
        <v>868</v>
      </c>
      <c r="V266">
        <v>5</v>
      </c>
      <c r="W266">
        <v>0</v>
      </c>
      <c r="X266">
        <v>0</v>
      </c>
    </row>
    <row r="267" spans="1:24" x14ac:dyDescent="0.3">
      <c r="A267" t="s">
        <v>995</v>
      </c>
      <c r="B267" t="s">
        <v>996</v>
      </c>
      <c r="C267">
        <v>1</v>
      </c>
      <c r="D267" t="s">
        <v>11</v>
      </c>
      <c r="E267" t="s">
        <v>21</v>
      </c>
      <c r="F267" t="s">
        <v>22</v>
      </c>
      <c r="H267" t="s">
        <v>71</v>
      </c>
      <c r="I267" t="s">
        <v>3617</v>
      </c>
      <c r="J267" t="s">
        <v>995</v>
      </c>
      <c r="K267" t="s">
        <v>868</v>
      </c>
      <c r="L267" t="s">
        <v>3618</v>
      </c>
      <c r="M267" t="s">
        <v>995</v>
      </c>
      <c r="N267" t="s">
        <v>996</v>
      </c>
      <c r="Q267" t="s">
        <v>3599</v>
      </c>
      <c r="R267" t="s">
        <v>3599</v>
      </c>
      <c r="S267" t="s">
        <v>3599</v>
      </c>
      <c r="T267">
        <v>1</v>
      </c>
      <c r="U267" t="s">
        <v>868</v>
      </c>
      <c r="V267">
        <v>5</v>
      </c>
      <c r="W267">
        <v>0</v>
      </c>
      <c r="X267">
        <v>0</v>
      </c>
    </row>
    <row r="268" spans="1:24" x14ac:dyDescent="0.3">
      <c r="A268" t="s">
        <v>997</v>
      </c>
      <c r="B268" t="s">
        <v>998</v>
      </c>
      <c r="C268">
        <v>1</v>
      </c>
      <c r="D268" t="s">
        <v>11</v>
      </c>
      <c r="E268" t="s">
        <v>21</v>
      </c>
      <c r="F268" t="s">
        <v>22</v>
      </c>
      <c r="H268" t="s">
        <v>71</v>
      </c>
      <c r="I268" t="s">
        <v>3617</v>
      </c>
      <c r="J268" t="s">
        <v>997</v>
      </c>
      <c r="K268" t="s">
        <v>868</v>
      </c>
      <c r="L268" t="s">
        <v>3618</v>
      </c>
      <c r="M268" t="s">
        <v>997</v>
      </c>
      <c r="N268" t="s">
        <v>998</v>
      </c>
      <c r="O268" t="s">
        <v>999</v>
      </c>
      <c r="Q268" t="s">
        <v>3599</v>
      </c>
      <c r="R268" t="s">
        <v>3599</v>
      </c>
      <c r="S268" t="s">
        <v>3599</v>
      </c>
      <c r="T268">
        <v>1</v>
      </c>
      <c r="U268" t="s">
        <v>868</v>
      </c>
      <c r="V268">
        <v>5</v>
      </c>
      <c r="W268">
        <v>0</v>
      </c>
      <c r="X268">
        <v>0</v>
      </c>
    </row>
    <row r="269" spans="1:24" x14ac:dyDescent="0.3">
      <c r="A269" t="s">
        <v>1000</v>
      </c>
      <c r="B269" t="s">
        <v>1001</v>
      </c>
      <c r="C269">
        <v>1</v>
      </c>
      <c r="D269" t="s">
        <v>11</v>
      </c>
      <c r="E269" t="s">
        <v>21</v>
      </c>
      <c r="F269" t="s">
        <v>22</v>
      </c>
      <c r="H269" t="s">
        <v>71</v>
      </c>
      <c r="I269" t="s">
        <v>3617</v>
      </c>
      <c r="K269" t="s">
        <v>868</v>
      </c>
      <c r="L269" t="s">
        <v>3618</v>
      </c>
      <c r="N269" t="s">
        <v>1001</v>
      </c>
      <c r="Q269" t="s">
        <v>3599</v>
      </c>
      <c r="R269" t="s">
        <v>3599</v>
      </c>
      <c r="S269" t="s">
        <v>3599</v>
      </c>
      <c r="T269">
        <v>1</v>
      </c>
      <c r="U269" t="s">
        <v>868</v>
      </c>
      <c r="V269">
        <v>5</v>
      </c>
      <c r="W269">
        <v>0</v>
      </c>
      <c r="X269">
        <v>0</v>
      </c>
    </row>
    <row r="270" spans="1:24" x14ac:dyDescent="0.3">
      <c r="A270" t="s">
        <v>1002</v>
      </c>
      <c r="B270" t="s">
        <v>1003</v>
      </c>
      <c r="C270">
        <v>1</v>
      </c>
      <c r="D270" t="s">
        <v>11</v>
      </c>
      <c r="E270" t="s">
        <v>21</v>
      </c>
      <c r="F270" t="s">
        <v>22</v>
      </c>
      <c r="H270" t="s">
        <v>71</v>
      </c>
      <c r="I270" t="s">
        <v>3617</v>
      </c>
      <c r="J270" t="s">
        <v>1002</v>
      </c>
      <c r="K270" t="s">
        <v>868</v>
      </c>
      <c r="L270" t="s">
        <v>3618</v>
      </c>
      <c r="M270" t="s">
        <v>1002</v>
      </c>
      <c r="N270" t="s">
        <v>1003</v>
      </c>
      <c r="O270" t="s">
        <v>1004</v>
      </c>
      <c r="Q270" t="s">
        <v>3599</v>
      </c>
      <c r="R270" t="s">
        <v>3599</v>
      </c>
      <c r="S270" t="s">
        <v>3599</v>
      </c>
      <c r="T270">
        <v>1</v>
      </c>
      <c r="U270" t="s">
        <v>868</v>
      </c>
      <c r="V270">
        <v>5</v>
      </c>
      <c r="W270">
        <v>0</v>
      </c>
      <c r="X270">
        <v>0</v>
      </c>
    </row>
    <row r="271" spans="1:24" x14ac:dyDescent="0.3">
      <c r="A271" t="s">
        <v>1005</v>
      </c>
      <c r="B271" t="s">
        <v>1006</v>
      </c>
      <c r="C271">
        <v>1</v>
      </c>
      <c r="D271" t="s">
        <v>11</v>
      </c>
      <c r="E271" t="s">
        <v>21</v>
      </c>
      <c r="F271" t="s">
        <v>22</v>
      </c>
      <c r="H271" t="s">
        <v>71</v>
      </c>
      <c r="I271" t="s">
        <v>3617</v>
      </c>
      <c r="J271" t="s">
        <v>1005</v>
      </c>
      <c r="K271" t="s">
        <v>868</v>
      </c>
      <c r="L271" t="s">
        <v>3618</v>
      </c>
      <c r="M271" t="s">
        <v>1005</v>
      </c>
      <c r="N271" t="s">
        <v>1006</v>
      </c>
      <c r="O271" t="s">
        <v>1007</v>
      </c>
      <c r="Q271" t="s">
        <v>3599</v>
      </c>
      <c r="R271" t="s">
        <v>3599</v>
      </c>
      <c r="S271" t="s">
        <v>3599</v>
      </c>
      <c r="T271">
        <v>1</v>
      </c>
      <c r="U271" t="s">
        <v>868</v>
      </c>
      <c r="V271">
        <v>5</v>
      </c>
      <c r="W271">
        <v>0</v>
      </c>
      <c r="X271">
        <v>0</v>
      </c>
    </row>
    <row r="272" spans="1:24" x14ac:dyDescent="0.3">
      <c r="A272" t="s">
        <v>1008</v>
      </c>
      <c r="B272" t="s">
        <v>1009</v>
      </c>
      <c r="C272">
        <v>1</v>
      </c>
      <c r="D272" t="s">
        <v>11</v>
      </c>
      <c r="E272" t="s">
        <v>21</v>
      </c>
      <c r="F272" t="s">
        <v>22</v>
      </c>
      <c r="H272" t="s">
        <v>71</v>
      </c>
      <c r="I272" t="s">
        <v>3617</v>
      </c>
      <c r="J272" t="s">
        <v>1008</v>
      </c>
      <c r="K272" t="s">
        <v>868</v>
      </c>
      <c r="L272" t="s">
        <v>3618</v>
      </c>
      <c r="M272" t="s">
        <v>1008</v>
      </c>
      <c r="N272" t="s">
        <v>1009</v>
      </c>
      <c r="Q272" t="s">
        <v>3599</v>
      </c>
      <c r="R272" t="s">
        <v>3599</v>
      </c>
      <c r="S272" t="s">
        <v>3599</v>
      </c>
      <c r="T272">
        <v>1</v>
      </c>
      <c r="U272" t="s">
        <v>868</v>
      </c>
      <c r="V272">
        <v>5</v>
      </c>
      <c r="W272">
        <v>0</v>
      </c>
      <c r="X272">
        <v>0</v>
      </c>
    </row>
    <row r="273" spans="1:24" x14ac:dyDescent="0.3">
      <c r="A273" t="s">
        <v>1010</v>
      </c>
      <c r="B273" t="s">
        <v>1011</v>
      </c>
      <c r="C273">
        <v>1</v>
      </c>
      <c r="D273" t="s">
        <v>11</v>
      </c>
      <c r="E273" t="s">
        <v>21</v>
      </c>
      <c r="F273" t="s">
        <v>22</v>
      </c>
      <c r="H273" t="s">
        <v>71</v>
      </c>
      <c r="I273" t="s">
        <v>3617</v>
      </c>
      <c r="J273" t="s">
        <v>1010</v>
      </c>
      <c r="K273" t="s">
        <v>868</v>
      </c>
      <c r="L273" t="s">
        <v>3618</v>
      </c>
      <c r="M273" t="s">
        <v>1010</v>
      </c>
      <c r="N273" t="s">
        <v>1011</v>
      </c>
      <c r="O273" t="s">
        <v>1012</v>
      </c>
      <c r="Q273" t="s">
        <v>3599</v>
      </c>
      <c r="R273" t="s">
        <v>3599</v>
      </c>
      <c r="S273" t="s">
        <v>3599</v>
      </c>
      <c r="T273">
        <v>1</v>
      </c>
      <c r="U273" t="s">
        <v>868</v>
      </c>
      <c r="V273">
        <v>5</v>
      </c>
      <c r="W273">
        <v>0</v>
      </c>
      <c r="X273">
        <v>0</v>
      </c>
    </row>
    <row r="274" spans="1:24" x14ac:dyDescent="0.3">
      <c r="A274" t="s">
        <v>1013</v>
      </c>
      <c r="B274" t="s">
        <v>1014</v>
      </c>
      <c r="C274">
        <v>1</v>
      </c>
      <c r="D274" t="s">
        <v>11</v>
      </c>
      <c r="E274" t="s">
        <v>21</v>
      </c>
      <c r="F274" t="s">
        <v>22</v>
      </c>
      <c r="H274" t="s">
        <v>71</v>
      </c>
      <c r="I274" t="s">
        <v>3617</v>
      </c>
      <c r="J274" t="s">
        <v>1013</v>
      </c>
      <c r="K274" t="s">
        <v>868</v>
      </c>
      <c r="L274" t="s">
        <v>3618</v>
      </c>
      <c r="M274" t="s">
        <v>1013</v>
      </c>
      <c r="N274" t="s">
        <v>1014</v>
      </c>
      <c r="Q274" t="s">
        <v>3599</v>
      </c>
      <c r="R274" t="s">
        <v>3599</v>
      </c>
      <c r="S274" t="s">
        <v>3599</v>
      </c>
      <c r="T274">
        <v>1</v>
      </c>
      <c r="U274" t="s">
        <v>868</v>
      </c>
      <c r="V274">
        <v>5</v>
      </c>
      <c r="W274">
        <v>0</v>
      </c>
      <c r="X274">
        <v>0</v>
      </c>
    </row>
    <row r="275" spans="1:24" x14ac:dyDescent="0.3">
      <c r="A275" t="s">
        <v>1015</v>
      </c>
      <c r="B275" t="s">
        <v>1016</v>
      </c>
      <c r="C275">
        <v>1</v>
      </c>
      <c r="D275" t="s">
        <v>11</v>
      </c>
      <c r="E275" t="s">
        <v>21</v>
      </c>
      <c r="F275" t="s">
        <v>22</v>
      </c>
      <c r="H275" t="s">
        <v>71</v>
      </c>
      <c r="I275" t="s">
        <v>3617</v>
      </c>
      <c r="J275" t="s">
        <v>1015</v>
      </c>
      <c r="K275" t="s">
        <v>868</v>
      </c>
      <c r="L275" t="s">
        <v>3618</v>
      </c>
      <c r="M275" t="s">
        <v>1015</v>
      </c>
      <c r="N275" t="s">
        <v>1016</v>
      </c>
      <c r="O275" t="s">
        <v>1017</v>
      </c>
      <c r="Q275" t="s">
        <v>3599</v>
      </c>
      <c r="R275" t="s">
        <v>3599</v>
      </c>
      <c r="S275" t="s">
        <v>3599</v>
      </c>
      <c r="T275">
        <v>1</v>
      </c>
      <c r="U275" t="s">
        <v>868</v>
      </c>
      <c r="V275">
        <v>5</v>
      </c>
      <c r="W275">
        <v>0</v>
      </c>
      <c r="X275">
        <v>0</v>
      </c>
    </row>
    <row r="276" spans="1:24" x14ac:dyDescent="0.3">
      <c r="A276" t="s">
        <v>1018</v>
      </c>
      <c r="B276" t="s">
        <v>1019</v>
      </c>
      <c r="C276">
        <v>1</v>
      </c>
      <c r="D276" t="s">
        <v>11</v>
      </c>
      <c r="E276" t="s">
        <v>21</v>
      </c>
      <c r="F276" t="s">
        <v>22</v>
      </c>
      <c r="H276" t="s">
        <v>71</v>
      </c>
      <c r="I276" t="s">
        <v>3617</v>
      </c>
      <c r="J276" t="s">
        <v>1018</v>
      </c>
      <c r="K276" t="s">
        <v>868</v>
      </c>
      <c r="L276" t="s">
        <v>3618</v>
      </c>
      <c r="M276" t="s">
        <v>1018</v>
      </c>
      <c r="N276" t="s">
        <v>1019</v>
      </c>
      <c r="Q276" t="s">
        <v>3599</v>
      </c>
      <c r="R276" t="s">
        <v>3599</v>
      </c>
      <c r="S276" t="s">
        <v>3599</v>
      </c>
      <c r="T276">
        <v>1</v>
      </c>
      <c r="U276" t="s">
        <v>868</v>
      </c>
      <c r="V276">
        <v>5</v>
      </c>
      <c r="W276">
        <v>0</v>
      </c>
      <c r="X276">
        <v>0</v>
      </c>
    </row>
    <row r="277" spans="1:24" x14ac:dyDescent="0.3">
      <c r="A277" t="s">
        <v>895</v>
      </c>
      <c r="B277" t="s">
        <v>1020</v>
      </c>
      <c r="C277">
        <v>1</v>
      </c>
      <c r="D277" t="s">
        <v>11</v>
      </c>
      <c r="E277" t="s">
        <v>21</v>
      </c>
      <c r="F277" t="s">
        <v>22</v>
      </c>
      <c r="H277" t="s">
        <v>71</v>
      </c>
      <c r="I277" t="s">
        <v>3617</v>
      </c>
      <c r="J277" t="s">
        <v>895</v>
      </c>
      <c r="K277" t="s">
        <v>868</v>
      </c>
      <c r="L277" t="s">
        <v>3618</v>
      </c>
      <c r="M277" t="s">
        <v>895</v>
      </c>
      <c r="N277" t="s">
        <v>1020</v>
      </c>
      <c r="O277" t="s">
        <v>1021</v>
      </c>
      <c r="Q277" t="s">
        <v>3599</v>
      </c>
      <c r="R277" t="s">
        <v>3599</v>
      </c>
      <c r="S277" t="s">
        <v>3599</v>
      </c>
      <c r="T277">
        <v>1</v>
      </c>
      <c r="U277" t="s">
        <v>868</v>
      </c>
      <c r="V277">
        <v>5</v>
      </c>
      <c r="W277">
        <v>0</v>
      </c>
      <c r="X277">
        <v>0</v>
      </c>
    </row>
    <row r="278" spans="1:24" x14ac:dyDescent="0.3">
      <c r="A278" t="s">
        <v>1022</v>
      </c>
      <c r="B278" t="s">
        <v>1023</v>
      </c>
      <c r="C278">
        <v>1</v>
      </c>
      <c r="D278" t="s">
        <v>11</v>
      </c>
      <c r="E278" t="s">
        <v>21</v>
      </c>
      <c r="F278" t="s">
        <v>22</v>
      </c>
      <c r="H278" t="s">
        <v>71</v>
      </c>
      <c r="I278" t="s">
        <v>3617</v>
      </c>
      <c r="J278" t="s">
        <v>1022</v>
      </c>
      <c r="K278" t="s">
        <v>868</v>
      </c>
      <c r="L278" t="s">
        <v>3618</v>
      </c>
      <c r="M278" t="s">
        <v>1022</v>
      </c>
      <c r="N278" t="s">
        <v>1023</v>
      </c>
      <c r="Q278" t="s">
        <v>3599</v>
      </c>
      <c r="R278" t="s">
        <v>3599</v>
      </c>
      <c r="S278" t="s">
        <v>3599</v>
      </c>
      <c r="T278">
        <v>1</v>
      </c>
      <c r="U278" t="s">
        <v>868</v>
      </c>
      <c r="V278">
        <v>5</v>
      </c>
      <c r="W278">
        <v>0</v>
      </c>
      <c r="X278">
        <v>0</v>
      </c>
    </row>
    <row r="279" spans="1:24" x14ac:dyDescent="0.3">
      <c r="A279" t="s">
        <v>1024</v>
      </c>
      <c r="B279" t="s">
        <v>1025</v>
      </c>
      <c r="C279">
        <v>1</v>
      </c>
      <c r="D279" t="s">
        <v>11</v>
      </c>
      <c r="E279" t="s">
        <v>21</v>
      </c>
      <c r="F279" t="s">
        <v>22</v>
      </c>
      <c r="H279" t="s">
        <v>71</v>
      </c>
      <c r="I279" t="s">
        <v>3617</v>
      </c>
      <c r="J279" t="s">
        <v>1024</v>
      </c>
      <c r="K279" t="s">
        <v>868</v>
      </c>
      <c r="L279" t="s">
        <v>3618</v>
      </c>
      <c r="M279" t="s">
        <v>1024</v>
      </c>
      <c r="N279" t="s">
        <v>1025</v>
      </c>
      <c r="Q279" t="s">
        <v>3599</v>
      </c>
      <c r="R279" t="s">
        <v>3599</v>
      </c>
      <c r="S279" t="s">
        <v>3599</v>
      </c>
      <c r="T279">
        <v>1</v>
      </c>
      <c r="U279" t="s">
        <v>868</v>
      </c>
      <c r="V279">
        <v>5</v>
      </c>
      <c r="W279">
        <v>0</v>
      </c>
      <c r="X279">
        <v>0</v>
      </c>
    </row>
    <row r="280" spans="1:24" x14ac:dyDescent="0.3">
      <c r="A280" t="s">
        <v>1026</v>
      </c>
      <c r="B280" t="s">
        <v>1027</v>
      </c>
      <c r="C280">
        <v>1</v>
      </c>
      <c r="D280" t="s">
        <v>11</v>
      </c>
      <c r="E280" t="s">
        <v>21</v>
      </c>
      <c r="F280" t="s">
        <v>22</v>
      </c>
      <c r="H280" t="s">
        <v>71</v>
      </c>
      <c r="I280" t="s">
        <v>3617</v>
      </c>
      <c r="J280" t="s">
        <v>1026</v>
      </c>
      <c r="K280" t="s">
        <v>868</v>
      </c>
      <c r="L280" t="s">
        <v>3618</v>
      </c>
      <c r="M280" t="s">
        <v>1026</v>
      </c>
      <c r="N280" t="s">
        <v>1027</v>
      </c>
      <c r="Q280" t="s">
        <v>3599</v>
      </c>
      <c r="R280" t="s">
        <v>3599</v>
      </c>
      <c r="S280" t="s">
        <v>3599</v>
      </c>
      <c r="T280">
        <v>1</v>
      </c>
      <c r="U280" t="s">
        <v>868</v>
      </c>
      <c r="V280">
        <v>5</v>
      </c>
      <c r="W280">
        <v>0</v>
      </c>
      <c r="X280">
        <v>0</v>
      </c>
    </row>
    <row r="281" spans="1:24" x14ac:dyDescent="0.3">
      <c r="A281" t="s">
        <v>1028</v>
      </c>
      <c r="B281" t="s">
        <v>1029</v>
      </c>
      <c r="C281">
        <v>1</v>
      </c>
      <c r="D281" t="s">
        <v>11</v>
      </c>
      <c r="E281" t="s">
        <v>21</v>
      </c>
      <c r="F281" t="s">
        <v>22</v>
      </c>
      <c r="H281" t="s">
        <v>71</v>
      </c>
      <c r="I281" t="s">
        <v>3617</v>
      </c>
      <c r="J281" t="s">
        <v>1028</v>
      </c>
      <c r="K281" t="s">
        <v>868</v>
      </c>
      <c r="L281" t="s">
        <v>3618</v>
      </c>
      <c r="M281" t="s">
        <v>1028</v>
      </c>
      <c r="N281" t="s">
        <v>1029</v>
      </c>
      <c r="O281" t="s">
        <v>1031</v>
      </c>
      <c r="P281" t="s">
        <v>1030</v>
      </c>
      <c r="Q281" t="s">
        <v>3599</v>
      </c>
      <c r="R281" t="s">
        <v>3599</v>
      </c>
      <c r="S281" t="s">
        <v>3599</v>
      </c>
      <c r="T281">
        <v>1</v>
      </c>
      <c r="U281" t="s">
        <v>868</v>
      </c>
      <c r="V281">
        <v>5</v>
      </c>
      <c r="W281">
        <v>0</v>
      </c>
      <c r="X281">
        <v>0</v>
      </c>
    </row>
    <row r="282" spans="1:24" x14ac:dyDescent="0.3">
      <c r="A282" t="s">
        <v>1032</v>
      </c>
      <c r="B282" t="s">
        <v>1033</v>
      </c>
      <c r="C282">
        <v>1</v>
      </c>
      <c r="D282" t="s">
        <v>11</v>
      </c>
      <c r="E282" t="s">
        <v>21</v>
      </c>
      <c r="F282" t="s">
        <v>22</v>
      </c>
      <c r="H282" t="s">
        <v>71</v>
      </c>
      <c r="I282" t="s">
        <v>3617</v>
      </c>
      <c r="J282" t="s">
        <v>1032</v>
      </c>
      <c r="K282" t="s">
        <v>868</v>
      </c>
      <c r="L282" t="s">
        <v>3618</v>
      </c>
      <c r="M282" t="s">
        <v>1032</v>
      </c>
      <c r="N282" t="s">
        <v>1033</v>
      </c>
      <c r="Q282" t="s">
        <v>3599</v>
      </c>
      <c r="R282" t="s">
        <v>3599</v>
      </c>
      <c r="S282" t="s">
        <v>3599</v>
      </c>
      <c r="T282">
        <v>1</v>
      </c>
      <c r="U282" t="s">
        <v>868</v>
      </c>
      <c r="V282">
        <v>5</v>
      </c>
      <c r="W282">
        <v>0</v>
      </c>
      <c r="X282">
        <v>0</v>
      </c>
    </row>
    <row r="283" spans="1:24" x14ac:dyDescent="0.3">
      <c r="A283" t="s">
        <v>1034</v>
      </c>
      <c r="B283" t="s">
        <v>1035</v>
      </c>
      <c r="C283">
        <v>1</v>
      </c>
      <c r="D283" t="s">
        <v>11</v>
      </c>
      <c r="E283" t="s">
        <v>21</v>
      </c>
      <c r="F283" t="s">
        <v>22</v>
      </c>
      <c r="H283" t="s">
        <v>71</v>
      </c>
      <c r="I283" t="s">
        <v>3617</v>
      </c>
      <c r="J283" t="s">
        <v>1034</v>
      </c>
      <c r="K283" t="s">
        <v>868</v>
      </c>
      <c r="L283" t="s">
        <v>3618</v>
      </c>
      <c r="M283" t="s">
        <v>1034</v>
      </c>
      <c r="N283" t="s">
        <v>1035</v>
      </c>
      <c r="Q283" t="s">
        <v>3599</v>
      </c>
      <c r="R283" t="s">
        <v>3599</v>
      </c>
      <c r="S283" t="s">
        <v>3599</v>
      </c>
      <c r="T283">
        <v>1</v>
      </c>
      <c r="U283" t="s">
        <v>868</v>
      </c>
      <c r="V283">
        <v>5</v>
      </c>
      <c r="W283">
        <v>0</v>
      </c>
      <c r="X283">
        <v>0</v>
      </c>
    </row>
    <row r="284" spans="1:24" x14ac:dyDescent="0.3">
      <c r="A284" t="s">
        <v>1036</v>
      </c>
      <c r="B284" t="s">
        <v>1037</v>
      </c>
      <c r="C284">
        <v>1</v>
      </c>
      <c r="D284" t="s">
        <v>11</v>
      </c>
      <c r="E284" t="s">
        <v>21</v>
      </c>
      <c r="F284" t="s">
        <v>22</v>
      </c>
      <c r="H284" t="s">
        <v>71</v>
      </c>
      <c r="I284" t="s">
        <v>3617</v>
      </c>
      <c r="J284" t="s">
        <v>1036</v>
      </c>
      <c r="K284" t="s">
        <v>868</v>
      </c>
      <c r="L284" t="s">
        <v>3618</v>
      </c>
      <c r="M284" t="s">
        <v>1036</v>
      </c>
      <c r="N284" t="s">
        <v>1037</v>
      </c>
      <c r="O284" t="s">
        <v>1038</v>
      </c>
      <c r="Q284" t="s">
        <v>3599</v>
      </c>
      <c r="R284" t="s">
        <v>3599</v>
      </c>
      <c r="S284" t="s">
        <v>3599</v>
      </c>
      <c r="T284">
        <v>1</v>
      </c>
      <c r="U284" t="s">
        <v>868</v>
      </c>
      <c r="V284">
        <v>5</v>
      </c>
      <c r="W284">
        <v>0</v>
      </c>
      <c r="X284">
        <v>0</v>
      </c>
    </row>
    <row r="285" spans="1:24" x14ac:dyDescent="0.3">
      <c r="A285" t="s">
        <v>1039</v>
      </c>
      <c r="B285" t="s">
        <v>1040</v>
      </c>
      <c r="C285">
        <v>1</v>
      </c>
      <c r="D285" t="s">
        <v>11</v>
      </c>
      <c r="E285" t="s">
        <v>21</v>
      </c>
      <c r="F285" t="s">
        <v>22</v>
      </c>
      <c r="H285" t="s">
        <v>71</v>
      </c>
      <c r="I285" t="s">
        <v>3617</v>
      </c>
      <c r="J285" t="s">
        <v>1039</v>
      </c>
      <c r="K285" t="s">
        <v>868</v>
      </c>
      <c r="L285" t="s">
        <v>3618</v>
      </c>
      <c r="M285" t="s">
        <v>1039</v>
      </c>
      <c r="N285" t="s">
        <v>1040</v>
      </c>
      <c r="O285" t="s">
        <v>1041</v>
      </c>
      <c r="Q285" t="s">
        <v>3599</v>
      </c>
      <c r="R285" t="s">
        <v>3599</v>
      </c>
      <c r="S285" t="s">
        <v>3599</v>
      </c>
      <c r="T285">
        <v>1</v>
      </c>
      <c r="U285" t="s">
        <v>868</v>
      </c>
      <c r="V285">
        <v>5</v>
      </c>
      <c r="W285">
        <v>0</v>
      </c>
      <c r="X285">
        <v>0</v>
      </c>
    </row>
    <row r="286" spans="1:24" x14ac:dyDescent="0.3">
      <c r="A286" t="s">
        <v>1042</v>
      </c>
      <c r="B286" t="s">
        <v>1043</v>
      </c>
      <c r="C286">
        <v>1</v>
      </c>
      <c r="D286" t="s">
        <v>11</v>
      </c>
      <c r="E286" t="s">
        <v>21</v>
      </c>
      <c r="F286" t="s">
        <v>22</v>
      </c>
      <c r="H286" t="s">
        <v>71</v>
      </c>
      <c r="I286" t="s">
        <v>3617</v>
      </c>
      <c r="J286" t="s">
        <v>1042</v>
      </c>
      <c r="K286" t="s">
        <v>868</v>
      </c>
      <c r="L286" t="s">
        <v>3618</v>
      </c>
      <c r="M286" t="s">
        <v>1042</v>
      </c>
      <c r="N286" t="s">
        <v>1043</v>
      </c>
      <c r="O286" t="s">
        <v>1045</v>
      </c>
      <c r="P286" t="s">
        <v>1044</v>
      </c>
      <c r="Q286" t="s">
        <v>3599</v>
      </c>
      <c r="R286" t="s">
        <v>3599</v>
      </c>
      <c r="S286" t="s">
        <v>3599</v>
      </c>
      <c r="T286">
        <v>1</v>
      </c>
      <c r="U286" t="s">
        <v>868</v>
      </c>
      <c r="V286">
        <v>5</v>
      </c>
      <c r="W286">
        <v>0</v>
      </c>
      <c r="X286">
        <v>0</v>
      </c>
    </row>
    <row r="287" spans="1:24" x14ac:dyDescent="0.3">
      <c r="A287" t="s">
        <v>1046</v>
      </c>
      <c r="B287" t="s">
        <v>1047</v>
      </c>
      <c r="C287">
        <v>1</v>
      </c>
      <c r="D287" t="s">
        <v>11</v>
      </c>
      <c r="E287" t="s">
        <v>21</v>
      </c>
      <c r="F287" t="s">
        <v>22</v>
      </c>
      <c r="H287" t="s">
        <v>71</v>
      </c>
      <c r="I287" t="s">
        <v>3617</v>
      </c>
      <c r="J287" t="s">
        <v>1046</v>
      </c>
      <c r="K287" t="s">
        <v>868</v>
      </c>
      <c r="L287" t="s">
        <v>3618</v>
      </c>
      <c r="M287" t="s">
        <v>1046</v>
      </c>
      <c r="N287" t="s">
        <v>1047</v>
      </c>
      <c r="Q287" t="s">
        <v>3599</v>
      </c>
      <c r="R287" t="s">
        <v>3599</v>
      </c>
      <c r="S287" t="s">
        <v>3599</v>
      </c>
      <c r="T287">
        <v>1</v>
      </c>
      <c r="U287" t="s">
        <v>868</v>
      </c>
      <c r="V287">
        <v>5</v>
      </c>
      <c r="W287">
        <v>0</v>
      </c>
      <c r="X287">
        <v>0</v>
      </c>
    </row>
    <row r="288" spans="1:24" x14ac:dyDescent="0.3">
      <c r="A288" t="s">
        <v>1048</v>
      </c>
      <c r="B288" t="s">
        <v>1049</v>
      </c>
      <c r="C288">
        <v>1</v>
      </c>
      <c r="D288" t="s">
        <v>11</v>
      </c>
      <c r="E288" t="s">
        <v>21</v>
      </c>
      <c r="F288" t="s">
        <v>22</v>
      </c>
      <c r="H288" t="s">
        <v>71</v>
      </c>
      <c r="I288" t="s">
        <v>3617</v>
      </c>
      <c r="J288" t="s">
        <v>1048</v>
      </c>
      <c r="K288" t="s">
        <v>868</v>
      </c>
      <c r="L288" t="s">
        <v>3618</v>
      </c>
      <c r="M288" t="s">
        <v>1048</v>
      </c>
      <c r="N288" t="s">
        <v>1049</v>
      </c>
      <c r="P288" t="s">
        <v>1050</v>
      </c>
      <c r="Q288" t="s">
        <v>3599</v>
      </c>
      <c r="R288" t="s">
        <v>3599</v>
      </c>
      <c r="S288" t="s">
        <v>3599</v>
      </c>
      <c r="T288">
        <v>1</v>
      </c>
      <c r="U288" t="s">
        <v>868</v>
      </c>
      <c r="V288">
        <v>5</v>
      </c>
      <c r="W288">
        <v>0</v>
      </c>
      <c r="X288">
        <v>0</v>
      </c>
    </row>
    <row r="289" spans="1:24" x14ac:dyDescent="0.3">
      <c r="A289" t="s">
        <v>1051</v>
      </c>
      <c r="B289" t="s">
        <v>1052</v>
      </c>
      <c r="C289">
        <v>1</v>
      </c>
      <c r="D289" t="s">
        <v>11</v>
      </c>
      <c r="E289" t="s">
        <v>21</v>
      </c>
      <c r="F289" t="s">
        <v>22</v>
      </c>
      <c r="H289" t="s">
        <v>71</v>
      </c>
      <c r="I289" t="s">
        <v>3617</v>
      </c>
      <c r="J289" t="s">
        <v>1051</v>
      </c>
      <c r="K289" t="s">
        <v>868</v>
      </c>
      <c r="L289" t="s">
        <v>3618</v>
      </c>
      <c r="M289" t="s">
        <v>1051</v>
      </c>
      <c r="N289" t="s">
        <v>1052</v>
      </c>
      <c r="O289" t="s">
        <v>1053</v>
      </c>
      <c r="Q289" t="s">
        <v>3599</v>
      </c>
      <c r="R289" t="s">
        <v>3599</v>
      </c>
      <c r="S289" t="s">
        <v>3599</v>
      </c>
      <c r="T289">
        <v>1</v>
      </c>
      <c r="U289" t="s">
        <v>868</v>
      </c>
      <c r="V289">
        <v>5</v>
      </c>
      <c r="W289">
        <v>0</v>
      </c>
      <c r="X289">
        <v>0</v>
      </c>
    </row>
    <row r="290" spans="1:24" x14ac:dyDescent="0.3">
      <c r="A290" t="s">
        <v>1054</v>
      </c>
      <c r="B290" t="s">
        <v>1055</v>
      </c>
      <c r="C290">
        <v>1</v>
      </c>
      <c r="D290" t="s">
        <v>11</v>
      </c>
      <c r="E290" t="s">
        <v>21</v>
      </c>
      <c r="F290" t="s">
        <v>22</v>
      </c>
      <c r="H290" t="s">
        <v>71</v>
      </c>
      <c r="I290" t="s">
        <v>3617</v>
      </c>
      <c r="J290" t="s">
        <v>1054</v>
      </c>
      <c r="K290" t="s">
        <v>868</v>
      </c>
      <c r="L290" t="s">
        <v>3618</v>
      </c>
      <c r="M290" t="s">
        <v>1054</v>
      </c>
      <c r="N290" t="s">
        <v>1055</v>
      </c>
      <c r="Q290" t="s">
        <v>3599</v>
      </c>
      <c r="R290" t="s">
        <v>3599</v>
      </c>
      <c r="S290" t="s">
        <v>3599</v>
      </c>
      <c r="T290">
        <v>1</v>
      </c>
      <c r="U290" t="s">
        <v>868</v>
      </c>
      <c r="V290">
        <v>5</v>
      </c>
      <c r="W290">
        <v>0</v>
      </c>
      <c r="X290">
        <v>0</v>
      </c>
    </row>
    <row r="291" spans="1:24" x14ac:dyDescent="0.3">
      <c r="A291" t="s">
        <v>1056</v>
      </c>
      <c r="B291" t="s">
        <v>1057</v>
      </c>
      <c r="C291">
        <v>1</v>
      </c>
      <c r="D291" t="s">
        <v>11</v>
      </c>
      <c r="E291" t="s">
        <v>21</v>
      </c>
      <c r="F291" t="s">
        <v>22</v>
      </c>
      <c r="H291" t="s">
        <v>71</v>
      </c>
      <c r="I291" t="s">
        <v>3617</v>
      </c>
      <c r="J291" t="s">
        <v>1056</v>
      </c>
      <c r="K291" t="s">
        <v>868</v>
      </c>
      <c r="L291" t="s">
        <v>3618</v>
      </c>
      <c r="M291" t="s">
        <v>1056</v>
      </c>
      <c r="N291" t="s">
        <v>1057</v>
      </c>
      <c r="O291" t="s">
        <v>1058</v>
      </c>
      <c r="Q291" t="s">
        <v>3599</v>
      </c>
      <c r="R291" t="s">
        <v>3599</v>
      </c>
      <c r="S291" t="s">
        <v>3599</v>
      </c>
      <c r="T291">
        <v>1</v>
      </c>
      <c r="U291" t="s">
        <v>868</v>
      </c>
      <c r="V291">
        <v>5</v>
      </c>
      <c r="W291">
        <v>0</v>
      </c>
      <c r="X291">
        <v>0</v>
      </c>
    </row>
    <row r="292" spans="1:24" x14ac:dyDescent="0.3">
      <c r="A292" t="s">
        <v>1059</v>
      </c>
      <c r="B292" t="s">
        <v>1060</v>
      </c>
      <c r="C292">
        <v>1</v>
      </c>
      <c r="D292" t="s">
        <v>11</v>
      </c>
      <c r="E292" t="s">
        <v>21</v>
      </c>
      <c r="F292" t="s">
        <v>22</v>
      </c>
      <c r="H292" t="s">
        <v>71</v>
      </c>
      <c r="I292" t="s">
        <v>3617</v>
      </c>
      <c r="J292" t="s">
        <v>1059</v>
      </c>
      <c r="K292" t="s">
        <v>868</v>
      </c>
      <c r="L292" t="s">
        <v>3618</v>
      </c>
      <c r="M292" t="s">
        <v>1059</v>
      </c>
      <c r="N292" t="s">
        <v>1060</v>
      </c>
      <c r="O292" t="s">
        <v>1062</v>
      </c>
      <c r="P292" t="s">
        <v>1061</v>
      </c>
      <c r="Q292" t="s">
        <v>3599</v>
      </c>
      <c r="R292" t="s">
        <v>3599</v>
      </c>
      <c r="S292" t="s">
        <v>3599</v>
      </c>
      <c r="T292">
        <v>1</v>
      </c>
      <c r="U292" t="s">
        <v>868</v>
      </c>
      <c r="V292">
        <v>5</v>
      </c>
      <c r="W292">
        <v>0</v>
      </c>
      <c r="X292">
        <v>0</v>
      </c>
    </row>
    <row r="293" spans="1:24" x14ac:dyDescent="0.3">
      <c r="A293" t="s">
        <v>1063</v>
      </c>
      <c r="B293" t="s">
        <v>1064</v>
      </c>
      <c r="C293">
        <v>1</v>
      </c>
      <c r="D293" t="s">
        <v>11</v>
      </c>
      <c r="E293" t="s">
        <v>21</v>
      </c>
      <c r="F293" t="s">
        <v>22</v>
      </c>
      <c r="H293" t="s">
        <v>71</v>
      </c>
      <c r="I293" t="s">
        <v>3617</v>
      </c>
      <c r="J293" t="s">
        <v>1063</v>
      </c>
      <c r="K293" t="s">
        <v>868</v>
      </c>
      <c r="L293" t="s">
        <v>3618</v>
      </c>
      <c r="M293" t="s">
        <v>1063</v>
      </c>
      <c r="N293" t="s">
        <v>1064</v>
      </c>
      <c r="Q293" t="s">
        <v>3599</v>
      </c>
      <c r="R293" t="s">
        <v>3599</v>
      </c>
      <c r="S293" t="s">
        <v>3599</v>
      </c>
      <c r="T293">
        <v>1</v>
      </c>
      <c r="U293" t="s">
        <v>868</v>
      </c>
      <c r="V293">
        <v>5</v>
      </c>
      <c r="W293">
        <v>0</v>
      </c>
      <c r="X293">
        <v>0</v>
      </c>
    </row>
    <row r="294" spans="1:24" x14ac:dyDescent="0.3">
      <c r="A294" t="s">
        <v>1065</v>
      </c>
      <c r="B294" t="s">
        <v>1066</v>
      </c>
      <c r="C294">
        <v>1</v>
      </c>
      <c r="D294" t="s">
        <v>11</v>
      </c>
      <c r="E294" t="s">
        <v>21</v>
      </c>
      <c r="F294" t="s">
        <v>22</v>
      </c>
      <c r="H294" t="s">
        <v>71</v>
      </c>
      <c r="I294" t="s">
        <v>3617</v>
      </c>
      <c r="J294" t="s">
        <v>1065</v>
      </c>
      <c r="K294" t="s">
        <v>868</v>
      </c>
      <c r="L294" t="s">
        <v>3618</v>
      </c>
      <c r="M294" t="s">
        <v>1065</v>
      </c>
      <c r="N294" t="s">
        <v>1066</v>
      </c>
      <c r="O294" t="s">
        <v>1067</v>
      </c>
      <c r="Q294" t="s">
        <v>3599</v>
      </c>
      <c r="R294" t="s">
        <v>3599</v>
      </c>
      <c r="S294" t="s">
        <v>3599</v>
      </c>
      <c r="T294">
        <v>1</v>
      </c>
      <c r="U294" t="s">
        <v>868</v>
      </c>
      <c r="V294">
        <v>5</v>
      </c>
      <c r="W294">
        <v>0</v>
      </c>
      <c r="X294">
        <v>0</v>
      </c>
    </row>
    <row r="295" spans="1:24" x14ac:dyDescent="0.3">
      <c r="A295" t="s">
        <v>905</v>
      </c>
      <c r="B295" t="s">
        <v>906</v>
      </c>
      <c r="C295">
        <v>1</v>
      </c>
      <c r="D295" t="s">
        <v>11</v>
      </c>
      <c r="E295" t="s">
        <v>21</v>
      </c>
      <c r="F295" t="s">
        <v>22</v>
      </c>
      <c r="H295" t="s">
        <v>71</v>
      </c>
      <c r="I295" t="s">
        <v>3617</v>
      </c>
      <c r="J295" t="s">
        <v>905</v>
      </c>
      <c r="K295" t="s">
        <v>868</v>
      </c>
      <c r="L295" t="s">
        <v>3618</v>
      </c>
      <c r="M295" t="s">
        <v>905</v>
      </c>
      <c r="N295" t="s">
        <v>906</v>
      </c>
      <c r="Q295" t="s">
        <v>3599</v>
      </c>
      <c r="R295" t="s">
        <v>3599</v>
      </c>
      <c r="S295" t="s">
        <v>3599</v>
      </c>
      <c r="T295">
        <v>1</v>
      </c>
      <c r="U295" t="s">
        <v>868</v>
      </c>
      <c r="V295">
        <v>5</v>
      </c>
      <c r="W295">
        <v>0</v>
      </c>
      <c r="X295">
        <v>0</v>
      </c>
    </row>
    <row r="296" spans="1:24" x14ac:dyDescent="0.3">
      <c r="A296" t="s">
        <v>1068</v>
      </c>
      <c r="B296" t="s">
        <v>1069</v>
      </c>
      <c r="C296">
        <v>1</v>
      </c>
      <c r="D296" t="s">
        <v>11</v>
      </c>
      <c r="E296" t="s">
        <v>21</v>
      </c>
      <c r="F296" t="s">
        <v>22</v>
      </c>
      <c r="H296" t="s">
        <v>71</v>
      </c>
      <c r="I296" t="s">
        <v>3617</v>
      </c>
      <c r="J296" t="s">
        <v>1068</v>
      </c>
      <c r="K296" t="s">
        <v>868</v>
      </c>
      <c r="L296" t="s">
        <v>3618</v>
      </c>
      <c r="M296" t="s">
        <v>1068</v>
      </c>
      <c r="N296" t="s">
        <v>1069</v>
      </c>
      <c r="Q296" t="s">
        <v>3599</v>
      </c>
      <c r="R296" t="s">
        <v>3599</v>
      </c>
      <c r="S296" t="s">
        <v>3599</v>
      </c>
      <c r="T296">
        <v>1</v>
      </c>
      <c r="U296" t="s">
        <v>868</v>
      </c>
      <c r="V296">
        <v>5</v>
      </c>
      <c r="W296">
        <v>0</v>
      </c>
      <c r="X296">
        <v>0</v>
      </c>
    </row>
    <row r="297" spans="1:24" x14ac:dyDescent="0.3">
      <c r="A297" t="s">
        <v>1070</v>
      </c>
      <c r="B297" t="s">
        <v>1071</v>
      </c>
      <c r="C297">
        <v>1</v>
      </c>
      <c r="D297" t="s">
        <v>11</v>
      </c>
      <c r="E297" t="s">
        <v>21</v>
      </c>
      <c r="F297" t="s">
        <v>22</v>
      </c>
      <c r="H297" t="s">
        <v>71</v>
      </c>
      <c r="I297" t="s">
        <v>3617</v>
      </c>
      <c r="K297" t="s">
        <v>868</v>
      </c>
      <c r="L297" t="s">
        <v>3618</v>
      </c>
      <c r="N297" t="s">
        <v>1071</v>
      </c>
      <c r="Q297" t="s">
        <v>3599</v>
      </c>
      <c r="R297" t="s">
        <v>3599</v>
      </c>
      <c r="S297" t="s">
        <v>3599</v>
      </c>
      <c r="T297">
        <v>1</v>
      </c>
      <c r="U297" t="s">
        <v>868</v>
      </c>
      <c r="V297">
        <v>5</v>
      </c>
      <c r="W297">
        <v>0</v>
      </c>
      <c r="X297">
        <v>0</v>
      </c>
    </row>
    <row r="298" spans="1:24" x14ac:dyDescent="0.3">
      <c r="A298" t="s">
        <v>891</v>
      </c>
      <c r="B298" t="s">
        <v>892</v>
      </c>
      <c r="C298">
        <v>1</v>
      </c>
      <c r="D298" t="s">
        <v>11</v>
      </c>
      <c r="E298" t="s">
        <v>21</v>
      </c>
      <c r="F298" t="s">
        <v>22</v>
      </c>
      <c r="H298" t="s">
        <v>71</v>
      </c>
      <c r="I298" t="s">
        <v>3617</v>
      </c>
      <c r="J298" t="s">
        <v>891</v>
      </c>
      <c r="K298" t="s">
        <v>868</v>
      </c>
      <c r="L298" t="s">
        <v>3618</v>
      </c>
      <c r="M298" t="s">
        <v>891</v>
      </c>
      <c r="N298" t="s">
        <v>892</v>
      </c>
      <c r="Q298" t="s">
        <v>3599</v>
      </c>
      <c r="R298" t="s">
        <v>3599</v>
      </c>
      <c r="S298" t="s">
        <v>3599</v>
      </c>
      <c r="T298">
        <v>1</v>
      </c>
      <c r="U298" t="s">
        <v>868</v>
      </c>
      <c r="V298">
        <v>5</v>
      </c>
      <c r="W298">
        <v>0</v>
      </c>
      <c r="X298">
        <v>0</v>
      </c>
    </row>
    <row r="299" spans="1:24" x14ac:dyDescent="0.3">
      <c r="A299" t="s">
        <v>1072</v>
      </c>
      <c r="B299" t="s">
        <v>1073</v>
      </c>
      <c r="C299">
        <v>1</v>
      </c>
      <c r="D299" t="s">
        <v>11</v>
      </c>
      <c r="E299" t="s">
        <v>21</v>
      </c>
      <c r="F299" t="s">
        <v>22</v>
      </c>
      <c r="H299" t="s">
        <v>71</v>
      </c>
      <c r="I299" t="s">
        <v>3617</v>
      </c>
      <c r="J299" t="s">
        <v>1072</v>
      </c>
      <c r="K299" t="s">
        <v>868</v>
      </c>
      <c r="L299" t="s">
        <v>3618</v>
      </c>
      <c r="M299" t="s">
        <v>1072</v>
      </c>
      <c r="N299" t="s">
        <v>1073</v>
      </c>
      <c r="Q299" t="s">
        <v>3599</v>
      </c>
      <c r="R299" t="s">
        <v>3599</v>
      </c>
      <c r="S299" t="s">
        <v>3599</v>
      </c>
      <c r="T299">
        <v>1</v>
      </c>
      <c r="U299" t="s">
        <v>868</v>
      </c>
      <c r="V299">
        <v>5</v>
      </c>
      <c r="W299">
        <v>0</v>
      </c>
      <c r="X299">
        <v>0</v>
      </c>
    </row>
    <row r="300" spans="1:24" x14ac:dyDescent="0.3">
      <c r="A300" t="s">
        <v>1074</v>
      </c>
      <c r="B300" t="s">
        <v>1075</v>
      </c>
      <c r="C300">
        <v>1</v>
      </c>
      <c r="D300" t="s">
        <v>11</v>
      </c>
      <c r="E300" t="s">
        <v>21</v>
      </c>
      <c r="F300" t="s">
        <v>22</v>
      </c>
      <c r="H300" t="s">
        <v>71</v>
      </c>
      <c r="I300" t="s">
        <v>3617</v>
      </c>
      <c r="J300" t="s">
        <v>1074</v>
      </c>
      <c r="K300" t="s">
        <v>868</v>
      </c>
      <c r="L300" t="s">
        <v>3618</v>
      </c>
      <c r="M300" t="s">
        <v>1074</v>
      </c>
      <c r="N300" t="s">
        <v>1075</v>
      </c>
      <c r="Q300" t="s">
        <v>3599</v>
      </c>
      <c r="R300" t="s">
        <v>3599</v>
      </c>
      <c r="S300" t="s">
        <v>3599</v>
      </c>
      <c r="T300">
        <v>1</v>
      </c>
      <c r="U300" t="s">
        <v>868</v>
      </c>
      <c r="V300">
        <v>5</v>
      </c>
      <c r="W300">
        <v>0</v>
      </c>
      <c r="X300">
        <v>0</v>
      </c>
    </row>
    <row r="301" spans="1:24" x14ac:dyDescent="0.3">
      <c r="A301" t="s">
        <v>1076</v>
      </c>
      <c r="B301" t="s">
        <v>1077</v>
      </c>
      <c r="C301">
        <v>1</v>
      </c>
      <c r="D301" t="s">
        <v>11</v>
      </c>
      <c r="E301" t="s">
        <v>21</v>
      </c>
      <c r="F301" t="s">
        <v>22</v>
      </c>
      <c r="H301" t="s">
        <v>71</v>
      </c>
      <c r="I301" t="s">
        <v>3617</v>
      </c>
      <c r="J301" t="s">
        <v>1076</v>
      </c>
      <c r="K301" t="s">
        <v>868</v>
      </c>
      <c r="L301" t="s">
        <v>3618</v>
      </c>
      <c r="M301" t="s">
        <v>1076</v>
      </c>
      <c r="N301" t="s">
        <v>1077</v>
      </c>
      <c r="Q301" t="s">
        <v>3599</v>
      </c>
      <c r="R301" t="s">
        <v>3599</v>
      </c>
      <c r="S301" t="s">
        <v>3599</v>
      </c>
      <c r="T301">
        <v>1</v>
      </c>
      <c r="U301" t="s">
        <v>868</v>
      </c>
      <c r="V301">
        <v>5</v>
      </c>
      <c r="W301">
        <v>0</v>
      </c>
      <c r="X301">
        <v>0</v>
      </c>
    </row>
    <row r="302" spans="1:24" x14ac:dyDescent="0.3">
      <c r="A302" t="s">
        <v>1078</v>
      </c>
      <c r="B302" t="s">
        <v>1079</v>
      </c>
      <c r="C302">
        <v>1</v>
      </c>
      <c r="D302" t="s">
        <v>11</v>
      </c>
      <c r="E302" t="s">
        <v>21</v>
      </c>
      <c r="F302" t="s">
        <v>22</v>
      </c>
      <c r="H302" t="s">
        <v>71</v>
      </c>
      <c r="I302" t="s">
        <v>3617</v>
      </c>
      <c r="J302" t="s">
        <v>1078</v>
      </c>
      <c r="K302" t="s">
        <v>868</v>
      </c>
      <c r="L302" t="s">
        <v>3618</v>
      </c>
      <c r="M302" t="s">
        <v>1078</v>
      </c>
      <c r="N302" t="s">
        <v>1079</v>
      </c>
      <c r="Q302" t="s">
        <v>3599</v>
      </c>
      <c r="R302" t="s">
        <v>3599</v>
      </c>
      <c r="S302" t="s">
        <v>3599</v>
      </c>
      <c r="T302">
        <v>1</v>
      </c>
      <c r="U302" t="s">
        <v>868</v>
      </c>
      <c r="V302">
        <v>5</v>
      </c>
      <c r="W302">
        <v>0</v>
      </c>
      <c r="X302">
        <v>0</v>
      </c>
    </row>
    <row r="303" spans="1:24" x14ac:dyDescent="0.3">
      <c r="A303" t="s">
        <v>1080</v>
      </c>
      <c r="B303" t="s">
        <v>1081</v>
      </c>
      <c r="C303">
        <v>1</v>
      </c>
      <c r="D303" t="s">
        <v>11</v>
      </c>
      <c r="E303" t="s">
        <v>21</v>
      </c>
      <c r="F303" t="s">
        <v>22</v>
      </c>
      <c r="H303" t="s">
        <v>71</v>
      </c>
      <c r="I303" t="s">
        <v>3617</v>
      </c>
      <c r="J303" t="s">
        <v>1080</v>
      </c>
      <c r="K303" t="s">
        <v>868</v>
      </c>
      <c r="L303" t="s">
        <v>3618</v>
      </c>
      <c r="M303" t="s">
        <v>1080</v>
      </c>
      <c r="N303" t="s">
        <v>1081</v>
      </c>
      <c r="Q303" t="s">
        <v>3599</v>
      </c>
      <c r="R303" t="s">
        <v>3599</v>
      </c>
      <c r="S303" t="s">
        <v>3599</v>
      </c>
      <c r="T303">
        <v>1</v>
      </c>
      <c r="U303" t="s">
        <v>868</v>
      </c>
      <c r="V303">
        <v>5</v>
      </c>
      <c r="W303">
        <v>0</v>
      </c>
      <c r="X303">
        <v>0</v>
      </c>
    </row>
    <row r="304" spans="1:24" x14ac:dyDescent="0.3">
      <c r="A304" t="s">
        <v>1082</v>
      </c>
      <c r="B304" t="s">
        <v>1083</v>
      </c>
      <c r="C304">
        <v>1</v>
      </c>
      <c r="D304" t="s">
        <v>11</v>
      </c>
      <c r="E304" t="s">
        <v>21</v>
      </c>
      <c r="F304" t="s">
        <v>22</v>
      </c>
      <c r="H304" t="s">
        <v>71</v>
      </c>
      <c r="I304" t="s">
        <v>3617</v>
      </c>
      <c r="J304" t="s">
        <v>1082</v>
      </c>
      <c r="K304" t="s">
        <v>868</v>
      </c>
      <c r="L304" t="s">
        <v>3618</v>
      </c>
      <c r="M304" t="s">
        <v>1082</v>
      </c>
      <c r="N304" t="s">
        <v>1083</v>
      </c>
      <c r="O304" t="s">
        <v>1084</v>
      </c>
      <c r="Q304" t="s">
        <v>3599</v>
      </c>
      <c r="R304" t="s">
        <v>3599</v>
      </c>
      <c r="S304" t="s">
        <v>3599</v>
      </c>
      <c r="T304">
        <v>1</v>
      </c>
      <c r="U304" t="s">
        <v>868</v>
      </c>
      <c r="V304">
        <v>5</v>
      </c>
      <c r="W304">
        <v>0</v>
      </c>
      <c r="X304">
        <v>0</v>
      </c>
    </row>
    <row r="305" spans="1:24" x14ac:dyDescent="0.3">
      <c r="A305" t="s">
        <v>1085</v>
      </c>
      <c r="B305" t="s">
        <v>1086</v>
      </c>
      <c r="C305">
        <v>1</v>
      </c>
      <c r="D305" t="s">
        <v>11</v>
      </c>
      <c r="E305" t="s">
        <v>21</v>
      </c>
      <c r="F305" t="s">
        <v>22</v>
      </c>
      <c r="H305" t="s">
        <v>71</v>
      </c>
      <c r="I305" t="s">
        <v>3617</v>
      </c>
      <c r="J305" t="s">
        <v>1085</v>
      </c>
      <c r="K305" t="s">
        <v>868</v>
      </c>
      <c r="L305" t="s">
        <v>3618</v>
      </c>
      <c r="M305" t="s">
        <v>1085</v>
      </c>
      <c r="N305" t="s">
        <v>1086</v>
      </c>
      <c r="Q305" t="s">
        <v>3599</v>
      </c>
      <c r="R305" t="s">
        <v>3599</v>
      </c>
      <c r="S305" t="s">
        <v>3599</v>
      </c>
      <c r="T305">
        <v>1</v>
      </c>
      <c r="U305" t="s">
        <v>868</v>
      </c>
      <c r="V305">
        <v>5</v>
      </c>
      <c r="W305">
        <v>0</v>
      </c>
      <c r="X305">
        <v>0</v>
      </c>
    </row>
    <row r="306" spans="1:24" x14ac:dyDescent="0.3">
      <c r="A306" t="s">
        <v>1087</v>
      </c>
      <c r="B306" t="s">
        <v>1088</v>
      </c>
      <c r="C306">
        <v>1</v>
      </c>
      <c r="D306" t="s">
        <v>11</v>
      </c>
      <c r="E306" t="s">
        <v>21</v>
      </c>
      <c r="F306" t="s">
        <v>22</v>
      </c>
      <c r="H306" t="s">
        <v>71</v>
      </c>
      <c r="I306" t="s">
        <v>3617</v>
      </c>
      <c r="J306" t="s">
        <v>1087</v>
      </c>
      <c r="K306" t="s">
        <v>868</v>
      </c>
      <c r="L306" t="s">
        <v>3618</v>
      </c>
      <c r="M306" t="s">
        <v>1087</v>
      </c>
      <c r="N306" t="s">
        <v>1088</v>
      </c>
      <c r="Q306" t="s">
        <v>3599</v>
      </c>
      <c r="R306" t="s">
        <v>3599</v>
      </c>
      <c r="S306" t="s">
        <v>3599</v>
      </c>
      <c r="T306">
        <v>1</v>
      </c>
      <c r="U306" t="s">
        <v>868</v>
      </c>
      <c r="V306">
        <v>5</v>
      </c>
      <c r="W306">
        <v>0</v>
      </c>
      <c r="X306">
        <v>0</v>
      </c>
    </row>
    <row r="307" spans="1:24" x14ac:dyDescent="0.3">
      <c r="A307" t="s">
        <v>1089</v>
      </c>
      <c r="B307" t="s">
        <v>1090</v>
      </c>
      <c r="C307">
        <v>1</v>
      </c>
      <c r="D307" t="s">
        <v>11</v>
      </c>
      <c r="E307" t="s">
        <v>21</v>
      </c>
      <c r="F307" t="s">
        <v>22</v>
      </c>
      <c r="H307" t="s">
        <v>71</v>
      </c>
      <c r="I307" t="s">
        <v>3617</v>
      </c>
      <c r="J307" t="s">
        <v>1089</v>
      </c>
      <c r="K307" t="s">
        <v>868</v>
      </c>
      <c r="L307" t="s">
        <v>3618</v>
      </c>
      <c r="M307" t="s">
        <v>1089</v>
      </c>
      <c r="N307" t="s">
        <v>1090</v>
      </c>
      <c r="P307" t="s">
        <v>1091</v>
      </c>
      <c r="Q307" t="s">
        <v>3599</v>
      </c>
      <c r="R307" t="s">
        <v>3599</v>
      </c>
      <c r="S307" t="s">
        <v>3599</v>
      </c>
      <c r="T307">
        <v>1</v>
      </c>
      <c r="U307" t="s">
        <v>868</v>
      </c>
      <c r="V307">
        <v>5</v>
      </c>
      <c r="W307">
        <v>0</v>
      </c>
      <c r="X307">
        <v>0</v>
      </c>
    </row>
    <row r="308" spans="1:24" x14ac:dyDescent="0.3">
      <c r="A308" t="s">
        <v>1092</v>
      </c>
      <c r="B308" t="s">
        <v>1093</v>
      </c>
      <c r="C308">
        <v>1</v>
      </c>
      <c r="D308" t="s">
        <v>11</v>
      </c>
      <c r="E308" t="s">
        <v>21</v>
      </c>
      <c r="F308" t="s">
        <v>22</v>
      </c>
      <c r="H308" t="s">
        <v>71</v>
      </c>
      <c r="I308" t="s">
        <v>3617</v>
      </c>
      <c r="J308" t="s">
        <v>1092</v>
      </c>
      <c r="K308" t="s">
        <v>868</v>
      </c>
      <c r="L308" t="s">
        <v>3618</v>
      </c>
      <c r="M308" t="s">
        <v>1092</v>
      </c>
      <c r="N308" t="s">
        <v>1093</v>
      </c>
      <c r="Q308" t="s">
        <v>3599</v>
      </c>
      <c r="R308" t="s">
        <v>3599</v>
      </c>
      <c r="S308" t="s">
        <v>3599</v>
      </c>
      <c r="T308">
        <v>1</v>
      </c>
      <c r="U308" t="s">
        <v>868</v>
      </c>
      <c r="V308">
        <v>5</v>
      </c>
      <c r="W308">
        <v>0</v>
      </c>
      <c r="X308">
        <v>0</v>
      </c>
    </row>
    <row r="309" spans="1:24" x14ac:dyDescent="0.3">
      <c r="A309" t="s">
        <v>1094</v>
      </c>
      <c r="B309" t="s">
        <v>1095</v>
      </c>
      <c r="C309">
        <v>1</v>
      </c>
      <c r="D309" t="s">
        <v>11</v>
      </c>
      <c r="E309" t="s">
        <v>21</v>
      </c>
      <c r="F309" t="s">
        <v>22</v>
      </c>
      <c r="H309" t="s">
        <v>71</v>
      </c>
      <c r="I309" t="s">
        <v>3617</v>
      </c>
      <c r="J309" t="s">
        <v>1094</v>
      </c>
      <c r="K309" t="s">
        <v>868</v>
      </c>
      <c r="L309" t="s">
        <v>3618</v>
      </c>
      <c r="M309" t="s">
        <v>1094</v>
      </c>
      <c r="N309" t="s">
        <v>1095</v>
      </c>
      <c r="Q309" t="s">
        <v>3599</v>
      </c>
      <c r="R309" t="s">
        <v>3599</v>
      </c>
      <c r="S309" t="s">
        <v>3599</v>
      </c>
      <c r="T309">
        <v>1</v>
      </c>
      <c r="U309" t="s">
        <v>868</v>
      </c>
      <c r="V309">
        <v>5</v>
      </c>
      <c r="W309">
        <v>0</v>
      </c>
      <c r="X309">
        <v>0</v>
      </c>
    </row>
    <row r="310" spans="1:24" x14ac:dyDescent="0.3">
      <c r="A310" t="s">
        <v>1096</v>
      </c>
      <c r="B310" t="s">
        <v>1097</v>
      </c>
      <c r="C310">
        <v>1</v>
      </c>
      <c r="D310" t="s">
        <v>11</v>
      </c>
      <c r="E310" t="s">
        <v>21</v>
      </c>
      <c r="F310" t="s">
        <v>22</v>
      </c>
      <c r="H310" t="s">
        <v>71</v>
      </c>
      <c r="I310" t="s">
        <v>3617</v>
      </c>
      <c r="J310" t="s">
        <v>1096</v>
      </c>
      <c r="K310" t="s">
        <v>868</v>
      </c>
      <c r="L310" t="s">
        <v>3618</v>
      </c>
      <c r="M310" t="s">
        <v>1096</v>
      </c>
      <c r="N310" t="s">
        <v>1097</v>
      </c>
      <c r="Q310" t="s">
        <v>3599</v>
      </c>
      <c r="R310" t="s">
        <v>3599</v>
      </c>
      <c r="S310" t="s">
        <v>3599</v>
      </c>
      <c r="T310">
        <v>1</v>
      </c>
      <c r="U310" t="s">
        <v>868</v>
      </c>
      <c r="V310">
        <v>5</v>
      </c>
      <c r="W310">
        <v>0</v>
      </c>
      <c r="X310">
        <v>0</v>
      </c>
    </row>
    <row r="311" spans="1:24" x14ac:dyDescent="0.3">
      <c r="A311" t="s">
        <v>1098</v>
      </c>
      <c r="B311" t="s">
        <v>1099</v>
      </c>
      <c r="C311">
        <v>1</v>
      </c>
      <c r="D311" t="s">
        <v>11</v>
      </c>
      <c r="E311" t="s">
        <v>21</v>
      </c>
      <c r="F311" t="s">
        <v>22</v>
      </c>
      <c r="H311" t="s">
        <v>71</v>
      </c>
      <c r="I311" t="s">
        <v>3617</v>
      </c>
      <c r="J311" t="s">
        <v>1098</v>
      </c>
      <c r="K311" t="s">
        <v>868</v>
      </c>
      <c r="L311" t="s">
        <v>3618</v>
      </c>
      <c r="M311" t="s">
        <v>1098</v>
      </c>
      <c r="N311" t="s">
        <v>1099</v>
      </c>
      <c r="O311" t="s">
        <v>1100</v>
      </c>
      <c r="Q311" t="s">
        <v>3599</v>
      </c>
      <c r="R311" t="s">
        <v>3599</v>
      </c>
      <c r="S311" t="s">
        <v>3599</v>
      </c>
      <c r="T311">
        <v>1</v>
      </c>
      <c r="U311" t="s">
        <v>868</v>
      </c>
      <c r="V311">
        <v>5</v>
      </c>
      <c r="W311">
        <v>0</v>
      </c>
      <c r="X311">
        <v>0</v>
      </c>
    </row>
    <row r="312" spans="1:24" x14ac:dyDescent="0.3">
      <c r="A312" t="s">
        <v>1101</v>
      </c>
      <c r="B312" t="s">
        <v>1102</v>
      </c>
      <c r="C312">
        <v>1</v>
      </c>
      <c r="D312" t="s">
        <v>11</v>
      </c>
      <c r="E312" t="s">
        <v>21</v>
      </c>
      <c r="F312" t="s">
        <v>22</v>
      </c>
      <c r="H312" t="s">
        <v>71</v>
      </c>
      <c r="I312" t="s">
        <v>3617</v>
      </c>
      <c r="J312" t="s">
        <v>1101</v>
      </c>
      <c r="K312" t="s">
        <v>868</v>
      </c>
      <c r="L312" t="s">
        <v>3618</v>
      </c>
      <c r="M312" t="s">
        <v>1101</v>
      </c>
      <c r="N312" t="s">
        <v>1102</v>
      </c>
      <c r="Q312" t="s">
        <v>3599</v>
      </c>
      <c r="R312" t="s">
        <v>3599</v>
      </c>
      <c r="S312" t="s">
        <v>3599</v>
      </c>
      <c r="T312">
        <v>1</v>
      </c>
      <c r="U312" t="s">
        <v>868</v>
      </c>
      <c r="V312">
        <v>5</v>
      </c>
      <c r="W312">
        <v>0</v>
      </c>
      <c r="X312">
        <v>0</v>
      </c>
    </row>
    <row r="313" spans="1:24" x14ac:dyDescent="0.3">
      <c r="A313" t="s">
        <v>1103</v>
      </c>
      <c r="B313" t="s">
        <v>1104</v>
      </c>
      <c r="C313">
        <v>1</v>
      </c>
      <c r="D313" t="s">
        <v>11</v>
      </c>
      <c r="E313" t="s">
        <v>21</v>
      </c>
      <c r="F313" t="s">
        <v>22</v>
      </c>
      <c r="H313" t="s">
        <v>71</v>
      </c>
      <c r="I313" t="s">
        <v>3617</v>
      </c>
      <c r="K313" t="s">
        <v>868</v>
      </c>
      <c r="L313" t="s">
        <v>3618</v>
      </c>
      <c r="N313" t="s">
        <v>1104</v>
      </c>
      <c r="Q313" t="s">
        <v>3599</v>
      </c>
      <c r="R313" t="s">
        <v>3599</v>
      </c>
      <c r="S313" t="s">
        <v>3599</v>
      </c>
      <c r="T313">
        <v>1</v>
      </c>
      <c r="U313" t="s">
        <v>868</v>
      </c>
      <c r="V313">
        <v>5</v>
      </c>
      <c r="W313">
        <v>0</v>
      </c>
      <c r="X313">
        <v>0</v>
      </c>
    </row>
    <row r="314" spans="1:24" x14ac:dyDescent="0.3">
      <c r="A314" t="s">
        <v>1105</v>
      </c>
      <c r="B314" t="s">
        <v>1106</v>
      </c>
      <c r="C314">
        <v>1</v>
      </c>
      <c r="D314" t="s">
        <v>11</v>
      </c>
      <c r="E314" t="s">
        <v>21</v>
      </c>
      <c r="F314" t="s">
        <v>22</v>
      </c>
      <c r="H314" t="s">
        <v>71</v>
      </c>
      <c r="I314" t="s">
        <v>3617</v>
      </c>
      <c r="J314" t="s">
        <v>1105</v>
      </c>
      <c r="K314" t="s">
        <v>868</v>
      </c>
      <c r="L314" t="s">
        <v>3618</v>
      </c>
      <c r="M314" t="s">
        <v>1105</v>
      </c>
      <c r="N314" t="s">
        <v>1106</v>
      </c>
      <c r="Q314" t="s">
        <v>3599</v>
      </c>
      <c r="R314" t="s">
        <v>3599</v>
      </c>
      <c r="S314" t="s">
        <v>3599</v>
      </c>
      <c r="T314">
        <v>1</v>
      </c>
      <c r="U314" t="s">
        <v>868</v>
      </c>
      <c r="V314">
        <v>5</v>
      </c>
      <c r="W314">
        <v>0</v>
      </c>
      <c r="X314">
        <v>0</v>
      </c>
    </row>
    <row r="315" spans="1:24" x14ac:dyDescent="0.3">
      <c r="A315" t="s">
        <v>1107</v>
      </c>
      <c r="B315" t="s">
        <v>1108</v>
      </c>
      <c r="C315">
        <v>1</v>
      </c>
      <c r="D315" t="s">
        <v>11</v>
      </c>
      <c r="E315" t="s">
        <v>21</v>
      </c>
      <c r="F315" t="s">
        <v>22</v>
      </c>
      <c r="H315" t="s">
        <v>71</v>
      </c>
      <c r="I315" t="s">
        <v>3617</v>
      </c>
      <c r="J315" t="s">
        <v>1107</v>
      </c>
      <c r="K315" t="s">
        <v>868</v>
      </c>
      <c r="L315" t="s">
        <v>3618</v>
      </c>
      <c r="M315" t="s">
        <v>1107</v>
      </c>
      <c r="N315" t="s">
        <v>1108</v>
      </c>
      <c r="P315" t="s">
        <v>1109</v>
      </c>
      <c r="Q315" t="s">
        <v>3599</v>
      </c>
      <c r="R315" t="s">
        <v>3599</v>
      </c>
      <c r="S315" t="s">
        <v>3599</v>
      </c>
      <c r="T315">
        <v>1</v>
      </c>
      <c r="U315" t="s">
        <v>868</v>
      </c>
      <c r="V315">
        <v>5</v>
      </c>
      <c r="W315">
        <v>0</v>
      </c>
      <c r="X315">
        <v>0</v>
      </c>
    </row>
    <row r="316" spans="1:24" x14ac:dyDescent="0.3">
      <c r="A316" t="s">
        <v>1110</v>
      </c>
      <c r="B316" t="s">
        <v>1111</v>
      </c>
      <c r="C316">
        <v>1</v>
      </c>
      <c r="D316" t="s">
        <v>11</v>
      </c>
      <c r="E316" t="s">
        <v>21</v>
      </c>
      <c r="F316" t="s">
        <v>22</v>
      </c>
      <c r="H316" t="s">
        <v>71</v>
      </c>
      <c r="I316" t="s">
        <v>3617</v>
      </c>
      <c r="K316" t="s">
        <v>868</v>
      </c>
      <c r="L316" t="s">
        <v>3618</v>
      </c>
      <c r="N316" t="s">
        <v>1111</v>
      </c>
      <c r="Q316" t="s">
        <v>3599</v>
      </c>
      <c r="R316" t="s">
        <v>3599</v>
      </c>
      <c r="S316" t="s">
        <v>3599</v>
      </c>
      <c r="T316">
        <v>1</v>
      </c>
      <c r="U316" t="s">
        <v>868</v>
      </c>
      <c r="V316">
        <v>5</v>
      </c>
      <c r="W316">
        <v>0</v>
      </c>
      <c r="X316">
        <v>0</v>
      </c>
    </row>
    <row r="317" spans="1:24" x14ac:dyDescent="0.3">
      <c r="A317" t="s">
        <v>1112</v>
      </c>
      <c r="B317" t="s">
        <v>1113</v>
      </c>
      <c r="C317">
        <v>1</v>
      </c>
      <c r="D317" t="s">
        <v>11</v>
      </c>
      <c r="E317" t="s">
        <v>21</v>
      </c>
      <c r="F317" t="s">
        <v>22</v>
      </c>
      <c r="H317" t="s">
        <v>71</v>
      </c>
      <c r="I317" t="s">
        <v>3617</v>
      </c>
      <c r="J317" t="s">
        <v>1112</v>
      </c>
      <c r="K317" t="s">
        <v>868</v>
      </c>
      <c r="L317" t="s">
        <v>3618</v>
      </c>
      <c r="M317" t="s">
        <v>1112</v>
      </c>
      <c r="N317" t="s">
        <v>1113</v>
      </c>
      <c r="Q317" t="s">
        <v>3599</v>
      </c>
      <c r="R317" t="s">
        <v>3599</v>
      </c>
      <c r="S317" t="s">
        <v>3599</v>
      </c>
      <c r="T317">
        <v>1</v>
      </c>
      <c r="U317" t="s">
        <v>868</v>
      </c>
      <c r="V317">
        <v>5</v>
      </c>
      <c r="W317">
        <v>0</v>
      </c>
      <c r="X317">
        <v>0</v>
      </c>
    </row>
    <row r="318" spans="1:24" x14ac:dyDescent="0.3">
      <c r="A318" t="s">
        <v>1114</v>
      </c>
      <c r="B318" t="s">
        <v>1115</v>
      </c>
      <c r="C318">
        <v>1</v>
      </c>
      <c r="D318" t="s">
        <v>11</v>
      </c>
      <c r="E318" t="s">
        <v>21</v>
      </c>
      <c r="F318" t="s">
        <v>22</v>
      </c>
      <c r="H318" t="s">
        <v>71</v>
      </c>
      <c r="I318" t="s">
        <v>3617</v>
      </c>
      <c r="J318" t="s">
        <v>1114</v>
      </c>
      <c r="K318" t="s">
        <v>868</v>
      </c>
      <c r="L318" t="s">
        <v>3618</v>
      </c>
      <c r="M318" t="s">
        <v>1114</v>
      </c>
      <c r="N318" t="s">
        <v>1115</v>
      </c>
      <c r="O318" t="s">
        <v>846</v>
      </c>
      <c r="Q318" t="s">
        <v>3599</v>
      </c>
      <c r="R318" t="s">
        <v>3599</v>
      </c>
      <c r="S318" t="s">
        <v>3599</v>
      </c>
      <c r="T318">
        <v>1</v>
      </c>
      <c r="U318" t="s">
        <v>868</v>
      </c>
      <c r="V318">
        <v>5</v>
      </c>
      <c r="W318">
        <v>0</v>
      </c>
      <c r="X318">
        <v>0</v>
      </c>
    </row>
    <row r="319" spans="1:24" x14ac:dyDescent="0.3">
      <c r="A319" t="s">
        <v>1116</v>
      </c>
      <c r="B319" t="s">
        <v>1117</v>
      </c>
      <c r="C319">
        <v>1</v>
      </c>
      <c r="D319" t="s">
        <v>11</v>
      </c>
      <c r="E319" t="s">
        <v>21</v>
      </c>
      <c r="F319" t="s">
        <v>22</v>
      </c>
      <c r="H319" t="s">
        <v>71</v>
      </c>
      <c r="I319" t="s">
        <v>3617</v>
      </c>
      <c r="K319" t="s">
        <v>868</v>
      </c>
      <c r="L319" t="s">
        <v>3618</v>
      </c>
      <c r="N319" t="s">
        <v>1117</v>
      </c>
      <c r="Q319" t="s">
        <v>3599</v>
      </c>
      <c r="R319" t="s">
        <v>3599</v>
      </c>
      <c r="S319" t="s">
        <v>3599</v>
      </c>
      <c r="T319">
        <v>1</v>
      </c>
      <c r="U319" t="s">
        <v>868</v>
      </c>
      <c r="V319">
        <v>5</v>
      </c>
      <c r="W319">
        <v>0</v>
      </c>
      <c r="X319">
        <v>0</v>
      </c>
    </row>
    <row r="320" spans="1:24" x14ac:dyDescent="0.3">
      <c r="A320" t="s">
        <v>1118</v>
      </c>
      <c r="B320" t="s">
        <v>1119</v>
      </c>
      <c r="C320">
        <v>1</v>
      </c>
      <c r="D320" t="s">
        <v>11</v>
      </c>
      <c r="E320" t="s">
        <v>21</v>
      </c>
      <c r="F320" t="s">
        <v>22</v>
      </c>
      <c r="H320" t="s">
        <v>71</v>
      </c>
      <c r="I320" t="s">
        <v>3617</v>
      </c>
      <c r="J320" t="s">
        <v>1118</v>
      </c>
      <c r="K320" t="s">
        <v>868</v>
      </c>
      <c r="L320" t="s">
        <v>3618</v>
      </c>
      <c r="M320" t="s">
        <v>1118</v>
      </c>
      <c r="N320" t="s">
        <v>1119</v>
      </c>
      <c r="Q320" t="s">
        <v>3599</v>
      </c>
      <c r="R320" t="s">
        <v>3599</v>
      </c>
      <c r="S320" t="s">
        <v>3599</v>
      </c>
      <c r="T320">
        <v>1</v>
      </c>
      <c r="U320" t="s">
        <v>868</v>
      </c>
      <c r="V320">
        <v>5</v>
      </c>
      <c r="W320">
        <v>0</v>
      </c>
      <c r="X320">
        <v>0</v>
      </c>
    </row>
    <row r="321" spans="1:24" x14ac:dyDescent="0.3">
      <c r="A321" t="s">
        <v>1120</v>
      </c>
      <c r="B321" t="s">
        <v>1121</v>
      </c>
      <c r="C321">
        <v>1</v>
      </c>
      <c r="D321" t="s">
        <v>11</v>
      </c>
      <c r="E321" t="s">
        <v>21</v>
      </c>
      <c r="F321" t="s">
        <v>22</v>
      </c>
      <c r="H321" t="s">
        <v>71</v>
      </c>
      <c r="I321" t="s">
        <v>3617</v>
      </c>
      <c r="J321" t="s">
        <v>1120</v>
      </c>
      <c r="K321" t="s">
        <v>868</v>
      </c>
      <c r="L321" t="s">
        <v>3618</v>
      </c>
      <c r="M321" t="s">
        <v>1120</v>
      </c>
      <c r="N321" t="s">
        <v>1121</v>
      </c>
      <c r="O321" t="s">
        <v>1122</v>
      </c>
      <c r="Q321" t="s">
        <v>3599</v>
      </c>
      <c r="R321" t="s">
        <v>3599</v>
      </c>
      <c r="S321" t="s">
        <v>3599</v>
      </c>
      <c r="T321">
        <v>1</v>
      </c>
      <c r="U321" t="s">
        <v>868</v>
      </c>
      <c r="V321">
        <v>5</v>
      </c>
      <c r="W321">
        <v>0</v>
      </c>
      <c r="X321">
        <v>0</v>
      </c>
    </row>
    <row r="322" spans="1:24" x14ac:dyDescent="0.3">
      <c r="A322" t="s">
        <v>1123</v>
      </c>
      <c r="B322" t="s">
        <v>1124</v>
      </c>
      <c r="C322">
        <v>1</v>
      </c>
      <c r="D322" t="s">
        <v>11</v>
      </c>
      <c r="E322" t="s">
        <v>21</v>
      </c>
      <c r="F322" t="s">
        <v>22</v>
      </c>
      <c r="H322" t="s">
        <v>71</v>
      </c>
      <c r="I322" t="s">
        <v>3617</v>
      </c>
      <c r="J322" t="s">
        <v>1123</v>
      </c>
      <c r="K322" t="s">
        <v>868</v>
      </c>
      <c r="L322" t="s">
        <v>3618</v>
      </c>
      <c r="M322" t="s">
        <v>1123</v>
      </c>
      <c r="N322" t="s">
        <v>1124</v>
      </c>
      <c r="O322" t="s">
        <v>1125</v>
      </c>
      <c r="Q322" t="s">
        <v>3599</v>
      </c>
      <c r="R322" t="s">
        <v>3599</v>
      </c>
      <c r="S322" t="s">
        <v>3599</v>
      </c>
      <c r="T322">
        <v>1</v>
      </c>
      <c r="U322" t="s">
        <v>868</v>
      </c>
      <c r="V322">
        <v>5</v>
      </c>
      <c r="W322">
        <v>0</v>
      </c>
      <c r="X322">
        <v>0</v>
      </c>
    </row>
    <row r="323" spans="1:24" x14ac:dyDescent="0.3">
      <c r="A323" t="s">
        <v>1126</v>
      </c>
      <c r="B323" t="s">
        <v>1127</v>
      </c>
      <c r="C323">
        <v>1</v>
      </c>
      <c r="D323" t="s">
        <v>11</v>
      </c>
      <c r="E323" t="s">
        <v>21</v>
      </c>
      <c r="F323" t="s">
        <v>22</v>
      </c>
      <c r="H323" t="s">
        <v>71</v>
      </c>
      <c r="I323" t="s">
        <v>3617</v>
      </c>
      <c r="J323" t="s">
        <v>1126</v>
      </c>
      <c r="K323" t="s">
        <v>868</v>
      </c>
      <c r="L323" t="s">
        <v>3618</v>
      </c>
      <c r="M323" t="s">
        <v>1126</v>
      </c>
      <c r="N323" t="s">
        <v>1127</v>
      </c>
      <c r="Q323" t="s">
        <v>3599</v>
      </c>
      <c r="R323" t="s">
        <v>3599</v>
      </c>
      <c r="S323" t="s">
        <v>3599</v>
      </c>
      <c r="T323">
        <v>1</v>
      </c>
      <c r="U323" t="s">
        <v>868</v>
      </c>
      <c r="V323">
        <v>5</v>
      </c>
      <c r="W323">
        <v>0</v>
      </c>
      <c r="X323">
        <v>0</v>
      </c>
    </row>
    <row r="324" spans="1:24" x14ac:dyDescent="0.3">
      <c r="A324" t="s">
        <v>1128</v>
      </c>
      <c r="B324" t="s">
        <v>1129</v>
      </c>
      <c r="C324">
        <v>1</v>
      </c>
      <c r="D324" t="s">
        <v>11</v>
      </c>
      <c r="E324" t="s">
        <v>21</v>
      </c>
      <c r="F324" t="s">
        <v>22</v>
      </c>
      <c r="H324" t="s">
        <v>71</v>
      </c>
      <c r="I324" t="s">
        <v>3617</v>
      </c>
      <c r="J324" t="s">
        <v>1128</v>
      </c>
      <c r="K324" t="s">
        <v>868</v>
      </c>
      <c r="L324" t="s">
        <v>3618</v>
      </c>
      <c r="M324" t="s">
        <v>1128</v>
      </c>
      <c r="N324" t="s">
        <v>1129</v>
      </c>
      <c r="O324" t="s">
        <v>1130</v>
      </c>
      <c r="Q324" t="s">
        <v>3599</v>
      </c>
      <c r="R324" t="s">
        <v>3599</v>
      </c>
      <c r="S324" t="s">
        <v>3599</v>
      </c>
      <c r="T324">
        <v>1</v>
      </c>
      <c r="U324" t="s">
        <v>868</v>
      </c>
      <c r="V324">
        <v>5</v>
      </c>
      <c r="W324">
        <v>0</v>
      </c>
      <c r="X324">
        <v>0</v>
      </c>
    </row>
    <row r="325" spans="1:24" x14ac:dyDescent="0.3">
      <c r="A325" t="s">
        <v>1131</v>
      </c>
      <c r="B325" t="s">
        <v>1132</v>
      </c>
      <c r="C325">
        <v>1</v>
      </c>
      <c r="D325" t="s">
        <v>11</v>
      </c>
      <c r="E325" t="s">
        <v>21</v>
      </c>
      <c r="F325" t="s">
        <v>22</v>
      </c>
      <c r="H325" t="s">
        <v>71</v>
      </c>
      <c r="I325" t="s">
        <v>3617</v>
      </c>
      <c r="J325" t="s">
        <v>1131</v>
      </c>
      <c r="K325" t="s">
        <v>868</v>
      </c>
      <c r="L325" t="s">
        <v>3618</v>
      </c>
      <c r="M325" t="s">
        <v>1131</v>
      </c>
      <c r="N325" t="s">
        <v>1132</v>
      </c>
      <c r="Q325" t="s">
        <v>3599</v>
      </c>
      <c r="R325" t="s">
        <v>3599</v>
      </c>
      <c r="S325" t="s">
        <v>3599</v>
      </c>
      <c r="T325">
        <v>1</v>
      </c>
      <c r="U325" t="s">
        <v>868</v>
      </c>
      <c r="V325">
        <v>5</v>
      </c>
      <c r="W325">
        <v>0</v>
      </c>
      <c r="X325">
        <v>0</v>
      </c>
    </row>
    <row r="326" spans="1:24" x14ac:dyDescent="0.3">
      <c r="A326" t="s">
        <v>1133</v>
      </c>
      <c r="B326" t="s">
        <v>1134</v>
      </c>
      <c r="C326">
        <v>1</v>
      </c>
      <c r="D326" t="s">
        <v>11</v>
      </c>
      <c r="E326" t="s">
        <v>21</v>
      </c>
      <c r="F326" t="s">
        <v>22</v>
      </c>
      <c r="H326" t="s">
        <v>71</v>
      </c>
      <c r="I326" t="s">
        <v>3617</v>
      </c>
      <c r="J326" t="s">
        <v>1133</v>
      </c>
      <c r="K326" t="s">
        <v>868</v>
      </c>
      <c r="L326" t="s">
        <v>3618</v>
      </c>
      <c r="M326" t="s">
        <v>1133</v>
      </c>
      <c r="N326" t="s">
        <v>1134</v>
      </c>
      <c r="Q326" t="s">
        <v>3599</v>
      </c>
      <c r="R326" t="s">
        <v>3599</v>
      </c>
      <c r="S326" t="s">
        <v>3599</v>
      </c>
      <c r="T326">
        <v>1</v>
      </c>
      <c r="U326" t="s">
        <v>868</v>
      </c>
      <c r="V326">
        <v>5</v>
      </c>
      <c r="W326">
        <v>0</v>
      </c>
      <c r="X326">
        <v>0</v>
      </c>
    </row>
    <row r="327" spans="1:24" x14ac:dyDescent="0.3">
      <c r="A327" t="s">
        <v>1135</v>
      </c>
      <c r="B327" t="s">
        <v>1136</v>
      </c>
      <c r="C327">
        <v>1</v>
      </c>
      <c r="D327" t="s">
        <v>11</v>
      </c>
      <c r="E327" t="s">
        <v>21</v>
      </c>
      <c r="F327" t="s">
        <v>22</v>
      </c>
      <c r="H327" t="s">
        <v>71</v>
      </c>
      <c r="I327" t="s">
        <v>3617</v>
      </c>
      <c r="J327" t="s">
        <v>1135</v>
      </c>
      <c r="K327" t="s">
        <v>868</v>
      </c>
      <c r="L327" t="s">
        <v>3618</v>
      </c>
      <c r="M327" t="s">
        <v>1135</v>
      </c>
      <c r="N327" t="s">
        <v>1136</v>
      </c>
      <c r="O327" t="s">
        <v>1137</v>
      </c>
      <c r="Q327" t="s">
        <v>3599</v>
      </c>
      <c r="R327" t="s">
        <v>3599</v>
      </c>
      <c r="S327" t="s">
        <v>3599</v>
      </c>
      <c r="T327">
        <v>1</v>
      </c>
      <c r="U327" t="s">
        <v>868</v>
      </c>
      <c r="V327">
        <v>5</v>
      </c>
      <c r="W327">
        <v>0</v>
      </c>
      <c r="X327">
        <v>0</v>
      </c>
    </row>
    <row r="328" spans="1:24" x14ac:dyDescent="0.3">
      <c r="A328" t="s">
        <v>1138</v>
      </c>
      <c r="B328" t="s">
        <v>1139</v>
      </c>
      <c r="C328">
        <v>1</v>
      </c>
      <c r="D328" t="s">
        <v>11</v>
      </c>
      <c r="E328" t="s">
        <v>21</v>
      </c>
      <c r="F328" t="s">
        <v>22</v>
      </c>
      <c r="H328" t="s">
        <v>71</v>
      </c>
      <c r="I328" t="s">
        <v>3617</v>
      </c>
      <c r="J328" t="s">
        <v>1138</v>
      </c>
      <c r="K328" t="s">
        <v>868</v>
      </c>
      <c r="L328" t="s">
        <v>3618</v>
      </c>
      <c r="M328" t="s">
        <v>1138</v>
      </c>
      <c r="N328" t="s">
        <v>1139</v>
      </c>
      <c r="O328" t="s">
        <v>959</v>
      </c>
      <c r="Q328" t="s">
        <v>3599</v>
      </c>
      <c r="R328" t="s">
        <v>3599</v>
      </c>
      <c r="S328" t="s">
        <v>3599</v>
      </c>
      <c r="T328">
        <v>1</v>
      </c>
      <c r="U328" t="s">
        <v>868</v>
      </c>
      <c r="V328">
        <v>5</v>
      </c>
      <c r="W328">
        <v>0</v>
      </c>
      <c r="X328">
        <v>0</v>
      </c>
    </row>
    <row r="329" spans="1:24" x14ac:dyDescent="0.3">
      <c r="A329" t="s">
        <v>1140</v>
      </c>
      <c r="B329" t="s">
        <v>1141</v>
      </c>
      <c r="C329">
        <v>1</v>
      </c>
      <c r="D329" t="s">
        <v>11</v>
      </c>
      <c r="E329" t="s">
        <v>21</v>
      </c>
      <c r="F329" t="s">
        <v>22</v>
      </c>
      <c r="H329" t="s">
        <v>71</v>
      </c>
      <c r="I329" t="s">
        <v>3617</v>
      </c>
      <c r="J329" t="s">
        <v>1140</v>
      </c>
      <c r="K329" t="s">
        <v>868</v>
      </c>
      <c r="L329" t="s">
        <v>3618</v>
      </c>
      <c r="M329" t="s">
        <v>1140</v>
      </c>
      <c r="N329" t="s">
        <v>1141</v>
      </c>
      <c r="Q329" t="s">
        <v>3599</v>
      </c>
      <c r="R329" t="s">
        <v>3599</v>
      </c>
      <c r="S329" t="s">
        <v>3599</v>
      </c>
      <c r="T329">
        <v>1</v>
      </c>
      <c r="U329" t="s">
        <v>868</v>
      </c>
      <c r="V329">
        <v>5</v>
      </c>
      <c r="W329">
        <v>0</v>
      </c>
      <c r="X329">
        <v>0</v>
      </c>
    </row>
    <row r="330" spans="1:24" x14ac:dyDescent="0.3">
      <c r="A330" t="s">
        <v>1142</v>
      </c>
      <c r="B330" t="s">
        <v>1143</v>
      </c>
      <c r="C330">
        <v>1</v>
      </c>
      <c r="D330" t="s">
        <v>11</v>
      </c>
      <c r="E330" t="s">
        <v>21</v>
      </c>
      <c r="F330" t="s">
        <v>22</v>
      </c>
      <c r="H330" t="s">
        <v>71</v>
      </c>
      <c r="I330" t="s">
        <v>3617</v>
      </c>
      <c r="J330" t="s">
        <v>1142</v>
      </c>
      <c r="K330" t="s">
        <v>868</v>
      </c>
      <c r="L330" t="s">
        <v>3618</v>
      </c>
      <c r="M330" t="s">
        <v>1142</v>
      </c>
      <c r="N330" t="s">
        <v>1143</v>
      </c>
      <c r="O330" t="s">
        <v>1144</v>
      </c>
      <c r="Q330" t="s">
        <v>3599</v>
      </c>
      <c r="R330" t="s">
        <v>3599</v>
      </c>
      <c r="S330" t="s">
        <v>3599</v>
      </c>
      <c r="T330">
        <v>1</v>
      </c>
      <c r="U330" t="s">
        <v>868</v>
      </c>
      <c r="V330">
        <v>5</v>
      </c>
      <c r="W330">
        <v>0</v>
      </c>
      <c r="X330">
        <v>0</v>
      </c>
    </row>
    <row r="331" spans="1:24" x14ac:dyDescent="0.3">
      <c r="A331" t="s">
        <v>1145</v>
      </c>
      <c r="B331" t="s">
        <v>1146</v>
      </c>
      <c r="C331">
        <v>1</v>
      </c>
      <c r="D331" t="s">
        <v>11</v>
      </c>
      <c r="E331" t="s">
        <v>21</v>
      </c>
      <c r="F331" t="s">
        <v>22</v>
      </c>
      <c r="H331" t="s">
        <v>71</v>
      </c>
      <c r="I331" t="s">
        <v>3617</v>
      </c>
      <c r="J331" t="s">
        <v>1145</v>
      </c>
      <c r="K331" t="s">
        <v>868</v>
      </c>
      <c r="L331" t="s">
        <v>3618</v>
      </c>
      <c r="M331" t="s">
        <v>1145</v>
      </c>
      <c r="N331" t="s">
        <v>1146</v>
      </c>
      <c r="Q331" t="s">
        <v>3599</v>
      </c>
      <c r="R331" t="s">
        <v>3599</v>
      </c>
      <c r="S331" t="s">
        <v>3599</v>
      </c>
      <c r="T331">
        <v>1</v>
      </c>
      <c r="U331" t="s">
        <v>868</v>
      </c>
      <c r="V331">
        <v>5</v>
      </c>
      <c r="W331">
        <v>0</v>
      </c>
      <c r="X331">
        <v>0</v>
      </c>
    </row>
    <row r="332" spans="1:24" x14ac:dyDescent="0.3">
      <c r="A332" t="s">
        <v>1147</v>
      </c>
      <c r="B332" t="s">
        <v>1148</v>
      </c>
      <c r="C332">
        <v>1</v>
      </c>
      <c r="D332" t="s">
        <v>11</v>
      </c>
      <c r="E332" t="s">
        <v>21</v>
      </c>
      <c r="F332" t="s">
        <v>22</v>
      </c>
      <c r="H332" t="s">
        <v>71</v>
      </c>
      <c r="I332" t="s">
        <v>3617</v>
      </c>
      <c r="J332" t="s">
        <v>1147</v>
      </c>
      <c r="K332" t="s">
        <v>868</v>
      </c>
      <c r="L332" t="s">
        <v>3618</v>
      </c>
      <c r="M332" t="s">
        <v>1147</v>
      </c>
      <c r="N332" t="s">
        <v>1148</v>
      </c>
      <c r="Q332" t="s">
        <v>3599</v>
      </c>
      <c r="R332" t="s">
        <v>3599</v>
      </c>
      <c r="S332" t="s">
        <v>3599</v>
      </c>
      <c r="T332">
        <v>1</v>
      </c>
      <c r="U332" t="s">
        <v>868</v>
      </c>
      <c r="V332">
        <v>5</v>
      </c>
      <c r="W332">
        <v>0</v>
      </c>
      <c r="X332">
        <v>0</v>
      </c>
    </row>
    <row r="333" spans="1:24" x14ac:dyDescent="0.3">
      <c r="A333" t="s">
        <v>1149</v>
      </c>
      <c r="B333" t="s">
        <v>1150</v>
      </c>
      <c r="C333">
        <v>1</v>
      </c>
      <c r="D333" t="s">
        <v>11</v>
      </c>
      <c r="E333" t="s">
        <v>21</v>
      </c>
      <c r="F333" t="s">
        <v>22</v>
      </c>
      <c r="H333" t="s">
        <v>71</v>
      </c>
      <c r="I333" t="s">
        <v>3617</v>
      </c>
      <c r="J333" t="s">
        <v>1149</v>
      </c>
      <c r="K333" t="s">
        <v>868</v>
      </c>
      <c r="L333" t="s">
        <v>3618</v>
      </c>
      <c r="M333" t="s">
        <v>1149</v>
      </c>
      <c r="N333" t="s">
        <v>1150</v>
      </c>
      <c r="Q333" t="s">
        <v>3599</v>
      </c>
      <c r="R333" t="s">
        <v>3599</v>
      </c>
      <c r="S333" t="s">
        <v>3599</v>
      </c>
      <c r="T333">
        <v>1</v>
      </c>
      <c r="U333" t="s">
        <v>868</v>
      </c>
      <c r="V333">
        <v>5</v>
      </c>
      <c r="W333">
        <v>0</v>
      </c>
      <c r="X333">
        <v>0</v>
      </c>
    </row>
    <row r="334" spans="1:24" x14ac:dyDescent="0.3">
      <c r="A334" t="s">
        <v>1151</v>
      </c>
      <c r="B334" t="s">
        <v>1152</v>
      </c>
      <c r="C334">
        <v>1</v>
      </c>
      <c r="D334" t="s">
        <v>11</v>
      </c>
      <c r="E334" t="s">
        <v>21</v>
      </c>
      <c r="F334" t="s">
        <v>22</v>
      </c>
      <c r="H334" t="s">
        <v>71</v>
      </c>
      <c r="I334" t="s">
        <v>3617</v>
      </c>
      <c r="J334" t="s">
        <v>1151</v>
      </c>
      <c r="K334" t="s">
        <v>868</v>
      </c>
      <c r="L334" t="s">
        <v>3618</v>
      </c>
      <c r="M334" t="s">
        <v>1151</v>
      </c>
      <c r="N334" t="s">
        <v>1152</v>
      </c>
      <c r="Q334" t="s">
        <v>3599</v>
      </c>
      <c r="R334" t="s">
        <v>3599</v>
      </c>
      <c r="S334" t="s">
        <v>3599</v>
      </c>
      <c r="T334">
        <v>1</v>
      </c>
      <c r="U334" t="s">
        <v>868</v>
      </c>
      <c r="V334">
        <v>5</v>
      </c>
      <c r="W334">
        <v>0</v>
      </c>
      <c r="X334">
        <v>0</v>
      </c>
    </row>
    <row r="335" spans="1:24" x14ac:dyDescent="0.3">
      <c r="A335" t="s">
        <v>1153</v>
      </c>
      <c r="B335" t="s">
        <v>1154</v>
      </c>
      <c r="C335">
        <v>1</v>
      </c>
      <c r="D335" t="s">
        <v>11</v>
      </c>
      <c r="E335" t="s">
        <v>21</v>
      </c>
      <c r="F335" t="s">
        <v>22</v>
      </c>
      <c r="H335" t="s">
        <v>71</v>
      </c>
      <c r="I335" t="s">
        <v>3617</v>
      </c>
      <c r="J335" t="s">
        <v>1153</v>
      </c>
      <c r="K335" t="s">
        <v>868</v>
      </c>
      <c r="L335" t="s">
        <v>3618</v>
      </c>
      <c r="M335" t="s">
        <v>1153</v>
      </c>
      <c r="N335" t="s">
        <v>1154</v>
      </c>
      <c r="Q335" t="s">
        <v>3599</v>
      </c>
      <c r="R335" t="s">
        <v>3599</v>
      </c>
      <c r="S335" t="s">
        <v>3599</v>
      </c>
      <c r="T335">
        <v>1</v>
      </c>
      <c r="U335" t="s">
        <v>868</v>
      </c>
      <c r="V335">
        <v>5</v>
      </c>
      <c r="W335">
        <v>0</v>
      </c>
      <c r="X335">
        <v>0</v>
      </c>
    </row>
    <row r="336" spans="1:24" x14ac:dyDescent="0.3">
      <c r="A336" t="s">
        <v>1155</v>
      </c>
      <c r="B336" t="s">
        <v>1156</v>
      </c>
      <c r="C336">
        <v>1</v>
      </c>
      <c r="D336" t="s">
        <v>11</v>
      </c>
      <c r="E336" t="s">
        <v>21</v>
      </c>
      <c r="F336" t="s">
        <v>22</v>
      </c>
      <c r="H336" t="s">
        <v>71</v>
      </c>
      <c r="I336" t="s">
        <v>3617</v>
      </c>
      <c r="J336" t="s">
        <v>1155</v>
      </c>
      <c r="K336" t="s">
        <v>868</v>
      </c>
      <c r="L336" t="s">
        <v>3618</v>
      </c>
      <c r="M336" t="s">
        <v>1155</v>
      </c>
      <c r="N336" t="s">
        <v>1156</v>
      </c>
      <c r="Q336" t="s">
        <v>3599</v>
      </c>
      <c r="R336" t="s">
        <v>3599</v>
      </c>
      <c r="S336" t="s">
        <v>3599</v>
      </c>
      <c r="T336">
        <v>1</v>
      </c>
      <c r="U336" t="s">
        <v>868</v>
      </c>
      <c r="V336">
        <v>5</v>
      </c>
      <c r="W336">
        <v>0</v>
      </c>
      <c r="X336">
        <v>0</v>
      </c>
    </row>
    <row r="337" spans="1:24" x14ac:dyDescent="0.3">
      <c r="A337" t="s">
        <v>1157</v>
      </c>
      <c r="B337" t="s">
        <v>1158</v>
      </c>
      <c r="C337">
        <v>1</v>
      </c>
      <c r="D337" t="s">
        <v>11</v>
      </c>
      <c r="E337" t="s">
        <v>21</v>
      </c>
      <c r="F337" t="s">
        <v>22</v>
      </c>
      <c r="H337" t="s">
        <v>71</v>
      </c>
      <c r="I337" t="s">
        <v>3617</v>
      </c>
      <c r="J337" t="s">
        <v>1157</v>
      </c>
      <c r="K337" t="s">
        <v>868</v>
      </c>
      <c r="L337" t="s">
        <v>3618</v>
      </c>
      <c r="M337" t="s">
        <v>1157</v>
      </c>
      <c r="N337" t="s">
        <v>1158</v>
      </c>
      <c r="Q337" t="s">
        <v>3599</v>
      </c>
      <c r="R337" t="s">
        <v>3599</v>
      </c>
      <c r="S337" t="s">
        <v>3599</v>
      </c>
      <c r="T337">
        <v>1</v>
      </c>
      <c r="U337" t="s">
        <v>868</v>
      </c>
      <c r="V337">
        <v>5</v>
      </c>
      <c r="W337">
        <v>0</v>
      </c>
      <c r="X337">
        <v>0</v>
      </c>
    </row>
    <row r="338" spans="1:24" x14ac:dyDescent="0.3">
      <c r="A338" t="s">
        <v>1159</v>
      </c>
      <c r="B338" t="s">
        <v>1160</v>
      </c>
      <c r="C338">
        <v>1</v>
      </c>
      <c r="D338" t="s">
        <v>11</v>
      </c>
      <c r="E338" t="s">
        <v>21</v>
      </c>
      <c r="F338" t="s">
        <v>22</v>
      </c>
      <c r="H338" t="s">
        <v>71</v>
      </c>
      <c r="I338" t="s">
        <v>3617</v>
      </c>
      <c r="J338" t="s">
        <v>1159</v>
      </c>
      <c r="K338" t="s">
        <v>868</v>
      </c>
      <c r="L338" t="s">
        <v>3618</v>
      </c>
      <c r="M338" t="s">
        <v>1159</v>
      </c>
      <c r="N338" t="s">
        <v>1160</v>
      </c>
      <c r="Q338" t="s">
        <v>3599</v>
      </c>
      <c r="R338" t="s">
        <v>3599</v>
      </c>
      <c r="S338" t="s">
        <v>3599</v>
      </c>
      <c r="T338">
        <v>1</v>
      </c>
      <c r="U338" t="s">
        <v>868</v>
      </c>
      <c r="V338">
        <v>5</v>
      </c>
      <c r="W338">
        <v>0</v>
      </c>
      <c r="X338">
        <v>0</v>
      </c>
    </row>
    <row r="339" spans="1:24" x14ac:dyDescent="0.3">
      <c r="A339" t="s">
        <v>1161</v>
      </c>
      <c r="B339" t="s">
        <v>1162</v>
      </c>
      <c r="C339">
        <v>1</v>
      </c>
      <c r="D339" t="s">
        <v>11</v>
      </c>
      <c r="E339" t="s">
        <v>21</v>
      </c>
      <c r="F339" t="s">
        <v>22</v>
      </c>
      <c r="H339" t="s">
        <v>71</v>
      </c>
      <c r="I339" t="s">
        <v>3617</v>
      </c>
      <c r="J339" t="s">
        <v>1161</v>
      </c>
      <c r="K339" t="s">
        <v>868</v>
      </c>
      <c r="L339" t="s">
        <v>3618</v>
      </c>
      <c r="M339" t="s">
        <v>1161</v>
      </c>
      <c r="N339" t="s">
        <v>1162</v>
      </c>
      <c r="Q339" t="s">
        <v>3599</v>
      </c>
      <c r="R339" t="s">
        <v>3599</v>
      </c>
      <c r="S339" t="s">
        <v>3599</v>
      </c>
      <c r="T339">
        <v>1</v>
      </c>
      <c r="U339" t="s">
        <v>868</v>
      </c>
      <c r="V339">
        <v>5</v>
      </c>
      <c r="W339">
        <v>0</v>
      </c>
      <c r="X339">
        <v>0</v>
      </c>
    </row>
    <row r="340" spans="1:24" x14ac:dyDescent="0.3">
      <c r="A340" t="s">
        <v>1163</v>
      </c>
      <c r="B340" t="s">
        <v>1164</v>
      </c>
      <c r="C340">
        <v>1</v>
      </c>
      <c r="D340" t="s">
        <v>11</v>
      </c>
      <c r="E340" t="s">
        <v>21</v>
      </c>
      <c r="F340" t="s">
        <v>22</v>
      </c>
      <c r="H340" t="s">
        <v>71</v>
      </c>
      <c r="I340" t="s">
        <v>3617</v>
      </c>
      <c r="J340" t="s">
        <v>1163</v>
      </c>
      <c r="K340" t="s">
        <v>868</v>
      </c>
      <c r="L340" t="s">
        <v>3618</v>
      </c>
      <c r="M340" t="s">
        <v>1163</v>
      </c>
      <c r="N340" t="s">
        <v>1164</v>
      </c>
      <c r="Q340" t="s">
        <v>3599</v>
      </c>
      <c r="R340" t="s">
        <v>3599</v>
      </c>
      <c r="S340" t="s">
        <v>3599</v>
      </c>
      <c r="T340">
        <v>1</v>
      </c>
      <c r="U340" t="s">
        <v>868</v>
      </c>
      <c r="V340">
        <v>5</v>
      </c>
      <c r="W340">
        <v>0</v>
      </c>
      <c r="X340">
        <v>0</v>
      </c>
    </row>
    <row r="341" spans="1:24" x14ac:dyDescent="0.3">
      <c r="A341" t="s">
        <v>1165</v>
      </c>
      <c r="B341" t="s">
        <v>136</v>
      </c>
      <c r="C341">
        <v>1</v>
      </c>
      <c r="D341" t="s">
        <v>11</v>
      </c>
      <c r="E341" t="s">
        <v>21</v>
      </c>
      <c r="F341" t="s">
        <v>22</v>
      </c>
      <c r="H341" t="s">
        <v>71</v>
      </c>
      <c r="I341" t="s">
        <v>3617</v>
      </c>
      <c r="J341" t="s">
        <v>1165</v>
      </c>
      <c r="K341" t="s">
        <v>868</v>
      </c>
      <c r="L341" t="s">
        <v>3618</v>
      </c>
      <c r="M341" t="s">
        <v>1165</v>
      </c>
      <c r="N341" t="s">
        <v>136</v>
      </c>
      <c r="O341" t="s">
        <v>1038</v>
      </c>
      <c r="P341" t="s">
        <v>1166</v>
      </c>
      <c r="Q341" t="s">
        <v>3599</v>
      </c>
      <c r="R341" t="s">
        <v>3599</v>
      </c>
      <c r="S341" t="s">
        <v>3599</v>
      </c>
      <c r="T341">
        <v>1</v>
      </c>
      <c r="U341" t="s">
        <v>868</v>
      </c>
      <c r="V341">
        <v>5</v>
      </c>
      <c r="W341">
        <v>0</v>
      </c>
      <c r="X341">
        <v>0</v>
      </c>
    </row>
    <row r="342" spans="1:24" x14ac:dyDescent="0.3">
      <c r="A342" t="s">
        <v>1167</v>
      </c>
      <c r="B342" t="s">
        <v>1168</v>
      </c>
      <c r="C342">
        <v>1</v>
      </c>
      <c r="D342" t="s">
        <v>11</v>
      </c>
      <c r="E342" t="s">
        <v>21</v>
      </c>
      <c r="F342" t="s">
        <v>22</v>
      </c>
      <c r="H342" t="s">
        <v>71</v>
      </c>
      <c r="I342" t="s">
        <v>3617</v>
      </c>
      <c r="J342" t="s">
        <v>1167</v>
      </c>
      <c r="K342" t="s">
        <v>868</v>
      </c>
      <c r="L342" t="s">
        <v>3618</v>
      </c>
      <c r="M342" t="s">
        <v>1167</v>
      </c>
      <c r="N342" t="s">
        <v>1168</v>
      </c>
      <c r="Q342" t="s">
        <v>3599</v>
      </c>
      <c r="R342" t="s">
        <v>3599</v>
      </c>
      <c r="S342" t="s">
        <v>3599</v>
      </c>
      <c r="T342">
        <v>1</v>
      </c>
      <c r="U342" t="s">
        <v>868</v>
      </c>
      <c r="V342">
        <v>5</v>
      </c>
      <c r="W342">
        <v>0</v>
      </c>
      <c r="X342">
        <v>0</v>
      </c>
    </row>
    <row r="343" spans="1:24" x14ac:dyDescent="0.3">
      <c r="A343" t="s">
        <v>1169</v>
      </c>
      <c r="B343" t="s">
        <v>1170</v>
      </c>
      <c r="C343">
        <v>1</v>
      </c>
      <c r="D343" t="s">
        <v>11</v>
      </c>
      <c r="E343" t="s">
        <v>21</v>
      </c>
      <c r="F343" t="s">
        <v>22</v>
      </c>
      <c r="H343" t="s">
        <v>71</v>
      </c>
      <c r="I343" t="s">
        <v>3617</v>
      </c>
      <c r="J343" t="s">
        <v>1169</v>
      </c>
      <c r="K343" t="s">
        <v>868</v>
      </c>
      <c r="L343" t="s">
        <v>3618</v>
      </c>
      <c r="M343" t="s">
        <v>1169</v>
      </c>
      <c r="N343" t="s">
        <v>1170</v>
      </c>
      <c r="Q343" t="s">
        <v>3599</v>
      </c>
      <c r="R343" t="s">
        <v>3599</v>
      </c>
      <c r="S343" t="s">
        <v>3599</v>
      </c>
      <c r="T343">
        <v>1</v>
      </c>
      <c r="U343" t="s">
        <v>868</v>
      </c>
      <c r="V343">
        <v>5</v>
      </c>
      <c r="W343">
        <v>0</v>
      </c>
      <c r="X343">
        <v>0</v>
      </c>
    </row>
    <row r="344" spans="1:24" x14ac:dyDescent="0.3">
      <c r="A344" t="s">
        <v>1171</v>
      </c>
      <c r="B344" t="s">
        <v>1172</v>
      </c>
      <c r="C344">
        <v>1</v>
      </c>
      <c r="D344" t="s">
        <v>11</v>
      </c>
      <c r="E344" t="s">
        <v>21</v>
      </c>
      <c r="F344" t="s">
        <v>22</v>
      </c>
      <c r="H344" t="s">
        <v>71</v>
      </c>
      <c r="I344" t="s">
        <v>3617</v>
      </c>
      <c r="J344" t="s">
        <v>1171</v>
      </c>
      <c r="K344" t="s">
        <v>868</v>
      </c>
      <c r="L344" t="s">
        <v>3618</v>
      </c>
      <c r="M344" t="s">
        <v>1171</v>
      </c>
      <c r="N344" t="s">
        <v>1172</v>
      </c>
      <c r="O344" t="s">
        <v>1137</v>
      </c>
      <c r="Q344" t="s">
        <v>3599</v>
      </c>
      <c r="R344" t="s">
        <v>3599</v>
      </c>
      <c r="S344" t="s">
        <v>3599</v>
      </c>
      <c r="T344">
        <v>1</v>
      </c>
      <c r="U344" t="s">
        <v>868</v>
      </c>
      <c r="V344">
        <v>5</v>
      </c>
      <c r="W344">
        <v>0</v>
      </c>
      <c r="X344">
        <v>0</v>
      </c>
    </row>
    <row r="345" spans="1:24" x14ac:dyDescent="0.3">
      <c r="A345" t="s">
        <v>1173</v>
      </c>
      <c r="B345" t="s">
        <v>1174</v>
      </c>
      <c r="C345">
        <v>1</v>
      </c>
      <c r="D345" t="s">
        <v>11</v>
      </c>
      <c r="E345" t="s">
        <v>21</v>
      </c>
      <c r="F345" t="s">
        <v>22</v>
      </c>
      <c r="H345" t="s">
        <v>71</v>
      </c>
      <c r="I345" t="s">
        <v>3617</v>
      </c>
      <c r="J345" t="s">
        <v>1173</v>
      </c>
      <c r="K345" t="s">
        <v>868</v>
      </c>
      <c r="L345" t="s">
        <v>3618</v>
      </c>
      <c r="M345" t="s">
        <v>1173</v>
      </c>
      <c r="N345" t="s">
        <v>1174</v>
      </c>
      <c r="Q345" t="s">
        <v>3599</v>
      </c>
      <c r="R345" t="s">
        <v>3599</v>
      </c>
      <c r="S345" t="s">
        <v>3599</v>
      </c>
      <c r="T345">
        <v>1</v>
      </c>
      <c r="U345" t="s">
        <v>868</v>
      </c>
      <c r="V345">
        <v>5</v>
      </c>
      <c r="W345">
        <v>0</v>
      </c>
      <c r="X345">
        <v>0</v>
      </c>
    </row>
    <row r="346" spans="1:24" x14ac:dyDescent="0.3">
      <c r="A346" t="s">
        <v>1175</v>
      </c>
      <c r="B346" t="s">
        <v>1176</v>
      </c>
      <c r="C346">
        <v>1</v>
      </c>
      <c r="D346" t="s">
        <v>11</v>
      </c>
      <c r="E346" t="s">
        <v>21</v>
      </c>
      <c r="F346" t="s">
        <v>22</v>
      </c>
      <c r="H346" t="s">
        <v>71</v>
      </c>
      <c r="I346" t="s">
        <v>3617</v>
      </c>
      <c r="J346" t="s">
        <v>1175</v>
      </c>
      <c r="K346" t="s">
        <v>868</v>
      </c>
      <c r="L346" t="s">
        <v>3618</v>
      </c>
      <c r="M346" t="s">
        <v>1175</v>
      </c>
      <c r="N346" t="s">
        <v>1176</v>
      </c>
      <c r="Q346" t="s">
        <v>3599</v>
      </c>
      <c r="R346" t="s">
        <v>3599</v>
      </c>
      <c r="S346" t="s">
        <v>3599</v>
      </c>
      <c r="T346">
        <v>1</v>
      </c>
      <c r="U346" t="s">
        <v>868</v>
      </c>
      <c r="V346">
        <v>5</v>
      </c>
      <c r="W346">
        <v>0</v>
      </c>
      <c r="X346">
        <v>0</v>
      </c>
    </row>
    <row r="347" spans="1:24" x14ac:dyDescent="0.3">
      <c r="A347" t="s">
        <v>1177</v>
      </c>
      <c r="B347" t="s">
        <v>1178</v>
      </c>
      <c r="C347">
        <v>1</v>
      </c>
      <c r="D347" t="s">
        <v>11</v>
      </c>
      <c r="E347" t="s">
        <v>21</v>
      </c>
      <c r="F347" t="s">
        <v>22</v>
      </c>
      <c r="H347" t="s">
        <v>71</v>
      </c>
      <c r="I347" t="s">
        <v>3617</v>
      </c>
      <c r="J347" t="s">
        <v>1177</v>
      </c>
      <c r="K347" t="s">
        <v>868</v>
      </c>
      <c r="L347" t="s">
        <v>3618</v>
      </c>
      <c r="M347" t="s">
        <v>1177</v>
      </c>
      <c r="N347" t="s">
        <v>1178</v>
      </c>
      <c r="Q347" t="s">
        <v>3599</v>
      </c>
      <c r="R347" t="s">
        <v>3599</v>
      </c>
      <c r="S347" t="s">
        <v>3599</v>
      </c>
      <c r="T347">
        <v>1</v>
      </c>
      <c r="U347" t="s">
        <v>868</v>
      </c>
      <c r="V347">
        <v>5</v>
      </c>
      <c r="W347">
        <v>0</v>
      </c>
      <c r="X347">
        <v>0</v>
      </c>
    </row>
    <row r="348" spans="1:24" x14ac:dyDescent="0.3">
      <c r="A348" t="s">
        <v>1179</v>
      </c>
      <c r="B348" t="s">
        <v>1180</v>
      </c>
      <c r="C348">
        <v>1</v>
      </c>
      <c r="D348" t="s">
        <v>11</v>
      </c>
      <c r="E348" t="s">
        <v>21</v>
      </c>
      <c r="F348" t="s">
        <v>22</v>
      </c>
      <c r="H348" t="s">
        <v>71</v>
      </c>
      <c r="I348" t="s">
        <v>3617</v>
      </c>
      <c r="J348" t="s">
        <v>1179</v>
      </c>
      <c r="K348" t="s">
        <v>868</v>
      </c>
      <c r="L348" t="s">
        <v>3618</v>
      </c>
      <c r="M348" t="s">
        <v>1179</v>
      </c>
      <c r="N348" t="s">
        <v>1180</v>
      </c>
      <c r="Q348" t="s">
        <v>3599</v>
      </c>
      <c r="R348" t="s">
        <v>3599</v>
      </c>
      <c r="S348" t="s">
        <v>3599</v>
      </c>
      <c r="T348">
        <v>1</v>
      </c>
      <c r="U348" t="s">
        <v>868</v>
      </c>
      <c r="V348">
        <v>5</v>
      </c>
      <c r="W348">
        <v>0</v>
      </c>
      <c r="X348">
        <v>0</v>
      </c>
    </row>
    <row r="349" spans="1:24" x14ac:dyDescent="0.3">
      <c r="A349" t="s">
        <v>1181</v>
      </c>
      <c r="B349" t="s">
        <v>1182</v>
      </c>
      <c r="C349">
        <v>1</v>
      </c>
      <c r="D349" t="s">
        <v>11</v>
      </c>
      <c r="E349" t="s">
        <v>21</v>
      </c>
      <c r="F349" t="s">
        <v>22</v>
      </c>
      <c r="H349" t="s">
        <v>71</v>
      </c>
      <c r="I349" t="s">
        <v>3617</v>
      </c>
      <c r="J349" t="s">
        <v>1181</v>
      </c>
      <c r="K349" t="s">
        <v>868</v>
      </c>
      <c r="L349" t="s">
        <v>3618</v>
      </c>
      <c r="M349" t="s">
        <v>1181</v>
      </c>
      <c r="N349" t="s">
        <v>1182</v>
      </c>
      <c r="Q349" t="s">
        <v>3599</v>
      </c>
      <c r="R349" t="s">
        <v>3599</v>
      </c>
      <c r="S349" t="s">
        <v>3599</v>
      </c>
      <c r="T349">
        <v>1</v>
      </c>
      <c r="U349" t="s">
        <v>868</v>
      </c>
      <c r="V349">
        <v>5</v>
      </c>
      <c r="W349">
        <v>0</v>
      </c>
      <c r="X349">
        <v>0</v>
      </c>
    </row>
    <row r="350" spans="1:24" x14ac:dyDescent="0.3">
      <c r="A350" t="s">
        <v>1183</v>
      </c>
      <c r="B350" t="s">
        <v>1184</v>
      </c>
      <c r="C350">
        <v>1</v>
      </c>
      <c r="D350" t="s">
        <v>11</v>
      </c>
      <c r="E350" t="s">
        <v>21</v>
      </c>
      <c r="F350" t="s">
        <v>22</v>
      </c>
      <c r="H350" t="s">
        <v>71</v>
      </c>
      <c r="I350" t="s">
        <v>3617</v>
      </c>
      <c r="J350" t="s">
        <v>1183</v>
      </c>
      <c r="K350" t="s">
        <v>868</v>
      </c>
      <c r="L350" t="s">
        <v>3618</v>
      </c>
      <c r="M350" t="s">
        <v>1183</v>
      </c>
      <c r="N350" t="s">
        <v>1184</v>
      </c>
      <c r="Q350" t="s">
        <v>3599</v>
      </c>
      <c r="R350" t="s">
        <v>3599</v>
      </c>
      <c r="S350" t="s">
        <v>3599</v>
      </c>
      <c r="T350">
        <v>1</v>
      </c>
      <c r="U350" t="s">
        <v>868</v>
      </c>
      <c r="V350">
        <v>5</v>
      </c>
      <c r="W350">
        <v>0</v>
      </c>
      <c r="X350">
        <v>0</v>
      </c>
    </row>
    <row r="351" spans="1:24" x14ac:dyDescent="0.3">
      <c r="A351" t="s">
        <v>1185</v>
      </c>
      <c r="B351" t="s">
        <v>1186</v>
      </c>
      <c r="C351">
        <v>1</v>
      </c>
      <c r="D351" t="s">
        <v>11</v>
      </c>
      <c r="E351" t="s">
        <v>21</v>
      </c>
      <c r="F351" t="s">
        <v>22</v>
      </c>
      <c r="H351" t="s">
        <v>71</v>
      </c>
      <c r="I351" t="s">
        <v>3617</v>
      </c>
      <c r="J351" t="s">
        <v>1185</v>
      </c>
      <c r="K351" t="s">
        <v>868</v>
      </c>
      <c r="L351" t="s">
        <v>3618</v>
      </c>
      <c r="M351" t="s">
        <v>1185</v>
      </c>
      <c r="N351" t="s">
        <v>1186</v>
      </c>
      <c r="Q351" t="s">
        <v>3599</v>
      </c>
      <c r="R351" t="s">
        <v>3599</v>
      </c>
      <c r="S351" t="s">
        <v>3599</v>
      </c>
      <c r="T351">
        <v>1</v>
      </c>
      <c r="U351" t="s">
        <v>868</v>
      </c>
      <c r="V351">
        <v>5</v>
      </c>
      <c r="W351">
        <v>0</v>
      </c>
      <c r="X351">
        <v>0</v>
      </c>
    </row>
    <row r="352" spans="1:24" x14ac:dyDescent="0.3">
      <c r="A352" t="s">
        <v>1187</v>
      </c>
      <c r="B352" t="s">
        <v>1188</v>
      </c>
      <c r="C352">
        <v>1</v>
      </c>
      <c r="D352" t="s">
        <v>11</v>
      </c>
      <c r="E352" t="s">
        <v>21</v>
      </c>
      <c r="F352" t="s">
        <v>22</v>
      </c>
      <c r="H352" t="s">
        <v>71</v>
      </c>
      <c r="I352" t="s">
        <v>3617</v>
      </c>
      <c r="J352" t="s">
        <v>1187</v>
      </c>
      <c r="K352" t="s">
        <v>868</v>
      </c>
      <c r="L352" t="s">
        <v>3618</v>
      </c>
      <c r="M352" t="s">
        <v>1187</v>
      </c>
      <c r="N352" t="s">
        <v>1188</v>
      </c>
      <c r="Q352" t="s">
        <v>3599</v>
      </c>
      <c r="R352" t="s">
        <v>3599</v>
      </c>
      <c r="S352" t="s">
        <v>3599</v>
      </c>
      <c r="T352">
        <v>1</v>
      </c>
      <c r="U352" t="s">
        <v>868</v>
      </c>
      <c r="V352">
        <v>5</v>
      </c>
      <c r="W352">
        <v>0</v>
      </c>
      <c r="X352">
        <v>0</v>
      </c>
    </row>
    <row r="353" spans="1:24" x14ac:dyDescent="0.3">
      <c r="A353" t="s">
        <v>1189</v>
      </c>
      <c r="B353" t="s">
        <v>1190</v>
      </c>
      <c r="C353">
        <v>1</v>
      </c>
      <c r="D353" t="s">
        <v>11</v>
      </c>
      <c r="E353" t="s">
        <v>21</v>
      </c>
      <c r="F353" t="s">
        <v>22</v>
      </c>
      <c r="H353" t="s">
        <v>71</v>
      </c>
      <c r="I353" t="s">
        <v>3617</v>
      </c>
      <c r="J353" t="s">
        <v>1189</v>
      </c>
      <c r="K353" t="s">
        <v>868</v>
      </c>
      <c r="L353" t="s">
        <v>3618</v>
      </c>
      <c r="M353" t="s">
        <v>1189</v>
      </c>
      <c r="N353" t="s">
        <v>1190</v>
      </c>
      <c r="O353" t="s">
        <v>1191</v>
      </c>
      <c r="Q353" t="s">
        <v>3599</v>
      </c>
      <c r="R353" t="s">
        <v>3599</v>
      </c>
      <c r="S353" t="s">
        <v>3599</v>
      </c>
      <c r="T353">
        <v>1</v>
      </c>
      <c r="U353" t="s">
        <v>868</v>
      </c>
      <c r="V353">
        <v>5</v>
      </c>
      <c r="W353">
        <v>0</v>
      </c>
      <c r="X353">
        <v>0</v>
      </c>
    </row>
    <row r="354" spans="1:24" x14ac:dyDescent="0.3">
      <c r="A354" t="s">
        <v>1192</v>
      </c>
      <c r="B354" t="s">
        <v>1193</v>
      </c>
      <c r="C354">
        <v>1</v>
      </c>
      <c r="D354" t="s">
        <v>11</v>
      </c>
      <c r="E354" t="s">
        <v>21</v>
      </c>
      <c r="F354" t="s">
        <v>22</v>
      </c>
      <c r="H354" t="s">
        <v>71</v>
      </c>
      <c r="I354" t="s">
        <v>3617</v>
      </c>
      <c r="J354" t="s">
        <v>1192</v>
      </c>
      <c r="K354" t="s">
        <v>868</v>
      </c>
      <c r="L354" t="s">
        <v>3618</v>
      </c>
      <c r="M354" t="s">
        <v>1192</v>
      </c>
      <c r="N354" t="s">
        <v>1193</v>
      </c>
      <c r="Q354" t="s">
        <v>3599</v>
      </c>
      <c r="R354" t="s">
        <v>3599</v>
      </c>
      <c r="S354" t="s">
        <v>3599</v>
      </c>
      <c r="T354">
        <v>1</v>
      </c>
      <c r="U354" t="s">
        <v>868</v>
      </c>
      <c r="V354">
        <v>5</v>
      </c>
      <c r="W354">
        <v>0</v>
      </c>
      <c r="X354">
        <v>0</v>
      </c>
    </row>
    <row r="355" spans="1:24" x14ac:dyDescent="0.3">
      <c r="A355" t="s">
        <v>1194</v>
      </c>
      <c r="B355" t="s">
        <v>1195</v>
      </c>
      <c r="C355">
        <v>1</v>
      </c>
      <c r="D355" t="s">
        <v>11</v>
      </c>
      <c r="E355" t="s">
        <v>21</v>
      </c>
      <c r="F355" t="s">
        <v>22</v>
      </c>
      <c r="H355" t="s">
        <v>71</v>
      </c>
      <c r="I355" t="s">
        <v>3617</v>
      </c>
      <c r="J355" t="s">
        <v>1194</v>
      </c>
      <c r="K355" t="s">
        <v>868</v>
      </c>
      <c r="L355" t="s">
        <v>3618</v>
      </c>
      <c r="M355" t="s">
        <v>1194</v>
      </c>
      <c r="N355" t="s">
        <v>1195</v>
      </c>
      <c r="O355" t="s">
        <v>1197</v>
      </c>
      <c r="P355" t="s">
        <v>1196</v>
      </c>
      <c r="Q355" t="s">
        <v>3599</v>
      </c>
      <c r="R355" t="s">
        <v>3599</v>
      </c>
      <c r="S355" t="s">
        <v>3599</v>
      </c>
      <c r="T355">
        <v>1</v>
      </c>
      <c r="U355" t="s">
        <v>868</v>
      </c>
      <c r="V355">
        <v>5</v>
      </c>
      <c r="W355">
        <v>0</v>
      </c>
      <c r="X355">
        <v>0</v>
      </c>
    </row>
    <row r="356" spans="1:24" x14ac:dyDescent="0.3">
      <c r="A356" t="s">
        <v>1198</v>
      </c>
      <c r="B356" t="s">
        <v>1199</v>
      </c>
      <c r="C356">
        <v>1</v>
      </c>
      <c r="D356" t="s">
        <v>11</v>
      </c>
      <c r="E356" t="s">
        <v>21</v>
      </c>
      <c r="F356" t="s">
        <v>22</v>
      </c>
      <c r="H356" t="s">
        <v>71</v>
      </c>
      <c r="I356" t="s">
        <v>3617</v>
      </c>
      <c r="J356" t="s">
        <v>1198</v>
      </c>
      <c r="K356" t="s">
        <v>868</v>
      </c>
      <c r="L356" t="s">
        <v>3618</v>
      </c>
      <c r="M356" t="s">
        <v>1198</v>
      </c>
      <c r="N356" t="s">
        <v>1199</v>
      </c>
      <c r="Q356" t="s">
        <v>3599</v>
      </c>
      <c r="R356" t="s">
        <v>3599</v>
      </c>
      <c r="S356" t="s">
        <v>3599</v>
      </c>
      <c r="T356">
        <v>1</v>
      </c>
      <c r="U356" t="s">
        <v>868</v>
      </c>
      <c r="V356">
        <v>5</v>
      </c>
      <c r="W356">
        <v>0</v>
      </c>
      <c r="X356">
        <v>0</v>
      </c>
    </row>
    <row r="357" spans="1:24" x14ac:dyDescent="0.3">
      <c r="A357" t="s">
        <v>1200</v>
      </c>
      <c r="B357" t="s">
        <v>1201</v>
      </c>
      <c r="C357">
        <v>1</v>
      </c>
      <c r="D357" t="s">
        <v>11</v>
      </c>
      <c r="E357" t="s">
        <v>21</v>
      </c>
      <c r="F357" t="s">
        <v>22</v>
      </c>
      <c r="H357" t="s">
        <v>71</v>
      </c>
      <c r="I357" t="s">
        <v>3617</v>
      </c>
      <c r="J357" t="s">
        <v>1200</v>
      </c>
      <c r="K357" t="s">
        <v>868</v>
      </c>
      <c r="L357" t="s">
        <v>3618</v>
      </c>
      <c r="M357" t="s">
        <v>1200</v>
      </c>
      <c r="N357" t="s">
        <v>1201</v>
      </c>
      <c r="Q357" t="s">
        <v>3599</v>
      </c>
      <c r="R357" t="s">
        <v>3599</v>
      </c>
      <c r="S357" t="s">
        <v>3599</v>
      </c>
      <c r="T357">
        <v>1</v>
      </c>
      <c r="U357" t="s">
        <v>868</v>
      </c>
      <c r="V357">
        <v>5</v>
      </c>
      <c r="W357">
        <v>0</v>
      </c>
      <c r="X357">
        <v>0</v>
      </c>
    </row>
    <row r="358" spans="1:24" x14ac:dyDescent="0.3">
      <c r="A358" t="s">
        <v>1202</v>
      </c>
      <c r="B358" t="s">
        <v>1203</v>
      </c>
      <c r="C358">
        <v>1</v>
      </c>
      <c r="D358" t="s">
        <v>11</v>
      </c>
      <c r="E358" t="s">
        <v>21</v>
      </c>
      <c r="F358" t="s">
        <v>22</v>
      </c>
      <c r="H358" t="s">
        <v>71</v>
      </c>
      <c r="I358" t="s">
        <v>3617</v>
      </c>
      <c r="J358" t="s">
        <v>1202</v>
      </c>
      <c r="K358" t="s">
        <v>868</v>
      </c>
      <c r="L358" t="s">
        <v>3618</v>
      </c>
      <c r="M358" t="s">
        <v>1202</v>
      </c>
      <c r="N358" t="s">
        <v>1203</v>
      </c>
      <c r="Q358" t="s">
        <v>3599</v>
      </c>
      <c r="R358" t="s">
        <v>3599</v>
      </c>
      <c r="S358" t="s">
        <v>3599</v>
      </c>
      <c r="T358">
        <v>1</v>
      </c>
      <c r="U358" t="s">
        <v>868</v>
      </c>
      <c r="V358">
        <v>5</v>
      </c>
      <c r="W358">
        <v>0</v>
      </c>
      <c r="X358">
        <v>0</v>
      </c>
    </row>
    <row r="359" spans="1:24" x14ac:dyDescent="0.3">
      <c r="A359" t="s">
        <v>1204</v>
      </c>
      <c r="B359" t="s">
        <v>1205</v>
      </c>
      <c r="C359">
        <v>1</v>
      </c>
      <c r="D359" t="s">
        <v>11</v>
      </c>
      <c r="E359" t="s">
        <v>21</v>
      </c>
      <c r="F359" t="s">
        <v>22</v>
      </c>
      <c r="H359" t="s">
        <v>71</v>
      </c>
      <c r="I359" t="s">
        <v>3617</v>
      </c>
      <c r="J359" t="s">
        <v>1204</v>
      </c>
      <c r="K359" t="s">
        <v>868</v>
      </c>
      <c r="L359" t="s">
        <v>3618</v>
      </c>
      <c r="M359" t="s">
        <v>1204</v>
      </c>
      <c r="N359" t="s">
        <v>1205</v>
      </c>
      <c r="O359" t="s">
        <v>674</v>
      </c>
      <c r="Q359" t="s">
        <v>3599</v>
      </c>
      <c r="R359" t="s">
        <v>3599</v>
      </c>
      <c r="S359" t="s">
        <v>3599</v>
      </c>
      <c r="T359">
        <v>1</v>
      </c>
      <c r="U359" t="s">
        <v>868</v>
      </c>
      <c r="V359">
        <v>5</v>
      </c>
      <c r="W359">
        <v>0</v>
      </c>
      <c r="X359">
        <v>0</v>
      </c>
    </row>
    <row r="360" spans="1:24" x14ac:dyDescent="0.3">
      <c r="A360" t="s">
        <v>1206</v>
      </c>
      <c r="B360" t="s">
        <v>1207</v>
      </c>
      <c r="C360">
        <v>1</v>
      </c>
      <c r="D360" t="s">
        <v>11</v>
      </c>
      <c r="E360" t="s">
        <v>21</v>
      </c>
      <c r="F360" t="s">
        <v>22</v>
      </c>
      <c r="H360" t="s">
        <v>71</v>
      </c>
      <c r="I360" t="s">
        <v>3617</v>
      </c>
      <c r="J360" t="s">
        <v>1206</v>
      </c>
      <c r="K360" t="s">
        <v>868</v>
      </c>
      <c r="L360" t="s">
        <v>3618</v>
      </c>
      <c r="M360" t="s">
        <v>1206</v>
      </c>
      <c r="N360" t="s">
        <v>1207</v>
      </c>
      <c r="Q360" t="s">
        <v>3599</v>
      </c>
      <c r="R360" t="s">
        <v>3599</v>
      </c>
      <c r="S360" t="s">
        <v>3599</v>
      </c>
      <c r="T360">
        <v>1</v>
      </c>
      <c r="U360" t="s">
        <v>868</v>
      </c>
      <c r="V360">
        <v>5</v>
      </c>
      <c r="W360">
        <v>0</v>
      </c>
      <c r="X360">
        <v>0</v>
      </c>
    </row>
    <row r="361" spans="1:24" x14ac:dyDescent="0.3">
      <c r="A361" t="s">
        <v>1208</v>
      </c>
      <c r="B361" t="s">
        <v>1209</v>
      </c>
      <c r="C361">
        <v>1</v>
      </c>
      <c r="D361" t="s">
        <v>11</v>
      </c>
      <c r="E361" t="s">
        <v>21</v>
      </c>
      <c r="F361" t="s">
        <v>22</v>
      </c>
      <c r="H361" t="s">
        <v>71</v>
      </c>
      <c r="I361" t="s">
        <v>3617</v>
      </c>
      <c r="J361" t="s">
        <v>1208</v>
      </c>
      <c r="K361" t="s">
        <v>868</v>
      </c>
      <c r="L361" t="s">
        <v>3618</v>
      </c>
      <c r="M361" t="s">
        <v>1208</v>
      </c>
      <c r="N361" t="s">
        <v>1209</v>
      </c>
      <c r="Q361" t="s">
        <v>3599</v>
      </c>
      <c r="R361" t="s">
        <v>3599</v>
      </c>
      <c r="S361" t="s">
        <v>3599</v>
      </c>
      <c r="T361">
        <v>1</v>
      </c>
      <c r="U361" t="s">
        <v>868</v>
      </c>
      <c r="V361">
        <v>5</v>
      </c>
      <c r="W361">
        <v>0</v>
      </c>
      <c r="X361">
        <v>0</v>
      </c>
    </row>
    <row r="362" spans="1:24" x14ac:dyDescent="0.3">
      <c r="A362" t="s">
        <v>1210</v>
      </c>
      <c r="B362" t="s">
        <v>1211</v>
      </c>
      <c r="C362">
        <v>1</v>
      </c>
      <c r="D362" t="s">
        <v>11</v>
      </c>
      <c r="E362" t="s">
        <v>21</v>
      </c>
      <c r="F362" t="s">
        <v>22</v>
      </c>
      <c r="H362" t="s">
        <v>71</v>
      </c>
      <c r="I362" t="s">
        <v>3617</v>
      </c>
      <c r="J362" t="s">
        <v>1210</v>
      </c>
      <c r="K362" t="s">
        <v>868</v>
      </c>
      <c r="L362" t="s">
        <v>3618</v>
      </c>
      <c r="M362" t="s">
        <v>1210</v>
      </c>
      <c r="N362" t="s">
        <v>1211</v>
      </c>
      <c r="O362" t="s">
        <v>1212</v>
      </c>
      <c r="Q362" t="s">
        <v>3599</v>
      </c>
      <c r="R362" t="s">
        <v>3599</v>
      </c>
      <c r="S362" t="s">
        <v>3599</v>
      </c>
      <c r="T362">
        <v>1</v>
      </c>
      <c r="U362" t="s">
        <v>868</v>
      </c>
      <c r="V362">
        <v>5</v>
      </c>
      <c r="W362">
        <v>0</v>
      </c>
      <c r="X362">
        <v>0</v>
      </c>
    </row>
    <row r="363" spans="1:24" x14ac:dyDescent="0.3">
      <c r="A363" t="s">
        <v>1213</v>
      </c>
      <c r="B363" t="s">
        <v>1214</v>
      </c>
      <c r="C363">
        <v>1</v>
      </c>
      <c r="D363" t="s">
        <v>11</v>
      </c>
      <c r="E363" t="s">
        <v>21</v>
      </c>
      <c r="F363" t="s">
        <v>22</v>
      </c>
      <c r="H363" t="s">
        <v>71</v>
      </c>
      <c r="I363" t="s">
        <v>3617</v>
      </c>
      <c r="J363" t="s">
        <v>1213</v>
      </c>
      <c r="K363" t="s">
        <v>868</v>
      </c>
      <c r="L363" t="s">
        <v>3618</v>
      </c>
      <c r="M363" t="s">
        <v>1213</v>
      </c>
      <c r="N363" t="s">
        <v>1214</v>
      </c>
      <c r="Q363" t="s">
        <v>3599</v>
      </c>
      <c r="R363" t="s">
        <v>3599</v>
      </c>
      <c r="S363" t="s">
        <v>3599</v>
      </c>
      <c r="T363">
        <v>1</v>
      </c>
      <c r="U363" t="s">
        <v>868</v>
      </c>
      <c r="V363">
        <v>5</v>
      </c>
      <c r="W363">
        <v>0</v>
      </c>
      <c r="X363">
        <v>0</v>
      </c>
    </row>
    <row r="364" spans="1:24" x14ac:dyDescent="0.3">
      <c r="A364" t="s">
        <v>1215</v>
      </c>
      <c r="B364" t="s">
        <v>1216</v>
      </c>
      <c r="C364">
        <v>1</v>
      </c>
      <c r="D364" t="s">
        <v>11</v>
      </c>
      <c r="E364" t="s">
        <v>21</v>
      </c>
      <c r="F364" t="s">
        <v>22</v>
      </c>
      <c r="H364" t="s">
        <v>71</v>
      </c>
      <c r="I364" t="s">
        <v>3617</v>
      </c>
      <c r="J364" t="s">
        <v>1215</v>
      </c>
      <c r="K364" t="s">
        <v>868</v>
      </c>
      <c r="L364" t="s">
        <v>3618</v>
      </c>
      <c r="M364" t="s">
        <v>1215</v>
      </c>
      <c r="N364" t="s">
        <v>1216</v>
      </c>
      <c r="O364" t="s">
        <v>1217</v>
      </c>
      <c r="Q364" t="s">
        <v>3599</v>
      </c>
      <c r="R364" t="s">
        <v>3599</v>
      </c>
      <c r="S364" t="s">
        <v>3599</v>
      </c>
      <c r="T364">
        <v>1</v>
      </c>
      <c r="U364" t="s">
        <v>868</v>
      </c>
      <c r="V364">
        <v>5</v>
      </c>
      <c r="W364">
        <v>0</v>
      </c>
      <c r="X364">
        <v>0</v>
      </c>
    </row>
    <row r="365" spans="1:24" x14ac:dyDescent="0.3">
      <c r="A365" t="s">
        <v>1218</v>
      </c>
      <c r="B365" t="s">
        <v>1219</v>
      </c>
      <c r="C365">
        <v>1</v>
      </c>
      <c r="D365" t="s">
        <v>11</v>
      </c>
      <c r="E365" t="s">
        <v>21</v>
      </c>
      <c r="F365" t="s">
        <v>22</v>
      </c>
      <c r="H365" t="s">
        <v>71</v>
      </c>
      <c r="I365" t="s">
        <v>3617</v>
      </c>
      <c r="J365" t="s">
        <v>1218</v>
      </c>
      <c r="K365" t="s">
        <v>868</v>
      </c>
      <c r="L365" t="s">
        <v>3618</v>
      </c>
      <c r="M365" t="s">
        <v>1218</v>
      </c>
      <c r="N365" t="s">
        <v>1219</v>
      </c>
      <c r="O365" t="s">
        <v>1220</v>
      </c>
      <c r="Q365" t="s">
        <v>3599</v>
      </c>
      <c r="R365" t="s">
        <v>3599</v>
      </c>
      <c r="S365" t="s">
        <v>3599</v>
      </c>
      <c r="T365">
        <v>1</v>
      </c>
      <c r="U365" t="s">
        <v>868</v>
      </c>
      <c r="V365">
        <v>5</v>
      </c>
      <c r="W365">
        <v>0</v>
      </c>
      <c r="X365">
        <v>0</v>
      </c>
    </row>
    <row r="366" spans="1:24" x14ac:dyDescent="0.3">
      <c r="A366" t="s">
        <v>1221</v>
      </c>
      <c r="B366" t="s">
        <v>1222</v>
      </c>
      <c r="C366">
        <v>1</v>
      </c>
      <c r="D366" t="s">
        <v>11</v>
      </c>
      <c r="E366" t="s">
        <v>21</v>
      </c>
      <c r="F366" t="s">
        <v>22</v>
      </c>
      <c r="H366" t="s">
        <v>71</v>
      </c>
      <c r="I366" t="s">
        <v>3617</v>
      </c>
      <c r="J366" t="s">
        <v>1221</v>
      </c>
      <c r="K366" t="s">
        <v>868</v>
      </c>
      <c r="L366" t="s">
        <v>3618</v>
      </c>
      <c r="M366" t="s">
        <v>1221</v>
      </c>
      <c r="N366" t="s">
        <v>1222</v>
      </c>
      <c r="Q366" t="s">
        <v>3599</v>
      </c>
      <c r="R366" t="s">
        <v>3599</v>
      </c>
      <c r="S366" t="s">
        <v>3599</v>
      </c>
      <c r="T366">
        <v>1</v>
      </c>
      <c r="U366" t="s">
        <v>868</v>
      </c>
      <c r="V366">
        <v>5</v>
      </c>
      <c r="W366">
        <v>0</v>
      </c>
      <c r="X366">
        <v>0</v>
      </c>
    </row>
    <row r="367" spans="1:24" x14ac:dyDescent="0.3">
      <c r="A367" t="s">
        <v>1223</v>
      </c>
      <c r="B367" t="s">
        <v>1224</v>
      </c>
      <c r="C367">
        <v>1</v>
      </c>
      <c r="D367" t="s">
        <v>11</v>
      </c>
      <c r="E367" t="s">
        <v>21</v>
      </c>
      <c r="F367" t="s">
        <v>22</v>
      </c>
      <c r="H367" t="s">
        <v>71</v>
      </c>
      <c r="I367" t="s">
        <v>3617</v>
      </c>
      <c r="J367" t="s">
        <v>1223</v>
      </c>
      <c r="K367" t="s">
        <v>868</v>
      </c>
      <c r="L367" t="s">
        <v>3618</v>
      </c>
      <c r="M367" t="s">
        <v>1223</v>
      </c>
      <c r="N367" t="s">
        <v>1224</v>
      </c>
      <c r="Q367" t="s">
        <v>3599</v>
      </c>
      <c r="R367" t="s">
        <v>3599</v>
      </c>
      <c r="S367" t="s">
        <v>3599</v>
      </c>
      <c r="T367">
        <v>1</v>
      </c>
      <c r="U367" t="s">
        <v>868</v>
      </c>
      <c r="V367">
        <v>5</v>
      </c>
      <c r="W367">
        <v>0</v>
      </c>
      <c r="X367">
        <v>0</v>
      </c>
    </row>
    <row r="368" spans="1:24" x14ac:dyDescent="0.3">
      <c r="A368" t="s">
        <v>1225</v>
      </c>
      <c r="B368" t="s">
        <v>1226</v>
      </c>
      <c r="C368">
        <v>1</v>
      </c>
      <c r="D368" t="s">
        <v>11</v>
      </c>
      <c r="E368" t="s">
        <v>21</v>
      </c>
      <c r="F368" t="s">
        <v>22</v>
      </c>
      <c r="H368" t="s">
        <v>71</v>
      </c>
      <c r="I368" t="s">
        <v>3617</v>
      </c>
      <c r="J368" t="s">
        <v>1225</v>
      </c>
      <c r="K368" t="s">
        <v>868</v>
      </c>
      <c r="L368" t="s">
        <v>3618</v>
      </c>
      <c r="M368" t="s">
        <v>1225</v>
      </c>
      <c r="N368" t="s">
        <v>1226</v>
      </c>
      <c r="O368" t="s">
        <v>1228</v>
      </c>
      <c r="P368" t="s">
        <v>1227</v>
      </c>
      <c r="Q368" t="s">
        <v>3599</v>
      </c>
      <c r="R368" t="s">
        <v>3599</v>
      </c>
      <c r="S368" t="s">
        <v>3599</v>
      </c>
      <c r="T368">
        <v>1</v>
      </c>
      <c r="U368" t="s">
        <v>868</v>
      </c>
      <c r="V368">
        <v>5</v>
      </c>
      <c r="W368">
        <v>0</v>
      </c>
      <c r="X368">
        <v>0</v>
      </c>
    </row>
    <row r="369" spans="1:24" x14ac:dyDescent="0.3">
      <c r="A369" t="s">
        <v>1229</v>
      </c>
      <c r="B369" t="s">
        <v>1230</v>
      </c>
      <c r="C369">
        <v>1</v>
      </c>
      <c r="D369" t="s">
        <v>11</v>
      </c>
      <c r="E369" t="s">
        <v>21</v>
      </c>
      <c r="F369" t="s">
        <v>22</v>
      </c>
      <c r="H369" t="s">
        <v>71</v>
      </c>
      <c r="I369" t="s">
        <v>3617</v>
      </c>
      <c r="J369" t="s">
        <v>1229</v>
      </c>
      <c r="K369" t="s">
        <v>868</v>
      </c>
      <c r="L369" t="s">
        <v>3618</v>
      </c>
      <c r="M369" t="s">
        <v>1229</v>
      </c>
      <c r="N369" t="s">
        <v>1230</v>
      </c>
      <c r="Q369" t="s">
        <v>3599</v>
      </c>
      <c r="R369" t="s">
        <v>3599</v>
      </c>
      <c r="S369" t="s">
        <v>3599</v>
      </c>
      <c r="T369">
        <v>1</v>
      </c>
      <c r="U369" t="s">
        <v>868</v>
      </c>
      <c r="V369">
        <v>5</v>
      </c>
      <c r="W369">
        <v>0</v>
      </c>
      <c r="X369">
        <v>0</v>
      </c>
    </row>
    <row r="370" spans="1:24" x14ac:dyDescent="0.3">
      <c r="A370" t="s">
        <v>1231</v>
      </c>
      <c r="B370" t="s">
        <v>1232</v>
      </c>
      <c r="C370">
        <v>1</v>
      </c>
      <c r="D370" t="s">
        <v>11</v>
      </c>
      <c r="E370" t="s">
        <v>21</v>
      </c>
      <c r="F370" t="s">
        <v>22</v>
      </c>
      <c r="H370" t="s">
        <v>71</v>
      </c>
      <c r="I370" t="s">
        <v>3617</v>
      </c>
      <c r="K370" t="s">
        <v>868</v>
      </c>
      <c r="L370" t="s">
        <v>3618</v>
      </c>
      <c r="N370" t="s">
        <v>1232</v>
      </c>
      <c r="Q370" t="s">
        <v>3599</v>
      </c>
      <c r="R370" t="s">
        <v>3599</v>
      </c>
      <c r="S370" t="s">
        <v>3599</v>
      </c>
      <c r="T370">
        <v>1</v>
      </c>
      <c r="U370" t="s">
        <v>868</v>
      </c>
      <c r="V370">
        <v>5</v>
      </c>
      <c r="W370">
        <v>0</v>
      </c>
      <c r="X370">
        <v>0</v>
      </c>
    </row>
    <row r="371" spans="1:24" x14ac:dyDescent="0.3">
      <c r="A371" t="s">
        <v>1233</v>
      </c>
      <c r="B371" t="s">
        <v>1234</v>
      </c>
      <c r="C371">
        <v>1</v>
      </c>
      <c r="D371" t="s">
        <v>11</v>
      </c>
      <c r="E371" t="s">
        <v>21</v>
      </c>
      <c r="F371" t="s">
        <v>22</v>
      </c>
      <c r="H371" t="s">
        <v>71</v>
      </c>
      <c r="I371" t="s">
        <v>3617</v>
      </c>
      <c r="J371" t="s">
        <v>1233</v>
      </c>
      <c r="K371" t="s">
        <v>868</v>
      </c>
      <c r="L371" t="s">
        <v>3618</v>
      </c>
      <c r="M371" t="s">
        <v>1233</v>
      </c>
      <c r="N371" t="s">
        <v>1234</v>
      </c>
      <c r="Q371" t="s">
        <v>3599</v>
      </c>
      <c r="R371" t="s">
        <v>3599</v>
      </c>
      <c r="S371" t="s">
        <v>3599</v>
      </c>
      <c r="T371">
        <v>1</v>
      </c>
      <c r="U371" t="s">
        <v>868</v>
      </c>
      <c r="V371">
        <v>5</v>
      </c>
      <c r="W371">
        <v>0</v>
      </c>
      <c r="X371">
        <v>0</v>
      </c>
    </row>
    <row r="372" spans="1:24" x14ac:dyDescent="0.3">
      <c r="A372" t="s">
        <v>1235</v>
      </c>
      <c r="B372" t="s">
        <v>1236</v>
      </c>
      <c r="C372">
        <v>1</v>
      </c>
      <c r="D372" t="s">
        <v>11</v>
      </c>
      <c r="E372" t="s">
        <v>21</v>
      </c>
      <c r="F372" t="s">
        <v>22</v>
      </c>
      <c r="H372" t="s">
        <v>71</v>
      </c>
      <c r="I372" t="s">
        <v>3617</v>
      </c>
      <c r="J372" t="s">
        <v>1235</v>
      </c>
      <c r="K372" t="s">
        <v>868</v>
      </c>
      <c r="L372" t="s">
        <v>3618</v>
      </c>
      <c r="M372" t="s">
        <v>1235</v>
      </c>
      <c r="N372" t="s">
        <v>1236</v>
      </c>
      <c r="Q372" t="s">
        <v>3599</v>
      </c>
      <c r="R372" t="s">
        <v>3599</v>
      </c>
      <c r="S372" t="s">
        <v>3599</v>
      </c>
      <c r="T372">
        <v>1</v>
      </c>
      <c r="U372" t="s">
        <v>868</v>
      </c>
      <c r="V372">
        <v>5</v>
      </c>
      <c r="W372">
        <v>0</v>
      </c>
      <c r="X372">
        <v>0</v>
      </c>
    </row>
    <row r="373" spans="1:24" x14ac:dyDescent="0.3">
      <c r="A373" t="s">
        <v>1237</v>
      </c>
      <c r="B373" t="s">
        <v>1238</v>
      </c>
      <c r="C373">
        <v>1</v>
      </c>
      <c r="D373" t="s">
        <v>11</v>
      </c>
      <c r="E373" t="s">
        <v>21</v>
      </c>
      <c r="F373" t="s">
        <v>22</v>
      </c>
      <c r="H373" t="s">
        <v>71</v>
      </c>
      <c r="I373" t="s">
        <v>3617</v>
      </c>
      <c r="J373" t="s">
        <v>1237</v>
      </c>
      <c r="K373" t="s">
        <v>868</v>
      </c>
      <c r="L373" t="s">
        <v>3618</v>
      </c>
      <c r="M373" t="s">
        <v>1237</v>
      </c>
      <c r="N373" t="s">
        <v>1238</v>
      </c>
      <c r="Q373" t="s">
        <v>3599</v>
      </c>
      <c r="R373" t="s">
        <v>3599</v>
      </c>
      <c r="S373" t="s">
        <v>3599</v>
      </c>
      <c r="T373">
        <v>1</v>
      </c>
      <c r="U373" t="s">
        <v>868</v>
      </c>
      <c r="V373">
        <v>5</v>
      </c>
      <c r="W373">
        <v>0</v>
      </c>
      <c r="X373">
        <v>0</v>
      </c>
    </row>
    <row r="374" spans="1:24" x14ac:dyDescent="0.3">
      <c r="A374" t="s">
        <v>1239</v>
      </c>
      <c r="B374" t="s">
        <v>1240</v>
      </c>
      <c r="C374">
        <v>1</v>
      </c>
      <c r="D374" t="s">
        <v>11</v>
      </c>
      <c r="E374" t="s">
        <v>21</v>
      </c>
      <c r="F374" t="s">
        <v>22</v>
      </c>
      <c r="H374" t="s">
        <v>71</v>
      </c>
      <c r="I374" t="s">
        <v>3617</v>
      </c>
      <c r="J374" t="s">
        <v>1239</v>
      </c>
      <c r="K374" t="s">
        <v>868</v>
      </c>
      <c r="L374" t="s">
        <v>3618</v>
      </c>
      <c r="M374" t="s">
        <v>1239</v>
      </c>
      <c r="N374" t="s">
        <v>1240</v>
      </c>
      <c r="Q374" t="s">
        <v>3599</v>
      </c>
      <c r="R374" t="s">
        <v>3599</v>
      </c>
      <c r="S374" t="s">
        <v>3599</v>
      </c>
      <c r="T374">
        <v>1</v>
      </c>
      <c r="U374" t="s">
        <v>868</v>
      </c>
      <c r="V374">
        <v>5</v>
      </c>
      <c r="W374">
        <v>0</v>
      </c>
      <c r="X374">
        <v>0</v>
      </c>
    </row>
    <row r="375" spans="1:24" x14ac:dyDescent="0.3">
      <c r="A375" t="s">
        <v>1241</v>
      </c>
      <c r="B375" t="s">
        <v>1242</v>
      </c>
      <c r="C375">
        <v>1</v>
      </c>
      <c r="D375" t="s">
        <v>11</v>
      </c>
      <c r="E375" t="s">
        <v>21</v>
      </c>
      <c r="F375" t="s">
        <v>22</v>
      </c>
      <c r="H375" t="s">
        <v>71</v>
      </c>
      <c r="I375" t="s">
        <v>3617</v>
      </c>
      <c r="J375" t="s">
        <v>1241</v>
      </c>
      <c r="K375" t="s">
        <v>868</v>
      </c>
      <c r="L375" t="s">
        <v>3618</v>
      </c>
      <c r="M375" t="s">
        <v>1241</v>
      </c>
      <c r="N375" t="s">
        <v>1242</v>
      </c>
      <c r="Q375" t="s">
        <v>3599</v>
      </c>
      <c r="R375" t="s">
        <v>3599</v>
      </c>
      <c r="S375" t="s">
        <v>3599</v>
      </c>
      <c r="T375">
        <v>1</v>
      </c>
      <c r="U375" t="s">
        <v>868</v>
      </c>
      <c r="V375">
        <v>5</v>
      </c>
      <c r="W375">
        <v>0</v>
      </c>
      <c r="X375">
        <v>0</v>
      </c>
    </row>
    <row r="376" spans="1:24" x14ac:dyDescent="0.3">
      <c r="A376" t="s">
        <v>1243</v>
      </c>
      <c r="B376" t="s">
        <v>1244</v>
      </c>
      <c r="C376">
        <v>1</v>
      </c>
      <c r="D376" t="s">
        <v>11</v>
      </c>
      <c r="E376" t="s">
        <v>21</v>
      </c>
      <c r="F376" t="s">
        <v>22</v>
      </c>
      <c r="H376" t="s">
        <v>71</v>
      </c>
      <c r="I376" t="s">
        <v>3617</v>
      </c>
      <c r="J376" t="s">
        <v>1243</v>
      </c>
      <c r="K376" t="s">
        <v>868</v>
      </c>
      <c r="L376" t="s">
        <v>3618</v>
      </c>
      <c r="M376" t="s">
        <v>1243</v>
      </c>
      <c r="N376" t="s">
        <v>1244</v>
      </c>
      <c r="Q376" t="s">
        <v>3599</v>
      </c>
      <c r="R376" t="s">
        <v>3599</v>
      </c>
      <c r="S376" t="s">
        <v>3599</v>
      </c>
      <c r="T376">
        <v>1</v>
      </c>
      <c r="U376" t="s">
        <v>868</v>
      </c>
      <c r="V376">
        <v>5</v>
      </c>
      <c r="W376">
        <v>0</v>
      </c>
      <c r="X376">
        <v>0</v>
      </c>
    </row>
    <row r="377" spans="1:24" x14ac:dyDescent="0.3">
      <c r="A377" t="s">
        <v>1245</v>
      </c>
      <c r="B377" t="s">
        <v>1246</v>
      </c>
      <c r="C377">
        <v>1</v>
      </c>
      <c r="D377" t="s">
        <v>11</v>
      </c>
      <c r="E377" t="s">
        <v>21</v>
      </c>
      <c r="F377" t="s">
        <v>22</v>
      </c>
      <c r="H377" t="s">
        <v>71</v>
      </c>
      <c r="I377" t="s">
        <v>3617</v>
      </c>
      <c r="K377" t="s">
        <v>868</v>
      </c>
      <c r="L377" t="s">
        <v>3618</v>
      </c>
      <c r="N377" t="s">
        <v>1246</v>
      </c>
      <c r="Q377" t="s">
        <v>3599</v>
      </c>
      <c r="R377" t="s">
        <v>3599</v>
      </c>
      <c r="S377" t="s">
        <v>3599</v>
      </c>
      <c r="T377">
        <v>1</v>
      </c>
      <c r="U377" t="s">
        <v>868</v>
      </c>
      <c r="V377">
        <v>5</v>
      </c>
      <c r="W377">
        <v>0</v>
      </c>
      <c r="X377">
        <v>0</v>
      </c>
    </row>
    <row r="378" spans="1:24" x14ac:dyDescent="0.3">
      <c r="A378" t="s">
        <v>1247</v>
      </c>
      <c r="B378" t="s">
        <v>1248</v>
      </c>
      <c r="C378">
        <v>1</v>
      </c>
      <c r="D378" t="s">
        <v>11</v>
      </c>
      <c r="E378" t="s">
        <v>21</v>
      </c>
      <c r="F378" t="s">
        <v>22</v>
      </c>
      <c r="H378" t="s">
        <v>71</v>
      </c>
      <c r="I378" t="s">
        <v>3617</v>
      </c>
      <c r="J378" t="s">
        <v>1247</v>
      </c>
      <c r="K378" t="s">
        <v>868</v>
      </c>
      <c r="L378" t="s">
        <v>3618</v>
      </c>
      <c r="M378" t="s">
        <v>1247</v>
      </c>
      <c r="N378" t="s">
        <v>1248</v>
      </c>
      <c r="O378" t="s">
        <v>1250</v>
      </c>
      <c r="P378" t="s">
        <v>1249</v>
      </c>
      <c r="Q378" t="s">
        <v>3599</v>
      </c>
      <c r="R378" t="s">
        <v>3599</v>
      </c>
      <c r="S378" t="s">
        <v>3599</v>
      </c>
      <c r="T378">
        <v>1</v>
      </c>
      <c r="U378" t="s">
        <v>868</v>
      </c>
      <c r="V378">
        <v>5</v>
      </c>
      <c r="W378">
        <v>0</v>
      </c>
      <c r="X378">
        <v>0</v>
      </c>
    </row>
    <row r="379" spans="1:24" x14ac:dyDescent="0.3">
      <c r="A379" t="s">
        <v>1251</v>
      </c>
      <c r="B379" t="s">
        <v>1252</v>
      </c>
      <c r="C379">
        <v>1</v>
      </c>
      <c r="D379" t="s">
        <v>11</v>
      </c>
      <c r="E379" t="s">
        <v>21</v>
      </c>
      <c r="F379" t="s">
        <v>22</v>
      </c>
      <c r="H379" t="s">
        <v>71</v>
      </c>
      <c r="I379" t="s">
        <v>3617</v>
      </c>
      <c r="J379" t="s">
        <v>1251</v>
      </c>
      <c r="K379" t="s">
        <v>868</v>
      </c>
      <c r="L379" t="s">
        <v>3618</v>
      </c>
      <c r="M379" t="s">
        <v>1251</v>
      </c>
      <c r="N379" t="s">
        <v>1252</v>
      </c>
      <c r="Q379" t="s">
        <v>3599</v>
      </c>
      <c r="R379" t="s">
        <v>3599</v>
      </c>
      <c r="S379" t="s">
        <v>3599</v>
      </c>
      <c r="T379">
        <v>1</v>
      </c>
      <c r="U379" t="s">
        <v>868</v>
      </c>
      <c r="V379">
        <v>5</v>
      </c>
      <c r="W379">
        <v>0</v>
      </c>
      <c r="X379">
        <v>0</v>
      </c>
    </row>
    <row r="380" spans="1:24" x14ac:dyDescent="0.3">
      <c r="A380" t="s">
        <v>1253</v>
      </c>
      <c r="B380" t="s">
        <v>1254</v>
      </c>
      <c r="C380">
        <v>1</v>
      </c>
      <c r="D380" t="s">
        <v>11</v>
      </c>
      <c r="E380" t="s">
        <v>21</v>
      </c>
      <c r="F380" t="s">
        <v>22</v>
      </c>
      <c r="H380" t="s">
        <v>71</v>
      </c>
      <c r="I380" t="s">
        <v>3617</v>
      </c>
      <c r="J380" t="s">
        <v>1253</v>
      </c>
      <c r="K380" t="s">
        <v>868</v>
      </c>
      <c r="L380" t="s">
        <v>3618</v>
      </c>
      <c r="M380" t="s">
        <v>1253</v>
      </c>
      <c r="N380" t="s">
        <v>1254</v>
      </c>
      <c r="Q380" t="s">
        <v>3599</v>
      </c>
      <c r="R380" t="s">
        <v>3599</v>
      </c>
      <c r="S380" t="s">
        <v>3599</v>
      </c>
      <c r="T380">
        <v>1</v>
      </c>
      <c r="U380" t="s">
        <v>868</v>
      </c>
      <c r="V380">
        <v>5</v>
      </c>
      <c r="W380">
        <v>0</v>
      </c>
      <c r="X380">
        <v>0</v>
      </c>
    </row>
    <row r="381" spans="1:24" x14ac:dyDescent="0.3">
      <c r="A381" t="s">
        <v>1255</v>
      </c>
      <c r="B381" t="s">
        <v>1256</v>
      </c>
      <c r="C381">
        <v>1</v>
      </c>
      <c r="D381" t="s">
        <v>11</v>
      </c>
      <c r="E381" t="s">
        <v>21</v>
      </c>
      <c r="F381" t="s">
        <v>22</v>
      </c>
      <c r="H381" t="s">
        <v>71</v>
      </c>
      <c r="I381" t="s">
        <v>3617</v>
      </c>
      <c r="J381" t="s">
        <v>1255</v>
      </c>
      <c r="K381" t="s">
        <v>868</v>
      </c>
      <c r="L381" t="s">
        <v>3618</v>
      </c>
      <c r="M381" t="s">
        <v>1255</v>
      </c>
      <c r="N381" t="s">
        <v>1256</v>
      </c>
      <c r="Q381" t="s">
        <v>3599</v>
      </c>
      <c r="R381" t="s">
        <v>3599</v>
      </c>
      <c r="S381" t="s">
        <v>3599</v>
      </c>
      <c r="T381">
        <v>1</v>
      </c>
      <c r="U381" t="s">
        <v>868</v>
      </c>
      <c r="V381">
        <v>5</v>
      </c>
      <c r="W381">
        <v>0</v>
      </c>
      <c r="X381">
        <v>0</v>
      </c>
    </row>
    <row r="382" spans="1:24" x14ac:dyDescent="0.3">
      <c r="A382" t="s">
        <v>1257</v>
      </c>
      <c r="B382" t="s">
        <v>1258</v>
      </c>
      <c r="C382">
        <v>1</v>
      </c>
      <c r="D382" t="s">
        <v>11</v>
      </c>
      <c r="E382" t="s">
        <v>21</v>
      </c>
      <c r="F382" t="s">
        <v>22</v>
      </c>
      <c r="H382" t="s">
        <v>71</v>
      </c>
      <c r="I382" t="s">
        <v>3617</v>
      </c>
      <c r="J382" t="s">
        <v>1257</v>
      </c>
      <c r="K382" t="s">
        <v>868</v>
      </c>
      <c r="L382" t="s">
        <v>3618</v>
      </c>
      <c r="M382" t="s">
        <v>1257</v>
      </c>
      <c r="N382" t="s">
        <v>1258</v>
      </c>
      <c r="O382" t="s">
        <v>1130</v>
      </c>
      <c r="Q382" t="s">
        <v>3599</v>
      </c>
      <c r="R382" t="s">
        <v>3599</v>
      </c>
      <c r="S382" t="s">
        <v>3599</v>
      </c>
      <c r="T382">
        <v>1</v>
      </c>
      <c r="U382" t="s">
        <v>868</v>
      </c>
      <c r="V382">
        <v>5</v>
      </c>
      <c r="W382">
        <v>0</v>
      </c>
      <c r="X382">
        <v>0</v>
      </c>
    </row>
    <row r="383" spans="1:24" x14ac:dyDescent="0.3">
      <c r="A383" t="s">
        <v>1259</v>
      </c>
      <c r="B383" t="s">
        <v>1260</v>
      </c>
      <c r="C383">
        <v>1</v>
      </c>
      <c r="D383" t="s">
        <v>11</v>
      </c>
      <c r="E383" t="s">
        <v>21</v>
      </c>
      <c r="F383" t="s">
        <v>22</v>
      </c>
      <c r="H383" t="s">
        <v>71</v>
      </c>
      <c r="I383" t="s">
        <v>3617</v>
      </c>
      <c r="J383" t="s">
        <v>1259</v>
      </c>
      <c r="K383" t="s">
        <v>868</v>
      </c>
      <c r="L383" t="s">
        <v>3618</v>
      </c>
      <c r="M383" t="s">
        <v>1259</v>
      </c>
      <c r="N383" t="s">
        <v>1260</v>
      </c>
      <c r="Q383" t="s">
        <v>3599</v>
      </c>
      <c r="R383" t="s">
        <v>3599</v>
      </c>
      <c r="S383" t="s">
        <v>3599</v>
      </c>
      <c r="T383">
        <v>1</v>
      </c>
      <c r="U383" t="s">
        <v>868</v>
      </c>
      <c r="V383">
        <v>5</v>
      </c>
      <c r="W383">
        <v>0</v>
      </c>
      <c r="X383">
        <v>0</v>
      </c>
    </row>
    <row r="384" spans="1:24" x14ac:dyDescent="0.3">
      <c r="A384" t="s">
        <v>1261</v>
      </c>
      <c r="B384" t="s">
        <v>1262</v>
      </c>
      <c r="C384">
        <v>1</v>
      </c>
      <c r="D384" t="s">
        <v>11</v>
      </c>
      <c r="E384" t="s">
        <v>21</v>
      </c>
      <c r="F384" t="s">
        <v>22</v>
      </c>
      <c r="H384" t="s">
        <v>71</v>
      </c>
      <c r="I384" t="s">
        <v>3617</v>
      </c>
      <c r="J384" t="s">
        <v>1261</v>
      </c>
      <c r="K384" t="s">
        <v>868</v>
      </c>
      <c r="L384" t="s">
        <v>3618</v>
      </c>
      <c r="M384" t="s">
        <v>1261</v>
      </c>
      <c r="N384" t="s">
        <v>1262</v>
      </c>
      <c r="Q384" t="s">
        <v>3599</v>
      </c>
      <c r="R384" t="s">
        <v>3599</v>
      </c>
      <c r="S384" t="s">
        <v>3599</v>
      </c>
      <c r="T384">
        <v>1</v>
      </c>
      <c r="U384" t="s">
        <v>868</v>
      </c>
      <c r="V384">
        <v>5</v>
      </c>
      <c r="W384">
        <v>0</v>
      </c>
      <c r="X384">
        <v>0</v>
      </c>
    </row>
    <row r="385" spans="1:24" x14ac:dyDescent="0.3">
      <c r="A385" t="s">
        <v>1263</v>
      </c>
      <c r="B385" t="s">
        <v>1264</v>
      </c>
      <c r="C385">
        <v>1</v>
      </c>
      <c r="D385" t="s">
        <v>11</v>
      </c>
      <c r="E385" t="s">
        <v>21</v>
      </c>
      <c r="F385" t="s">
        <v>22</v>
      </c>
      <c r="H385" t="s">
        <v>71</v>
      </c>
      <c r="I385" t="s">
        <v>3617</v>
      </c>
      <c r="J385" t="s">
        <v>1263</v>
      </c>
      <c r="K385" t="s">
        <v>868</v>
      </c>
      <c r="L385" t="s">
        <v>3618</v>
      </c>
      <c r="M385" t="s">
        <v>1263</v>
      </c>
      <c r="N385" t="s">
        <v>1264</v>
      </c>
      <c r="Q385" t="s">
        <v>3599</v>
      </c>
      <c r="R385" t="s">
        <v>3599</v>
      </c>
      <c r="S385" t="s">
        <v>3599</v>
      </c>
      <c r="T385">
        <v>1</v>
      </c>
      <c r="U385" t="s">
        <v>868</v>
      </c>
      <c r="V385">
        <v>5</v>
      </c>
      <c r="W385">
        <v>0</v>
      </c>
      <c r="X385">
        <v>0</v>
      </c>
    </row>
    <row r="386" spans="1:24" x14ac:dyDescent="0.3">
      <c r="A386" t="s">
        <v>1265</v>
      </c>
      <c r="B386" t="s">
        <v>1266</v>
      </c>
      <c r="C386">
        <v>1</v>
      </c>
      <c r="D386" t="s">
        <v>11</v>
      </c>
      <c r="E386" t="s">
        <v>21</v>
      </c>
      <c r="F386" t="s">
        <v>22</v>
      </c>
      <c r="H386" t="s">
        <v>71</v>
      </c>
      <c r="I386" t="s">
        <v>3617</v>
      </c>
      <c r="J386" t="s">
        <v>1265</v>
      </c>
      <c r="K386" t="s">
        <v>868</v>
      </c>
      <c r="L386" t="s">
        <v>3618</v>
      </c>
      <c r="M386" t="s">
        <v>1265</v>
      </c>
      <c r="N386" t="s">
        <v>1266</v>
      </c>
      <c r="Q386" t="s">
        <v>3599</v>
      </c>
      <c r="R386" t="s">
        <v>3599</v>
      </c>
      <c r="S386" t="s">
        <v>3599</v>
      </c>
      <c r="T386">
        <v>1</v>
      </c>
      <c r="U386" t="s">
        <v>868</v>
      </c>
      <c r="V386">
        <v>5</v>
      </c>
      <c r="W386">
        <v>0</v>
      </c>
      <c r="X386">
        <v>0</v>
      </c>
    </row>
    <row r="387" spans="1:24" x14ac:dyDescent="0.3">
      <c r="A387" t="s">
        <v>1267</v>
      </c>
      <c r="B387" t="s">
        <v>1268</v>
      </c>
      <c r="C387">
        <v>1</v>
      </c>
      <c r="D387" t="s">
        <v>11</v>
      </c>
      <c r="E387" t="s">
        <v>21</v>
      </c>
      <c r="F387" t="s">
        <v>22</v>
      </c>
      <c r="H387" t="s">
        <v>71</v>
      </c>
      <c r="I387" t="s">
        <v>3617</v>
      </c>
      <c r="J387" t="s">
        <v>1267</v>
      </c>
      <c r="K387" t="s">
        <v>868</v>
      </c>
      <c r="L387" t="s">
        <v>3618</v>
      </c>
      <c r="M387" t="s">
        <v>1267</v>
      </c>
      <c r="N387" t="s">
        <v>1268</v>
      </c>
      <c r="Q387" t="s">
        <v>3599</v>
      </c>
      <c r="R387" t="s">
        <v>3599</v>
      </c>
      <c r="S387" t="s">
        <v>3599</v>
      </c>
      <c r="T387">
        <v>1</v>
      </c>
      <c r="U387" t="s">
        <v>868</v>
      </c>
      <c r="V387">
        <v>5</v>
      </c>
      <c r="W387">
        <v>0</v>
      </c>
      <c r="X387">
        <v>0</v>
      </c>
    </row>
    <row r="388" spans="1:24" x14ac:dyDescent="0.3">
      <c r="A388" t="s">
        <v>1269</v>
      </c>
      <c r="B388" t="s">
        <v>1270</v>
      </c>
      <c r="C388">
        <v>1</v>
      </c>
      <c r="D388" t="s">
        <v>11</v>
      </c>
      <c r="E388" t="s">
        <v>21</v>
      </c>
      <c r="F388" t="s">
        <v>22</v>
      </c>
      <c r="H388" t="s">
        <v>71</v>
      </c>
      <c r="I388" t="s">
        <v>3617</v>
      </c>
      <c r="J388" t="s">
        <v>1269</v>
      </c>
      <c r="K388" t="s">
        <v>868</v>
      </c>
      <c r="L388" t="s">
        <v>3618</v>
      </c>
      <c r="M388" t="s">
        <v>1269</v>
      </c>
      <c r="N388" t="s">
        <v>1270</v>
      </c>
      <c r="Q388" t="s">
        <v>3599</v>
      </c>
      <c r="R388" t="s">
        <v>3599</v>
      </c>
      <c r="S388" t="s">
        <v>3599</v>
      </c>
      <c r="T388">
        <v>1</v>
      </c>
      <c r="U388" t="s">
        <v>868</v>
      </c>
      <c r="V388">
        <v>5</v>
      </c>
      <c r="W388">
        <v>0</v>
      </c>
      <c r="X388">
        <v>0</v>
      </c>
    </row>
    <row r="389" spans="1:24" x14ac:dyDescent="0.3">
      <c r="A389" t="s">
        <v>1271</v>
      </c>
      <c r="B389" t="s">
        <v>1272</v>
      </c>
      <c r="C389">
        <v>1</v>
      </c>
      <c r="D389" t="s">
        <v>11</v>
      </c>
      <c r="E389" t="s">
        <v>21</v>
      </c>
      <c r="F389" t="s">
        <v>22</v>
      </c>
      <c r="H389" t="s">
        <v>71</v>
      </c>
      <c r="I389" t="s">
        <v>3617</v>
      </c>
      <c r="J389" t="s">
        <v>1271</v>
      </c>
      <c r="K389" t="s">
        <v>868</v>
      </c>
      <c r="L389" t="s">
        <v>3618</v>
      </c>
      <c r="M389" t="s">
        <v>1271</v>
      </c>
      <c r="N389" t="s">
        <v>1272</v>
      </c>
      <c r="Q389" t="s">
        <v>3599</v>
      </c>
      <c r="R389" t="s">
        <v>3599</v>
      </c>
      <c r="S389" t="s">
        <v>3599</v>
      </c>
      <c r="T389">
        <v>1</v>
      </c>
      <c r="U389" t="s">
        <v>868</v>
      </c>
      <c r="V389">
        <v>5</v>
      </c>
      <c r="W389">
        <v>0</v>
      </c>
      <c r="X389">
        <v>0</v>
      </c>
    </row>
    <row r="390" spans="1:24" x14ac:dyDescent="0.3">
      <c r="A390" t="s">
        <v>1273</v>
      </c>
      <c r="B390" t="s">
        <v>1274</v>
      </c>
      <c r="C390">
        <v>1</v>
      </c>
      <c r="D390" t="s">
        <v>11</v>
      </c>
      <c r="E390" t="s">
        <v>21</v>
      </c>
      <c r="F390" t="s">
        <v>22</v>
      </c>
      <c r="H390" t="s">
        <v>71</v>
      </c>
      <c r="I390" t="s">
        <v>3617</v>
      </c>
      <c r="J390" t="s">
        <v>1273</v>
      </c>
      <c r="K390" t="s">
        <v>868</v>
      </c>
      <c r="L390" t="s">
        <v>3618</v>
      </c>
      <c r="M390" t="s">
        <v>1273</v>
      </c>
      <c r="N390" t="s">
        <v>1274</v>
      </c>
      <c r="Q390" t="s">
        <v>3599</v>
      </c>
      <c r="R390" t="s">
        <v>3599</v>
      </c>
      <c r="S390" t="s">
        <v>3599</v>
      </c>
      <c r="T390">
        <v>1</v>
      </c>
      <c r="U390" t="s">
        <v>868</v>
      </c>
      <c r="V390">
        <v>5</v>
      </c>
      <c r="W390">
        <v>0</v>
      </c>
      <c r="X390">
        <v>0</v>
      </c>
    </row>
    <row r="391" spans="1:24" x14ac:dyDescent="0.3">
      <c r="A391" t="s">
        <v>1275</v>
      </c>
      <c r="B391" t="s">
        <v>1276</v>
      </c>
      <c r="C391">
        <v>1</v>
      </c>
      <c r="D391" t="s">
        <v>11</v>
      </c>
      <c r="E391" t="s">
        <v>21</v>
      </c>
      <c r="F391" t="s">
        <v>22</v>
      </c>
      <c r="H391" t="s">
        <v>71</v>
      </c>
      <c r="I391" t="s">
        <v>3617</v>
      </c>
      <c r="J391" t="s">
        <v>1275</v>
      </c>
      <c r="K391" t="s">
        <v>868</v>
      </c>
      <c r="L391" t="s">
        <v>3618</v>
      </c>
      <c r="M391" t="s">
        <v>1275</v>
      </c>
      <c r="N391" t="s">
        <v>1276</v>
      </c>
      <c r="Q391" t="s">
        <v>3599</v>
      </c>
      <c r="R391" t="s">
        <v>3599</v>
      </c>
      <c r="S391" t="s">
        <v>3599</v>
      </c>
      <c r="T391">
        <v>1</v>
      </c>
      <c r="U391" t="s">
        <v>868</v>
      </c>
      <c r="V391">
        <v>5</v>
      </c>
      <c r="W391">
        <v>0</v>
      </c>
      <c r="X391">
        <v>0</v>
      </c>
    </row>
    <row r="392" spans="1:24" x14ac:dyDescent="0.3">
      <c r="A392" t="s">
        <v>1277</v>
      </c>
      <c r="B392" t="s">
        <v>1278</v>
      </c>
      <c r="C392">
        <v>1</v>
      </c>
      <c r="D392" t="s">
        <v>11</v>
      </c>
      <c r="E392" t="s">
        <v>21</v>
      </c>
      <c r="F392" t="s">
        <v>22</v>
      </c>
      <c r="H392" t="s">
        <v>71</v>
      </c>
      <c r="I392" t="s">
        <v>3617</v>
      </c>
      <c r="J392" t="s">
        <v>1277</v>
      </c>
      <c r="K392" t="s">
        <v>868</v>
      </c>
      <c r="L392" t="s">
        <v>3618</v>
      </c>
      <c r="M392" t="s">
        <v>1277</v>
      </c>
      <c r="N392" t="s">
        <v>1278</v>
      </c>
      <c r="O392" t="s">
        <v>1279</v>
      </c>
      <c r="Q392" t="s">
        <v>3599</v>
      </c>
      <c r="R392" t="s">
        <v>3599</v>
      </c>
      <c r="S392" t="s">
        <v>3599</v>
      </c>
      <c r="T392">
        <v>1</v>
      </c>
      <c r="U392" t="s">
        <v>868</v>
      </c>
      <c r="V392">
        <v>5</v>
      </c>
      <c r="W392">
        <v>0</v>
      </c>
      <c r="X392">
        <v>0</v>
      </c>
    </row>
    <row r="393" spans="1:24" x14ac:dyDescent="0.3">
      <c r="A393" t="s">
        <v>1280</v>
      </c>
      <c r="B393" t="s">
        <v>1281</v>
      </c>
      <c r="C393">
        <v>1</v>
      </c>
      <c r="D393" t="s">
        <v>11</v>
      </c>
      <c r="E393" t="s">
        <v>21</v>
      </c>
      <c r="F393" t="s">
        <v>22</v>
      </c>
      <c r="H393" t="s">
        <v>71</v>
      </c>
      <c r="I393" t="s">
        <v>3617</v>
      </c>
      <c r="J393" t="s">
        <v>1280</v>
      </c>
      <c r="K393" t="s">
        <v>868</v>
      </c>
      <c r="L393" t="s">
        <v>3618</v>
      </c>
      <c r="M393" t="s">
        <v>1280</v>
      </c>
      <c r="N393" t="s">
        <v>1281</v>
      </c>
      <c r="Q393" t="s">
        <v>3599</v>
      </c>
      <c r="R393" t="s">
        <v>3599</v>
      </c>
      <c r="S393" t="s">
        <v>3599</v>
      </c>
      <c r="T393">
        <v>1</v>
      </c>
      <c r="U393" t="s">
        <v>868</v>
      </c>
      <c r="V393">
        <v>5</v>
      </c>
      <c r="W393">
        <v>0</v>
      </c>
      <c r="X393">
        <v>0</v>
      </c>
    </row>
    <row r="394" spans="1:24" x14ac:dyDescent="0.3">
      <c r="A394" t="s">
        <v>1282</v>
      </c>
      <c r="B394" t="s">
        <v>1283</v>
      </c>
      <c r="C394">
        <v>1</v>
      </c>
      <c r="D394" t="s">
        <v>11</v>
      </c>
      <c r="E394" t="s">
        <v>21</v>
      </c>
      <c r="F394" t="s">
        <v>22</v>
      </c>
      <c r="H394" t="s">
        <v>71</v>
      </c>
      <c r="I394" t="s">
        <v>3617</v>
      </c>
      <c r="J394" t="s">
        <v>1282</v>
      </c>
      <c r="K394" t="s">
        <v>868</v>
      </c>
      <c r="L394" t="s">
        <v>3618</v>
      </c>
      <c r="M394" t="s">
        <v>1282</v>
      </c>
      <c r="N394" t="s">
        <v>1283</v>
      </c>
      <c r="O394" t="s">
        <v>1284</v>
      </c>
      <c r="Q394" t="s">
        <v>3599</v>
      </c>
      <c r="R394" t="s">
        <v>3599</v>
      </c>
      <c r="S394" t="s">
        <v>3599</v>
      </c>
      <c r="T394">
        <v>1</v>
      </c>
      <c r="U394" t="s">
        <v>868</v>
      </c>
      <c r="V394">
        <v>5</v>
      </c>
      <c r="W394">
        <v>0</v>
      </c>
      <c r="X394">
        <v>0</v>
      </c>
    </row>
    <row r="395" spans="1:24" x14ac:dyDescent="0.3">
      <c r="A395" t="s">
        <v>1285</v>
      </c>
      <c r="B395" t="s">
        <v>1286</v>
      </c>
      <c r="C395">
        <v>1</v>
      </c>
      <c r="D395" t="s">
        <v>11</v>
      </c>
      <c r="E395" t="s">
        <v>21</v>
      </c>
      <c r="F395" t="s">
        <v>22</v>
      </c>
      <c r="H395" t="s">
        <v>71</v>
      </c>
      <c r="I395" t="s">
        <v>3617</v>
      </c>
      <c r="J395" t="s">
        <v>1285</v>
      </c>
      <c r="K395" t="s">
        <v>868</v>
      </c>
      <c r="L395" t="s">
        <v>3618</v>
      </c>
      <c r="M395" t="s">
        <v>1285</v>
      </c>
      <c r="N395" t="s">
        <v>1286</v>
      </c>
      <c r="O395" t="s">
        <v>1287</v>
      </c>
      <c r="Q395" t="s">
        <v>3599</v>
      </c>
      <c r="R395" t="s">
        <v>3599</v>
      </c>
      <c r="S395" t="s">
        <v>3599</v>
      </c>
      <c r="T395">
        <v>1</v>
      </c>
      <c r="U395" t="s">
        <v>868</v>
      </c>
      <c r="V395">
        <v>5</v>
      </c>
      <c r="W395">
        <v>0</v>
      </c>
      <c r="X395">
        <v>0</v>
      </c>
    </row>
    <row r="396" spans="1:24" x14ac:dyDescent="0.3">
      <c r="A396" t="s">
        <v>1288</v>
      </c>
      <c r="B396" t="s">
        <v>1289</v>
      </c>
      <c r="C396">
        <v>1</v>
      </c>
      <c r="D396" t="s">
        <v>11</v>
      </c>
      <c r="E396" t="s">
        <v>21</v>
      </c>
      <c r="F396" t="s">
        <v>22</v>
      </c>
      <c r="H396" t="s">
        <v>71</v>
      </c>
      <c r="I396" t="s">
        <v>3617</v>
      </c>
      <c r="J396" t="s">
        <v>1288</v>
      </c>
      <c r="K396" t="s">
        <v>868</v>
      </c>
      <c r="L396" t="s">
        <v>3618</v>
      </c>
      <c r="M396" t="s">
        <v>1288</v>
      </c>
      <c r="N396" t="s">
        <v>1289</v>
      </c>
      <c r="Q396" t="s">
        <v>3599</v>
      </c>
      <c r="R396" t="s">
        <v>3599</v>
      </c>
      <c r="S396" t="s">
        <v>3599</v>
      </c>
      <c r="T396">
        <v>1</v>
      </c>
      <c r="U396" t="s">
        <v>868</v>
      </c>
      <c r="V396">
        <v>5</v>
      </c>
      <c r="W396">
        <v>0</v>
      </c>
      <c r="X396">
        <v>0</v>
      </c>
    </row>
    <row r="397" spans="1:24" x14ac:dyDescent="0.3">
      <c r="A397" t="s">
        <v>1290</v>
      </c>
      <c r="B397" t="s">
        <v>1291</v>
      </c>
      <c r="C397">
        <v>1</v>
      </c>
      <c r="D397" t="s">
        <v>11</v>
      </c>
      <c r="E397" t="s">
        <v>21</v>
      </c>
      <c r="F397" t="s">
        <v>22</v>
      </c>
      <c r="H397" t="s">
        <v>71</v>
      </c>
      <c r="I397" t="s">
        <v>3617</v>
      </c>
      <c r="J397" t="s">
        <v>1290</v>
      </c>
      <c r="K397" t="s">
        <v>868</v>
      </c>
      <c r="L397" t="s">
        <v>3618</v>
      </c>
      <c r="M397" t="s">
        <v>1290</v>
      </c>
      <c r="N397" t="s">
        <v>1291</v>
      </c>
      <c r="Q397" t="s">
        <v>3599</v>
      </c>
      <c r="R397" t="s">
        <v>3599</v>
      </c>
      <c r="S397" t="s">
        <v>3599</v>
      </c>
      <c r="T397">
        <v>1</v>
      </c>
      <c r="U397" t="s">
        <v>868</v>
      </c>
      <c r="V397">
        <v>5</v>
      </c>
      <c r="W397">
        <v>0</v>
      </c>
      <c r="X397">
        <v>0</v>
      </c>
    </row>
    <row r="398" spans="1:24" x14ac:dyDescent="0.3">
      <c r="A398" t="s">
        <v>1292</v>
      </c>
      <c r="B398" t="s">
        <v>1293</v>
      </c>
      <c r="C398">
        <v>1</v>
      </c>
      <c r="D398" t="s">
        <v>11</v>
      </c>
      <c r="E398" t="s">
        <v>21</v>
      </c>
      <c r="F398" t="s">
        <v>22</v>
      </c>
      <c r="H398" t="s">
        <v>71</v>
      </c>
      <c r="I398" t="s">
        <v>3617</v>
      </c>
      <c r="J398" t="s">
        <v>1292</v>
      </c>
      <c r="K398" t="s">
        <v>868</v>
      </c>
      <c r="L398" t="s">
        <v>3618</v>
      </c>
      <c r="M398" t="s">
        <v>1292</v>
      </c>
      <c r="N398" t="s">
        <v>1293</v>
      </c>
      <c r="Q398" t="s">
        <v>3599</v>
      </c>
      <c r="R398" t="s">
        <v>3599</v>
      </c>
      <c r="S398" t="s">
        <v>3599</v>
      </c>
      <c r="T398">
        <v>1</v>
      </c>
      <c r="U398" t="s">
        <v>868</v>
      </c>
      <c r="V398">
        <v>5</v>
      </c>
      <c r="W398">
        <v>0</v>
      </c>
      <c r="X398">
        <v>0</v>
      </c>
    </row>
    <row r="399" spans="1:24" x14ac:dyDescent="0.3">
      <c r="A399" t="s">
        <v>1294</v>
      </c>
      <c r="B399" t="s">
        <v>1295</v>
      </c>
      <c r="C399">
        <v>1</v>
      </c>
      <c r="D399" t="s">
        <v>11</v>
      </c>
      <c r="E399" t="s">
        <v>21</v>
      </c>
      <c r="F399" t="s">
        <v>22</v>
      </c>
      <c r="H399" t="s">
        <v>71</v>
      </c>
      <c r="I399" t="s">
        <v>3617</v>
      </c>
      <c r="J399" t="s">
        <v>1294</v>
      </c>
      <c r="K399" t="s">
        <v>868</v>
      </c>
      <c r="L399" t="s">
        <v>3618</v>
      </c>
      <c r="M399" t="s">
        <v>1294</v>
      </c>
      <c r="N399" t="s">
        <v>1295</v>
      </c>
      <c r="Q399" t="s">
        <v>3599</v>
      </c>
      <c r="R399" t="s">
        <v>3599</v>
      </c>
      <c r="S399" t="s">
        <v>3599</v>
      </c>
      <c r="T399">
        <v>1</v>
      </c>
      <c r="U399" t="s">
        <v>868</v>
      </c>
      <c r="V399">
        <v>5</v>
      </c>
      <c r="W399">
        <v>0</v>
      </c>
      <c r="X399">
        <v>0</v>
      </c>
    </row>
    <row r="400" spans="1:24" x14ac:dyDescent="0.3">
      <c r="A400" t="s">
        <v>1296</v>
      </c>
      <c r="B400" t="s">
        <v>1297</v>
      </c>
      <c r="C400">
        <v>1</v>
      </c>
      <c r="D400" t="s">
        <v>11</v>
      </c>
      <c r="E400" t="s">
        <v>21</v>
      </c>
      <c r="F400" t="s">
        <v>22</v>
      </c>
      <c r="H400" t="s">
        <v>71</v>
      </c>
      <c r="I400" t="s">
        <v>3617</v>
      </c>
      <c r="J400" t="s">
        <v>1296</v>
      </c>
      <c r="K400" t="s">
        <v>868</v>
      </c>
      <c r="L400" t="s">
        <v>3618</v>
      </c>
      <c r="M400" t="s">
        <v>1296</v>
      </c>
      <c r="N400" t="s">
        <v>1297</v>
      </c>
      <c r="Q400" t="s">
        <v>3599</v>
      </c>
      <c r="R400" t="s">
        <v>3599</v>
      </c>
      <c r="S400" t="s">
        <v>3599</v>
      </c>
      <c r="T400">
        <v>1</v>
      </c>
      <c r="U400" t="s">
        <v>868</v>
      </c>
      <c r="V400">
        <v>5</v>
      </c>
      <c r="W400">
        <v>0</v>
      </c>
      <c r="X400">
        <v>0</v>
      </c>
    </row>
    <row r="401" spans="1:24" x14ac:dyDescent="0.3">
      <c r="A401" t="s">
        <v>1298</v>
      </c>
      <c r="B401" t="s">
        <v>1299</v>
      </c>
      <c r="C401">
        <v>1</v>
      </c>
      <c r="D401" t="s">
        <v>11</v>
      </c>
      <c r="E401" t="s">
        <v>21</v>
      </c>
      <c r="F401" t="s">
        <v>22</v>
      </c>
      <c r="H401" t="s">
        <v>71</v>
      </c>
      <c r="I401" t="s">
        <v>3617</v>
      </c>
      <c r="J401" t="s">
        <v>1298</v>
      </c>
      <c r="K401" t="s">
        <v>868</v>
      </c>
      <c r="L401" t="s">
        <v>3618</v>
      </c>
      <c r="M401" t="s">
        <v>1298</v>
      </c>
      <c r="N401" t="s">
        <v>1299</v>
      </c>
      <c r="O401" t="s">
        <v>1301</v>
      </c>
      <c r="P401" t="s">
        <v>1300</v>
      </c>
      <c r="Q401" t="s">
        <v>3599</v>
      </c>
      <c r="R401" t="s">
        <v>3599</v>
      </c>
      <c r="S401" t="s">
        <v>3599</v>
      </c>
      <c r="T401">
        <v>1</v>
      </c>
      <c r="U401" t="s">
        <v>868</v>
      </c>
      <c r="V401">
        <v>5</v>
      </c>
      <c r="W401">
        <v>0</v>
      </c>
      <c r="X401">
        <v>0</v>
      </c>
    </row>
    <row r="402" spans="1:24" x14ac:dyDescent="0.3">
      <c r="A402" t="s">
        <v>1302</v>
      </c>
      <c r="B402" t="s">
        <v>1303</v>
      </c>
      <c r="C402">
        <v>1</v>
      </c>
      <c r="D402" t="s">
        <v>11</v>
      </c>
      <c r="E402" t="s">
        <v>21</v>
      </c>
      <c r="F402" t="s">
        <v>22</v>
      </c>
      <c r="H402" t="s">
        <v>71</v>
      </c>
      <c r="I402" t="s">
        <v>3617</v>
      </c>
      <c r="J402" t="s">
        <v>1302</v>
      </c>
      <c r="K402" t="s">
        <v>868</v>
      </c>
      <c r="L402" t="s">
        <v>3618</v>
      </c>
      <c r="M402" t="s">
        <v>1302</v>
      </c>
      <c r="N402" t="s">
        <v>1303</v>
      </c>
      <c r="Q402" t="s">
        <v>3599</v>
      </c>
      <c r="R402" t="s">
        <v>3599</v>
      </c>
      <c r="S402" t="s">
        <v>3599</v>
      </c>
      <c r="T402">
        <v>1</v>
      </c>
      <c r="U402" t="s">
        <v>868</v>
      </c>
      <c r="V402">
        <v>5</v>
      </c>
      <c r="W402">
        <v>0</v>
      </c>
      <c r="X402">
        <v>0</v>
      </c>
    </row>
    <row r="403" spans="1:24" x14ac:dyDescent="0.3">
      <c r="A403" t="s">
        <v>1304</v>
      </c>
      <c r="B403" t="s">
        <v>1305</v>
      </c>
      <c r="C403">
        <v>1</v>
      </c>
      <c r="D403" t="s">
        <v>11</v>
      </c>
      <c r="E403" t="s">
        <v>21</v>
      </c>
      <c r="F403" t="s">
        <v>22</v>
      </c>
      <c r="H403" t="s">
        <v>71</v>
      </c>
      <c r="I403" t="s">
        <v>3617</v>
      </c>
      <c r="K403" t="s">
        <v>868</v>
      </c>
      <c r="L403" t="s">
        <v>3618</v>
      </c>
      <c r="N403" t="s">
        <v>1305</v>
      </c>
      <c r="Q403" t="s">
        <v>3599</v>
      </c>
      <c r="R403" t="s">
        <v>3599</v>
      </c>
      <c r="S403" t="s">
        <v>3599</v>
      </c>
      <c r="T403">
        <v>1</v>
      </c>
      <c r="U403" t="s">
        <v>868</v>
      </c>
      <c r="V403">
        <v>5</v>
      </c>
      <c r="W403">
        <v>0</v>
      </c>
      <c r="X403">
        <v>0</v>
      </c>
    </row>
    <row r="404" spans="1:24" x14ac:dyDescent="0.3">
      <c r="A404" t="s">
        <v>1306</v>
      </c>
      <c r="B404" t="s">
        <v>1307</v>
      </c>
      <c r="C404">
        <v>1</v>
      </c>
      <c r="D404" t="s">
        <v>11</v>
      </c>
      <c r="E404" t="s">
        <v>21</v>
      </c>
      <c r="F404" t="s">
        <v>22</v>
      </c>
      <c r="H404" t="s">
        <v>71</v>
      </c>
      <c r="I404" t="s">
        <v>3617</v>
      </c>
      <c r="K404" t="s">
        <v>868</v>
      </c>
      <c r="L404" t="s">
        <v>3618</v>
      </c>
      <c r="N404" t="s">
        <v>1307</v>
      </c>
      <c r="Q404" t="s">
        <v>3599</v>
      </c>
      <c r="R404" t="s">
        <v>3599</v>
      </c>
      <c r="S404" t="s">
        <v>3599</v>
      </c>
      <c r="T404">
        <v>1</v>
      </c>
      <c r="U404" t="s">
        <v>868</v>
      </c>
      <c r="V404">
        <v>5</v>
      </c>
      <c r="W404">
        <v>0</v>
      </c>
      <c r="X404">
        <v>0</v>
      </c>
    </row>
    <row r="405" spans="1:24" x14ac:dyDescent="0.3">
      <c r="A405" t="s">
        <v>1308</v>
      </c>
      <c r="B405" t="s">
        <v>1309</v>
      </c>
      <c r="C405">
        <v>1</v>
      </c>
      <c r="D405" t="s">
        <v>11</v>
      </c>
      <c r="E405" t="s">
        <v>21</v>
      </c>
      <c r="F405" t="s">
        <v>22</v>
      </c>
      <c r="H405" t="s">
        <v>71</v>
      </c>
      <c r="I405" t="s">
        <v>3617</v>
      </c>
      <c r="K405" t="s">
        <v>868</v>
      </c>
      <c r="L405" t="s">
        <v>3618</v>
      </c>
      <c r="N405" t="s">
        <v>1309</v>
      </c>
      <c r="Q405" t="s">
        <v>3599</v>
      </c>
      <c r="R405" t="s">
        <v>3599</v>
      </c>
      <c r="S405" t="s">
        <v>3599</v>
      </c>
      <c r="T405">
        <v>1</v>
      </c>
      <c r="U405" t="s">
        <v>868</v>
      </c>
      <c r="V405">
        <v>5</v>
      </c>
      <c r="W405">
        <v>0</v>
      </c>
      <c r="X405">
        <v>0</v>
      </c>
    </row>
    <row r="406" spans="1:24" x14ac:dyDescent="0.3">
      <c r="A406" t="s">
        <v>1310</v>
      </c>
      <c r="B406" t="s">
        <v>1311</v>
      </c>
      <c r="C406">
        <v>1</v>
      </c>
      <c r="D406" t="s">
        <v>11</v>
      </c>
      <c r="E406" t="s">
        <v>21</v>
      </c>
      <c r="F406" t="s">
        <v>22</v>
      </c>
      <c r="H406" t="s">
        <v>71</v>
      </c>
      <c r="I406" t="s">
        <v>3617</v>
      </c>
      <c r="J406" t="s">
        <v>1310</v>
      </c>
      <c r="K406" t="s">
        <v>868</v>
      </c>
      <c r="L406" t="s">
        <v>3618</v>
      </c>
      <c r="M406" t="s">
        <v>1310</v>
      </c>
      <c r="N406" t="s">
        <v>1311</v>
      </c>
      <c r="Q406" t="s">
        <v>3599</v>
      </c>
      <c r="R406" t="s">
        <v>3599</v>
      </c>
      <c r="S406" t="s">
        <v>3599</v>
      </c>
      <c r="T406">
        <v>1</v>
      </c>
      <c r="U406" t="s">
        <v>868</v>
      </c>
      <c r="V406">
        <v>5</v>
      </c>
      <c r="W406">
        <v>0</v>
      </c>
      <c r="X406">
        <v>0</v>
      </c>
    </row>
    <row r="407" spans="1:24" x14ac:dyDescent="0.3">
      <c r="A407" t="s">
        <v>1312</v>
      </c>
      <c r="B407" t="s">
        <v>1313</v>
      </c>
      <c r="C407">
        <v>1</v>
      </c>
      <c r="D407" t="s">
        <v>11</v>
      </c>
      <c r="E407" t="s">
        <v>21</v>
      </c>
      <c r="F407" t="s">
        <v>22</v>
      </c>
      <c r="H407" t="s">
        <v>71</v>
      </c>
      <c r="I407" t="s">
        <v>3617</v>
      </c>
      <c r="J407" t="s">
        <v>1312</v>
      </c>
      <c r="K407" t="s">
        <v>868</v>
      </c>
      <c r="L407" t="s">
        <v>3618</v>
      </c>
      <c r="M407" t="s">
        <v>1312</v>
      </c>
      <c r="N407" t="s">
        <v>1313</v>
      </c>
      <c r="Q407" t="s">
        <v>3599</v>
      </c>
      <c r="R407" t="s">
        <v>3599</v>
      </c>
      <c r="S407" t="s">
        <v>3599</v>
      </c>
      <c r="T407">
        <v>1</v>
      </c>
      <c r="U407" t="s">
        <v>868</v>
      </c>
      <c r="V407">
        <v>5</v>
      </c>
      <c r="W407">
        <v>0</v>
      </c>
      <c r="X407">
        <v>0</v>
      </c>
    </row>
    <row r="408" spans="1:24" x14ac:dyDescent="0.3">
      <c r="A408" t="s">
        <v>1314</v>
      </c>
      <c r="B408" t="s">
        <v>1315</v>
      </c>
      <c r="C408">
        <v>1</v>
      </c>
      <c r="D408" t="s">
        <v>11</v>
      </c>
      <c r="E408" t="s">
        <v>21</v>
      </c>
      <c r="F408" t="s">
        <v>22</v>
      </c>
      <c r="H408" t="s">
        <v>71</v>
      </c>
      <c r="I408" t="s">
        <v>3617</v>
      </c>
      <c r="J408" t="s">
        <v>1314</v>
      </c>
      <c r="K408" t="s">
        <v>868</v>
      </c>
      <c r="L408" t="s">
        <v>3618</v>
      </c>
      <c r="M408" t="s">
        <v>1314</v>
      </c>
      <c r="N408" t="s">
        <v>1315</v>
      </c>
      <c r="Q408" t="s">
        <v>3599</v>
      </c>
      <c r="R408" t="s">
        <v>3599</v>
      </c>
      <c r="S408" t="s">
        <v>3599</v>
      </c>
      <c r="T408">
        <v>1</v>
      </c>
      <c r="U408" t="s">
        <v>868</v>
      </c>
      <c r="V408">
        <v>5</v>
      </c>
      <c r="W408">
        <v>0</v>
      </c>
      <c r="X408">
        <v>0</v>
      </c>
    </row>
    <row r="409" spans="1:24" x14ac:dyDescent="0.3">
      <c r="A409" t="s">
        <v>1316</v>
      </c>
      <c r="B409" t="s">
        <v>1317</v>
      </c>
      <c r="C409">
        <v>1</v>
      </c>
      <c r="D409" t="s">
        <v>11</v>
      </c>
      <c r="E409" t="s">
        <v>21</v>
      </c>
      <c r="F409" t="s">
        <v>22</v>
      </c>
      <c r="H409" t="s">
        <v>71</v>
      </c>
      <c r="I409" t="s">
        <v>3617</v>
      </c>
      <c r="J409" t="s">
        <v>1316</v>
      </c>
      <c r="K409" t="s">
        <v>868</v>
      </c>
      <c r="L409" t="s">
        <v>3618</v>
      </c>
      <c r="M409" t="s">
        <v>1316</v>
      </c>
      <c r="N409" t="s">
        <v>1317</v>
      </c>
      <c r="P409" t="s">
        <v>1318</v>
      </c>
      <c r="Q409" t="s">
        <v>3599</v>
      </c>
      <c r="R409" t="s">
        <v>3599</v>
      </c>
      <c r="S409" t="s">
        <v>3599</v>
      </c>
      <c r="T409">
        <v>1</v>
      </c>
      <c r="U409" t="s">
        <v>868</v>
      </c>
      <c r="V409">
        <v>5</v>
      </c>
      <c r="W409">
        <v>0</v>
      </c>
      <c r="X409">
        <v>0</v>
      </c>
    </row>
    <row r="410" spans="1:24" x14ac:dyDescent="0.3">
      <c r="A410" t="s">
        <v>1319</v>
      </c>
      <c r="B410" t="s">
        <v>1320</v>
      </c>
      <c r="C410">
        <v>1</v>
      </c>
      <c r="D410" t="s">
        <v>11</v>
      </c>
      <c r="E410" t="s">
        <v>21</v>
      </c>
      <c r="F410" t="s">
        <v>22</v>
      </c>
      <c r="H410" t="s">
        <v>71</v>
      </c>
      <c r="I410" t="s">
        <v>3617</v>
      </c>
      <c r="J410" t="s">
        <v>1319</v>
      </c>
      <c r="K410" t="s">
        <v>868</v>
      </c>
      <c r="L410" t="s">
        <v>3618</v>
      </c>
      <c r="M410" t="s">
        <v>1319</v>
      </c>
      <c r="N410" t="s">
        <v>1320</v>
      </c>
      <c r="Q410" t="s">
        <v>3599</v>
      </c>
      <c r="R410" t="s">
        <v>3599</v>
      </c>
      <c r="S410" t="s">
        <v>3599</v>
      </c>
      <c r="T410">
        <v>1</v>
      </c>
      <c r="U410" t="s">
        <v>868</v>
      </c>
      <c r="V410">
        <v>5</v>
      </c>
      <c r="W410">
        <v>0</v>
      </c>
      <c r="X410">
        <v>0</v>
      </c>
    </row>
    <row r="411" spans="1:24" x14ac:dyDescent="0.3">
      <c r="A411" t="s">
        <v>1321</v>
      </c>
      <c r="B411" t="s">
        <v>1322</v>
      </c>
      <c r="C411">
        <v>1</v>
      </c>
      <c r="D411" t="s">
        <v>11</v>
      </c>
      <c r="E411" t="s">
        <v>21</v>
      </c>
      <c r="F411" t="s">
        <v>22</v>
      </c>
      <c r="H411" t="s">
        <v>71</v>
      </c>
      <c r="I411" t="s">
        <v>3617</v>
      </c>
      <c r="J411" t="s">
        <v>1321</v>
      </c>
      <c r="K411" t="s">
        <v>868</v>
      </c>
      <c r="L411" t="s">
        <v>3618</v>
      </c>
      <c r="M411" t="s">
        <v>1321</v>
      </c>
      <c r="N411" t="s">
        <v>1322</v>
      </c>
      <c r="Q411" t="s">
        <v>3599</v>
      </c>
      <c r="R411" t="s">
        <v>3599</v>
      </c>
      <c r="S411" t="s">
        <v>3599</v>
      </c>
      <c r="T411">
        <v>1</v>
      </c>
      <c r="U411" t="s">
        <v>868</v>
      </c>
      <c r="V411">
        <v>5</v>
      </c>
      <c r="W411">
        <v>0</v>
      </c>
      <c r="X411">
        <v>0</v>
      </c>
    </row>
    <row r="412" spans="1:24" x14ac:dyDescent="0.3">
      <c r="A412" t="s">
        <v>1323</v>
      </c>
      <c r="B412" t="s">
        <v>1324</v>
      </c>
      <c r="C412">
        <v>1</v>
      </c>
      <c r="D412" t="s">
        <v>11</v>
      </c>
      <c r="E412" t="s">
        <v>21</v>
      </c>
      <c r="F412" t="s">
        <v>22</v>
      </c>
      <c r="H412" t="s">
        <v>71</v>
      </c>
      <c r="I412" t="s">
        <v>3617</v>
      </c>
      <c r="J412" t="s">
        <v>1323</v>
      </c>
      <c r="K412" t="s">
        <v>868</v>
      </c>
      <c r="L412" t="s">
        <v>3618</v>
      </c>
      <c r="M412" t="s">
        <v>1323</v>
      </c>
      <c r="N412" t="s">
        <v>1324</v>
      </c>
      <c r="Q412" t="s">
        <v>3599</v>
      </c>
      <c r="R412" t="s">
        <v>3599</v>
      </c>
      <c r="S412" t="s">
        <v>3599</v>
      </c>
      <c r="T412">
        <v>1</v>
      </c>
      <c r="U412" t="s">
        <v>868</v>
      </c>
      <c r="V412">
        <v>5</v>
      </c>
      <c r="W412">
        <v>0</v>
      </c>
      <c r="X412">
        <v>0</v>
      </c>
    </row>
    <row r="413" spans="1:24" x14ac:dyDescent="0.3">
      <c r="A413" t="s">
        <v>1325</v>
      </c>
      <c r="B413" t="s">
        <v>1326</v>
      </c>
      <c r="C413">
        <v>1</v>
      </c>
      <c r="D413" t="s">
        <v>11</v>
      </c>
      <c r="E413" t="s">
        <v>21</v>
      </c>
      <c r="F413" t="s">
        <v>22</v>
      </c>
      <c r="H413" t="s">
        <v>71</v>
      </c>
      <c r="I413" t="s">
        <v>3617</v>
      </c>
      <c r="J413" t="s">
        <v>1325</v>
      </c>
      <c r="K413" t="s">
        <v>868</v>
      </c>
      <c r="L413" t="s">
        <v>3618</v>
      </c>
      <c r="M413" t="s">
        <v>1325</v>
      </c>
      <c r="N413" t="s">
        <v>1326</v>
      </c>
      <c r="Q413" t="s">
        <v>3599</v>
      </c>
      <c r="R413" t="s">
        <v>3599</v>
      </c>
      <c r="S413" t="s">
        <v>3599</v>
      </c>
      <c r="T413">
        <v>1</v>
      </c>
      <c r="U413" t="s">
        <v>868</v>
      </c>
      <c r="V413">
        <v>5</v>
      </c>
      <c r="W413">
        <v>0</v>
      </c>
      <c r="X413">
        <v>0</v>
      </c>
    </row>
    <row r="414" spans="1:24" x14ac:dyDescent="0.3">
      <c r="A414" t="s">
        <v>1327</v>
      </c>
      <c r="B414" t="s">
        <v>1328</v>
      </c>
      <c r="C414">
        <v>1</v>
      </c>
      <c r="D414" t="s">
        <v>11</v>
      </c>
      <c r="E414" t="s">
        <v>21</v>
      </c>
      <c r="F414" t="s">
        <v>22</v>
      </c>
      <c r="H414" t="s">
        <v>71</v>
      </c>
      <c r="I414" t="s">
        <v>3617</v>
      </c>
      <c r="J414" t="s">
        <v>1327</v>
      </c>
      <c r="K414" t="s">
        <v>868</v>
      </c>
      <c r="L414" t="s">
        <v>3618</v>
      </c>
      <c r="M414" t="s">
        <v>1327</v>
      </c>
      <c r="N414" t="s">
        <v>1328</v>
      </c>
      <c r="Q414" t="s">
        <v>3599</v>
      </c>
      <c r="R414" t="s">
        <v>3599</v>
      </c>
      <c r="S414" t="s">
        <v>3599</v>
      </c>
      <c r="T414">
        <v>1</v>
      </c>
      <c r="U414" t="s">
        <v>868</v>
      </c>
      <c r="V414">
        <v>5</v>
      </c>
      <c r="W414">
        <v>0</v>
      </c>
      <c r="X414">
        <v>0</v>
      </c>
    </row>
    <row r="415" spans="1:24" x14ac:dyDescent="0.3">
      <c r="A415" t="s">
        <v>1329</v>
      </c>
      <c r="B415" t="s">
        <v>1330</v>
      </c>
      <c r="C415">
        <v>1</v>
      </c>
      <c r="D415" t="s">
        <v>11</v>
      </c>
      <c r="E415" t="s">
        <v>21</v>
      </c>
      <c r="F415" t="s">
        <v>22</v>
      </c>
      <c r="H415" t="s">
        <v>71</v>
      </c>
      <c r="I415" t="s">
        <v>3617</v>
      </c>
      <c r="J415" t="s">
        <v>1329</v>
      </c>
      <c r="K415" t="s">
        <v>868</v>
      </c>
      <c r="L415" t="s">
        <v>3618</v>
      </c>
      <c r="M415" t="s">
        <v>1329</v>
      </c>
      <c r="N415" t="s">
        <v>1330</v>
      </c>
      <c r="Q415" t="s">
        <v>3599</v>
      </c>
      <c r="R415" t="s">
        <v>3599</v>
      </c>
      <c r="S415" t="s">
        <v>3599</v>
      </c>
      <c r="T415">
        <v>1</v>
      </c>
      <c r="U415" t="s">
        <v>868</v>
      </c>
      <c r="V415">
        <v>5</v>
      </c>
      <c r="W415">
        <v>0</v>
      </c>
      <c r="X415">
        <v>0</v>
      </c>
    </row>
    <row r="416" spans="1:24" x14ac:dyDescent="0.3">
      <c r="A416" t="s">
        <v>1331</v>
      </c>
      <c r="B416" t="s">
        <v>1332</v>
      </c>
      <c r="C416">
        <v>1</v>
      </c>
      <c r="D416" t="s">
        <v>11</v>
      </c>
      <c r="E416" t="s">
        <v>21</v>
      </c>
      <c r="F416" t="s">
        <v>22</v>
      </c>
      <c r="H416" t="s">
        <v>71</v>
      </c>
      <c r="I416" t="s">
        <v>3617</v>
      </c>
      <c r="J416" t="s">
        <v>1331</v>
      </c>
      <c r="K416" t="s">
        <v>868</v>
      </c>
      <c r="L416" t="s">
        <v>3618</v>
      </c>
      <c r="M416" t="s">
        <v>1331</v>
      </c>
      <c r="N416" t="s">
        <v>1332</v>
      </c>
      <c r="O416" t="s">
        <v>1333</v>
      </c>
      <c r="Q416" t="s">
        <v>3599</v>
      </c>
      <c r="R416" t="s">
        <v>3599</v>
      </c>
      <c r="S416" t="s">
        <v>3599</v>
      </c>
      <c r="T416">
        <v>1</v>
      </c>
      <c r="U416" t="s">
        <v>868</v>
      </c>
      <c r="V416">
        <v>5</v>
      </c>
      <c r="W416">
        <v>0</v>
      </c>
      <c r="X416">
        <v>0</v>
      </c>
    </row>
    <row r="417" spans="1:24" x14ac:dyDescent="0.3">
      <c r="A417" t="s">
        <v>1334</v>
      </c>
      <c r="B417" t="s">
        <v>1335</v>
      </c>
      <c r="C417">
        <v>1</v>
      </c>
      <c r="D417" t="s">
        <v>11</v>
      </c>
      <c r="E417" t="s">
        <v>21</v>
      </c>
      <c r="F417" t="s">
        <v>22</v>
      </c>
      <c r="H417" t="s">
        <v>71</v>
      </c>
      <c r="I417" t="s">
        <v>3617</v>
      </c>
      <c r="J417" t="s">
        <v>1334</v>
      </c>
      <c r="K417" t="s">
        <v>868</v>
      </c>
      <c r="L417" t="s">
        <v>3618</v>
      </c>
      <c r="M417" t="s">
        <v>1334</v>
      </c>
      <c r="N417" t="s">
        <v>1335</v>
      </c>
      <c r="O417" t="s">
        <v>1336</v>
      </c>
      <c r="Q417" t="s">
        <v>3599</v>
      </c>
      <c r="R417" t="s">
        <v>3599</v>
      </c>
      <c r="S417" t="s">
        <v>3599</v>
      </c>
      <c r="T417">
        <v>1</v>
      </c>
      <c r="U417" t="s">
        <v>868</v>
      </c>
      <c r="V417">
        <v>5</v>
      </c>
      <c r="W417">
        <v>0</v>
      </c>
      <c r="X417">
        <v>0</v>
      </c>
    </row>
    <row r="418" spans="1:24" x14ac:dyDescent="0.3">
      <c r="A418" t="s">
        <v>1337</v>
      </c>
      <c r="B418" t="s">
        <v>1338</v>
      </c>
      <c r="C418">
        <v>1</v>
      </c>
      <c r="D418" t="s">
        <v>11</v>
      </c>
      <c r="E418" t="s">
        <v>21</v>
      </c>
      <c r="F418" t="s">
        <v>22</v>
      </c>
      <c r="H418" t="s">
        <v>71</v>
      </c>
      <c r="I418" t="s">
        <v>3617</v>
      </c>
      <c r="J418" t="s">
        <v>1337</v>
      </c>
      <c r="K418" t="s">
        <v>868</v>
      </c>
      <c r="L418" t="s">
        <v>3618</v>
      </c>
      <c r="M418" t="s">
        <v>1337</v>
      </c>
      <c r="N418" t="s">
        <v>1338</v>
      </c>
      <c r="Q418" t="s">
        <v>3599</v>
      </c>
      <c r="R418" t="s">
        <v>3599</v>
      </c>
      <c r="S418" t="s">
        <v>3599</v>
      </c>
      <c r="T418">
        <v>1</v>
      </c>
      <c r="U418" t="s">
        <v>868</v>
      </c>
      <c r="V418">
        <v>5</v>
      </c>
      <c r="W418">
        <v>0</v>
      </c>
      <c r="X418">
        <v>0</v>
      </c>
    </row>
    <row r="419" spans="1:24" x14ac:dyDescent="0.3">
      <c r="A419" t="s">
        <v>1339</v>
      </c>
      <c r="B419" t="s">
        <v>1340</v>
      </c>
      <c r="C419">
        <v>1</v>
      </c>
      <c r="D419" t="s">
        <v>11</v>
      </c>
      <c r="E419" t="s">
        <v>21</v>
      </c>
      <c r="F419" t="s">
        <v>22</v>
      </c>
      <c r="H419" t="s">
        <v>71</v>
      </c>
      <c r="I419" t="s">
        <v>3617</v>
      </c>
      <c r="J419" t="s">
        <v>1339</v>
      </c>
      <c r="K419" t="s">
        <v>868</v>
      </c>
      <c r="L419" t="s">
        <v>3618</v>
      </c>
      <c r="M419" t="s">
        <v>1339</v>
      </c>
      <c r="N419" t="s">
        <v>1340</v>
      </c>
      <c r="O419" t="s">
        <v>1342</v>
      </c>
      <c r="P419" t="s">
        <v>1341</v>
      </c>
      <c r="Q419" t="s">
        <v>3599</v>
      </c>
      <c r="R419" t="s">
        <v>3599</v>
      </c>
      <c r="S419" t="s">
        <v>3599</v>
      </c>
      <c r="T419">
        <v>1</v>
      </c>
      <c r="U419" t="s">
        <v>868</v>
      </c>
      <c r="V419">
        <v>5</v>
      </c>
      <c r="W419">
        <v>0</v>
      </c>
      <c r="X419">
        <v>0</v>
      </c>
    </row>
    <row r="420" spans="1:24" x14ac:dyDescent="0.3">
      <c r="A420" t="s">
        <v>1343</v>
      </c>
      <c r="B420" t="s">
        <v>1344</v>
      </c>
      <c r="C420">
        <v>1</v>
      </c>
      <c r="D420" t="s">
        <v>11</v>
      </c>
      <c r="E420" t="s">
        <v>21</v>
      </c>
      <c r="F420" t="s">
        <v>22</v>
      </c>
      <c r="H420" t="s">
        <v>71</v>
      </c>
      <c r="I420" t="s">
        <v>3617</v>
      </c>
      <c r="J420" t="s">
        <v>1343</v>
      </c>
      <c r="K420" t="s">
        <v>868</v>
      </c>
      <c r="L420" t="s">
        <v>3618</v>
      </c>
      <c r="M420" t="s">
        <v>1343</v>
      </c>
      <c r="N420" t="s">
        <v>1344</v>
      </c>
      <c r="Q420" t="s">
        <v>3599</v>
      </c>
      <c r="R420" t="s">
        <v>3599</v>
      </c>
      <c r="S420" t="s">
        <v>3599</v>
      </c>
      <c r="T420">
        <v>1</v>
      </c>
      <c r="U420" t="s">
        <v>868</v>
      </c>
      <c r="V420">
        <v>5</v>
      </c>
      <c r="W420">
        <v>0</v>
      </c>
      <c r="X420">
        <v>0</v>
      </c>
    </row>
    <row r="421" spans="1:24" x14ac:dyDescent="0.3">
      <c r="A421" t="s">
        <v>923</v>
      </c>
      <c r="B421" t="s">
        <v>924</v>
      </c>
      <c r="C421">
        <v>1</v>
      </c>
      <c r="D421" t="s">
        <v>11</v>
      </c>
      <c r="E421" t="s">
        <v>21</v>
      </c>
      <c r="F421" t="s">
        <v>22</v>
      </c>
      <c r="H421" t="s">
        <v>71</v>
      </c>
      <c r="I421" t="s">
        <v>3617</v>
      </c>
      <c r="J421" t="s">
        <v>923</v>
      </c>
      <c r="K421" t="s">
        <v>868</v>
      </c>
      <c r="L421" t="s">
        <v>3618</v>
      </c>
      <c r="M421" t="s">
        <v>923</v>
      </c>
      <c r="N421" t="s">
        <v>924</v>
      </c>
      <c r="Q421" t="s">
        <v>3599</v>
      </c>
      <c r="R421" t="s">
        <v>3599</v>
      </c>
      <c r="S421" t="s">
        <v>3599</v>
      </c>
      <c r="T421">
        <v>1</v>
      </c>
      <c r="U421" t="s">
        <v>868</v>
      </c>
      <c r="V421">
        <v>5</v>
      </c>
      <c r="W421">
        <v>0</v>
      </c>
      <c r="X421">
        <v>0</v>
      </c>
    </row>
    <row r="422" spans="1:24" x14ac:dyDescent="0.3">
      <c r="A422" t="s">
        <v>1345</v>
      </c>
      <c r="B422" t="s">
        <v>1346</v>
      </c>
      <c r="C422">
        <v>1</v>
      </c>
      <c r="D422" t="s">
        <v>11</v>
      </c>
      <c r="E422" t="s">
        <v>21</v>
      </c>
      <c r="F422" t="s">
        <v>22</v>
      </c>
      <c r="H422" t="s">
        <v>71</v>
      </c>
      <c r="I422" t="s">
        <v>3617</v>
      </c>
      <c r="J422" t="s">
        <v>1345</v>
      </c>
      <c r="K422" t="s">
        <v>868</v>
      </c>
      <c r="L422" t="s">
        <v>3618</v>
      </c>
      <c r="M422" t="s">
        <v>1345</v>
      </c>
      <c r="N422" t="s">
        <v>1346</v>
      </c>
      <c r="Q422" t="s">
        <v>3599</v>
      </c>
      <c r="R422" t="s">
        <v>3599</v>
      </c>
      <c r="S422" t="s">
        <v>3599</v>
      </c>
      <c r="T422">
        <v>1</v>
      </c>
      <c r="U422" t="s">
        <v>868</v>
      </c>
      <c r="V422">
        <v>5</v>
      </c>
      <c r="W422">
        <v>0</v>
      </c>
      <c r="X422">
        <v>0</v>
      </c>
    </row>
    <row r="423" spans="1:24" x14ac:dyDescent="0.3">
      <c r="A423" t="s">
        <v>1347</v>
      </c>
      <c r="B423" t="s">
        <v>1348</v>
      </c>
      <c r="C423">
        <v>1</v>
      </c>
      <c r="D423" t="s">
        <v>11</v>
      </c>
      <c r="E423" t="s">
        <v>21</v>
      </c>
      <c r="F423" t="s">
        <v>22</v>
      </c>
      <c r="H423" t="s">
        <v>71</v>
      </c>
      <c r="I423" t="s">
        <v>3617</v>
      </c>
      <c r="J423" t="s">
        <v>1347</v>
      </c>
      <c r="K423" t="s">
        <v>868</v>
      </c>
      <c r="L423" t="s">
        <v>3618</v>
      </c>
      <c r="M423" t="s">
        <v>1347</v>
      </c>
      <c r="N423" t="s">
        <v>1348</v>
      </c>
      <c r="O423" t="s">
        <v>1350</v>
      </c>
      <c r="P423" t="s">
        <v>1349</v>
      </c>
      <c r="Q423" t="s">
        <v>3599</v>
      </c>
      <c r="R423" t="s">
        <v>3599</v>
      </c>
      <c r="S423" t="s">
        <v>3599</v>
      </c>
      <c r="T423">
        <v>1</v>
      </c>
      <c r="U423" t="s">
        <v>868</v>
      </c>
      <c r="V423">
        <v>5</v>
      </c>
      <c r="W423">
        <v>0</v>
      </c>
      <c r="X423">
        <v>0</v>
      </c>
    </row>
    <row r="424" spans="1:24" x14ac:dyDescent="0.3">
      <c r="A424" t="s">
        <v>1351</v>
      </c>
      <c r="B424" t="s">
        <v>1352</v>
      </c>
      <c r="C424">
        <v>1</v>
      </c>
      <c r="D424" t="s">
        <v>11</v>
      </c>
      <c r="E424" t="s">
        <v>21</v>
      </c>
      <c r="F424" t="s">
        <v>22</v>
      </c>
      <c r="H424" t="s">
        <v>71</v>
      </c>
      <c r="I424" t="s">
        <v>3617</v>
      </c>
      <c r="K424" t="s">
        <v>868</v>
      </c>
      <c r="L424" t="s">
        <v>3618</v>
      </c>
      <c r="N424" t="s">
        <v>1352</v>
      </c>
      <c r="Q424" t="s">
        <v>3599</v>
      </c>
      <c r="R424" t="s">
        <v>3599</v>
      </c>
      <c r="S424" t="s">
        <v>3599</v>
      </c>
      <c r="T424">
        <v>1</v>
      </c>
      <c r="U424" t="s">
        <v>868</v>
      </c>
      <c r="V424">
        <v>5</v>
      </c>
      <c r="W424">
        <v>0</v>
      </c>
      <c r="X424">
        <v>0</v>
      </c>
    </row>
    <row r="425" spans="1:24" x14ac:dyDescent="0.3">
      <c r="A425" t="s">
        <v>1353</v>
      </c>
      <c r="B425" t="s">
        <v>1354</v>
      </c>
      <c r="C425">
        <v>1</v>
      </c>
      <c r="D425" t="s">
        <v>11</v>
      </c>
      <c r="E425" t="s">
        <v>21</v>
      </c>
      <c r="F425" t="s">
        <v>22</v>
      </c>
      <c r="H425" t="s">
        <v>71</v>
      </c>
      <c r="I425" t="s">
        <v>3617</v>
      </c>
      <c r="K425" t="s">
        <v>868</v>
      </c>
      <c r="L425" t="s">
        <v>3618</v>
      </c>
      <c r="N425" t="s">
        <v>1354</v>
      </c>
      <c r="Q425" t="s">
        <v>3599</v>
      </c>
      <c r="R425" t="s">
        <v>3599</v>
      </c>
      <c r="S425" t="s">
        <v>3599</v>
      </c>
      <c r="T425">
        <v>1</v>
      </c>
      <c r="U425" t="s">
        <v>868</v>
      </c>
      <c r="V425">
        <v>5</v>
      </c>
      <c r="W425">
        <v>0</v>
      </c>
      <c r="X425">
        <v>0</v>
      </c>
    </row>
    <row r="426" spans="1:24" x14ac:dyDescent="0.3">
      <c r="A426" t="s">
        <v>1355</v>
      </c>
      <c r="B426" t="s">
        <v>1356</v>
      </c>
      <c r="C426">
        <v>1</v>
      </c>
      <c r="D426" t="s">
        <v>11</v>
      </c>
      <c r="E426" t="s">
        <v>21</v>
      </c>
      <c r="F426" t="s">
        <v>22</v>
      </c>
      <c r="H426" t="s">
        <v>71</v>
      </c>
      <c r="I426" t="s">
        <v>3617</v>
      </c>
      <c r="K426" t="s">
        <v>868</v>
      </c>
      <c r="L426" t="s">
        <v>3618</v>
      </c>
      <c r="N426" t="s">
        <v>1356</v>
      </c>
      <c r="Q426" t="s">
        <v>3599</v>
      </c>
      <c r="R426" t="s">
        <v>3599</v>
      </c>
      <c r="S426" t="s">
        <v>3599</v>
      </c>
      <c r="T426">
        <v>1</v>
      </c>
      <c r="U426" t="s">
        <v>868</v>
      </c>
      <c r="V426">
        <v>5</v>
      </c>
      <c r="W426">
        <v>0</v>
      </c>
      <c r="X426">
        <v>0</v>
      </c>
    </row>
    <row r="427" spans="1:24" x14ac:dyDescent="0.3">
      <c r="A427" t="s">
        <v>1357</v>
      </c>
      <c r="B427" t="s">
        <v>1358</v>
      </c>
      <c r="C427">
        <v>1</v>
      </c>
      <c r="D427" t="s">
        <v>11</v>
      </c>
      <c r="E427" t="s">
        <v>21</v>
      </c>
      <c r="F427" t="s">
        <v>22</v>
      </c>
      <c r="H427" t="s">
        <v>71</v>
      </c>
      <c r="I427" t="s">
        <v>3617</v>
      </c>
      <c r="J427" t="s">
        <v>1357</v>
      </c>
      <c r="K427" t="s">
        <v>868</v>
      </c>
      <c r="L427" t="s">
        <v>3618</v>
      </c>
      <c r="M427" t="s">
        <v>1357</v>
      </c>
      <c r="N427" t="s">
        <v>1358</v>
      </c>
      <c r="O427" t="s">
        <v>1220</v>
      </c>
      <c r="Q427" t="s">
        <v>3599</v>
      </c>
      <c r="R427" t="s">
        <v>3599</v>
      </c>
      <c r="S427" t="s">
        <v>3599</v>
      </c>
      <c r="T427">
        <v>1</v>
      </c>
      <c r="U427" t="s">
        <v>868</v>
      </c>
      <c r="V427">
        <v>5</v>
      </c>
      <c r="W427">
        <v>0</v>
      </c>
      <c r="X427">
        <v>0</v>
      </c>
    </row>
    <row r="428" spans="1:24" x14ac:dyDescent="0.3">
      <c r="A428" t="s">
        <v>1359</v>
      </c>
      <c r="B428" t="s">
        <v>1360</v>
      </c>
      <c r="C428">
        <v>1</v>
      </c>
      <c r="D428" t="s">
        <v>11</v>
      </c>
      <c r="E428" t="s">
        <v>21</v>
      </c>
      <c r="F428" t="s">
        <v>22</v>
      </c>
      <c r="H428" t="s">
        <v>71</v>
      </c>
      <c r="I428" t="s">
        <v>3617</v>
      </c>
      <c r="J428" t="s">
        <v>1359</v>
      </c>
      <c r="K428" t="s">
        <v>868</v>
      </c>
      <c r="L428" t="s">
        <v>3618</v>
      </c>
      <c r="M428" t="s">
        <v>1359</v>
      </c>
      <c r="N428" t="s">
        <v>1360</v>
      </c>
      <c r="O428" t="s">
        <v>1362</v>
      </c>
      <c r="P428" t="s">
        <v>1361</v>
      </c>
      <c r="Q428" t="s">
        <v>3599</v>
      </c>
      <c r="R428" t="s">
        <v>3599</v>
      </c>
      <c r="S428" t="s">
        <v>3599</v>
      </c>
      <c r="T428">
        <v>1</v>
      </c>
      <c r="U428" t="s">
        <v>868</v>
      </c>
      <c r="V428">
        <v>5</v>
      </c>
      <c r="W428">
        <v>0</v>
      </c>
      <c r="X428">
        <v>0</v>
      </c>
    </row>
    <row r="429" spans="1:24" x14ac:dyDescent="0.3">
      <c r="A429" t="s">
        <v>1363</v>
      </c>
      <c r="B429" t="s">
        <v>1364</v>
      </c>
      <c r="C429">
        <v>1</v>
      </c>
      <c r="D429" t="s">
        <v>11</v>
      </c>
      <c r="E429" t="s">
        <v>21</v>
      </c>
      <c r="F429" t="s">
        <v>22</v>
      </c>
      <c r="H429" t="s">
        <v>71</v>
      </c>
      <c r="I429" t="s">
        <v>3617</v>
      </c>
      <c r="J429" t="s">
        <v>1363</v>
      </c>
      <c r="K429" t="s">
        <v>868</v>
      </c>
      <c r="L429" t="s">
        <v>3618</v>
      </c>
      <c r="M429" t="s">
        <v>1363</v>
      </c>
      <c r="N429" t="s">
        <v>1364</v>
      </c>
      <c r="Q429" t="s">
        <v>3599</v>
      </c>
      <c r="R429" t="s">
        <v>3599</v>
      </c>
      <c r="S429" t="s">
        <v>3599</v>
      </c>
      <c r="T429">
        <v>1</v>
      </c>
      <c r="U429" t="s">
        <v>868</v>
      </c>
      <c r="V429">
        <v>5</v>
      </c>
      <c r="W429">
        <v>0</v>
      </c>
      <c r="X429">
        <v>0</v>
      </c>
    </row>
    <row r="430" spans="1:24" x14ac:dyDescent="0.3">
      <c r="A430" t="s">
        <v>1365</v>
      </c>
      <c r="B430" t="s">
        <v>1366</v>
      </c>
      <c r="C430">
        <v>1</v>
      </c>
      <c r="D430" t="s">
        <v>11</v>
      </c>
      <c r="E430" t="s">
        <v>21</v>
      </c>
      <c r="F430" t="s">
        <v>22</v>
      </c>
      <c r="H430" t="s">
        <v>71</v>
      </c>
      <c r="I430" t="s">
        <v>3617</v>
      </c>
      <c r="J430" t="s">
        <v>1365</v>
      </c>
      <c r="K430" t="s">
        <v>868</v>
      </c>
      <c r="L430" t="s">
        <v>3618</v>
      </c>
      <c r="M430" t="s">
        <v>1365</v>
      </c>
      <c r="N430" t="s">
        <v>1366</v>
      </c>
      <c r="O430" t="s">
        <v>1367</v>
      </c>
      <c r="Q430" t="s">
        <v>3599</v>
      </c>
      <c r="R430" t="s">
        <v>3599</v>
      </c>
      <c r="S430" t="s">
        <v>3599</v>
      </c>
      <c r="T430">
        <v>1</v>
      </c>
      <c r="U430" t="s">
        <v>868</v>
      </c>
      <c r="V430">
        <v>5</v>
      </c>
      <c r="W430">
        <v>0</v>
      </c>
      <c r="X430">
        <v>0</v>
      </c>
    </row>
    <row r="431" spans="1:24" x14ac:dyDescent="0.3">
      <c r="A431" t="s">
        <v>1368</v>
      </c>
      <c r="B431" t="s">
        <v>1369</v>
      </c>
      <c r="C431">
        <v>1</v>
      </c>
      <c r="D431" t="s">
        <v>11</v>
      </c>
      <c r="E431" t="s">
        <v>21</v>
      </c>
      <c r="F431" t="s">
        <v>22</v>
      </c>
      <c r="H431" t="s">
        <v>71</v>
      </c>
      <c r="I431" t="s">
        <v>3617</v>
      </c>
      <c r="J431" t="s">
        <v>1368</v>
      </c>
      <c r="K431" t="s">
        <v>868</v>
      </c>
      <c r="L431" t="s">
        <v>3618</v>
      </c>
      <c r="M431" t="s">
        <v>1368</v>
      </c>
      <c r="N431" t="s">
        <v>1369</v>
      </c>
      <c r="Q431" t="s">
        <v>3599</v>
      </c>
      <c r="R431" t="s">
        <v>3599</v>
      </c>
      <c r="S431" t="s">
        <v>3599</v>
      </c>
      <c r="T431">
        <v>1</v>
      </c>
      <c r="U431" t="s">
        <v>868</v>
      </c>
      <c r="V431">
        <v>5</v>
      </c>
      <c r="W431">
        <v>0</v>
      </c>
      <c r="X431">
        <v>0</v>
      </c>
    </row>
    <row r="432" spans="1:24" x14ac:dyDescent="0.3">
      <c r="A432" t="s">
        <v>1370</v>
      </c>
      <c r="B432" t="s">
        <v>1371</v>
      </c>
      <c r="C432">
        <v>1</v>
      </c>
      <c r="D432" t="s">
        <v>11</v>
      </c>
      <c r="E432" t="s">
        <v>21</v>
      </c>
      <c r="F432" t="s">
        <v>22</v>
      </c>
      <c r="H432" t="s">
        <v>71</v>
      </c>
      <c r="I432" t="s">
        <v>3617</v>
      </c>
      <c r="J432" t="s">
        <v>1370</v>
      </c>
      <c r="K432" t="s">
        <v>868</v>
      </c>
      <c r="L432" t="s">
        <v>3618</v>
      </c>
      <c r="M432" t="s">
        <v>1370</v>
      </c>
      <c r="N432" t="s">
        <v>1371</v>
      </c>
      <c r="Q432" t="s">
        <v>3599</v>
      </c>
      <c r="R432" t="s">
        <v>3599</v>
      </c>
      <c r="S432" t="s">
        <v>3599</v>
      </c>
      <c r="T432">
        <v>1</v>
      </c>
      <c r="U432" t="s">
        <v>868</v>
      </c>
      <c r="V432">
        <v>5</v>
      </c>
      <c r="W432">
        <v>0</v>
      </c>
      <c r="X432">
        <v>0</v>
      </c>
    </row>
    <row r="433" spans="1:24" x14ac:dyDescent="0.3">
      <c r="A433" t="s">
        <v>1372</v>
      </c>
      <c r="B433" t="s">
        <v>1373</v>
      </c>
      <c r="C433">
        <v>1</v>
      </c>
      <c r="D433" t="s">
        <v>11</v>
      </c>
      <c r="E433" t="s">
        <v>21</v>
      </c>
      <c r="F433" t="s">
        <v>22</v>
      </c>
      <c r="H433" t="s">
        <v>71</v>
      </c>
      <c r="I433" t="s">
        <v>3617</v>
      </c>
      <c r="J433" t="s">
        <v>1372</v>
      </c>
      <c r="K433" t="s">
        <v>868</v>
      </c>
      <c r="L433" t="s">
        <v>3618</v>
      </c>
      <c r="M433" t="s">
        <v>1372</v>
      </c>
      <c r="N433" t="s">
        <v>1373</v>
      </c>
      <c r="Q433" t="s">
        <v>3599</v>
      </c>
      <c r="R433" t="s">
        <v>3599</v>
      </c>
      <c r="S433" t="s">
        <v>3599</v>
      </c>
      <c r="T433">
        <v>1</v>
      </c>
      <c r="U433" t="s">
        <v>868</v>
      </c>
      <c r="V433">
        <v>5</v>
      </c>
      <c r="W433">
        <v>0</v>
      </c>
      <c r="X433">
        <v>0</v>
      </c>
    </row>
    <row r="434" spans="1:24" x14ac:dyDescent="0.3">
      <c r="A434" t="s">
        <v>1374</v>
      </c>
      <c r="B434" t="s">
        <v>1375</v>
      </c>
      <c r="C434">
        <v>1</v>
      </c>
      <c r="D434" t="s">
        <v>11</v>
      </c>
      <c r="E434" t="s">
        <v>21</v>
      </c>
      <c r="F434" t="s">
        <v>22</v>
      </c>
      <c r="H434" t="s">
        <v>71</v>
      </c>
      <c r="I434" t="s">
        <v>3617</v>
      </c>
      <c r="J434" t="s">
        <v>1374</v>
      </c>
      <c r="K434" t="s">
        <v>868</v>
      </c>
      <c r="L434" t="s">
        <v>3618</v>
      </c>
      <c r="M434" t="s">
        <v>1374</v>
      </c>
      <c r="N434" t="s">
        <v>1375</v>
      </c>
      <c r="Q434" t="s">
        <v>3599</v>
      </c>
      <c r="R434" t="s">
        <v>3599</v>
      </c>
      <c r="S434" t="s">
        <v>3599</v>
      </c>
      <c r="T434">
        <v>1</v>
      </c>
      <c r="U434" t="s">
        <v>868</v>
      </c>
      <c r="V434">
        <v>5</v>
      </c>
      <c r="W434">
        <v>0</v>
      </c>
      <c r="X434">
        <v>0</v>
      </c>
    </row>
    <row r="435" spans="1:24" x14ac:dyDescent="0.3">
      <c r="A435" t="s">
        <v>1376</v>
      </c>
      <c r="B435" t="s">
        <v>1377</v>
      </c>
      <c r="C435">
        <v>1</v>
      </c>
      <c r="D435" t="s">
        <v>11</v>
      </c>
      <c r="E435" t="s">
        <v>21</v>
      </c>
      <c r="F435" t="s">
        <v>22</v>
      </c>
      <c r="H435" t="s">
        <v>71</v>
      </c>
      <c r="I435" t="s">
        <v>3617</v>
      </c>
      <c r="J435" t="s">
        <v>1376</v>
      </c>
      <c r="K435" t="s">
        <v>868</v>
      </c>
      <c r="L435" t="s">
        <v>3618</v>
      </c>
      <c r="M435" t="s">
        <v>1376</v>
      </c>
      <c r="N435" t="s">
        <v>1377</v>
      </c>
      <c r="Q435" t="s">
        <v>3599</v>
      </c>
      <c r="R435" t="s">
        <v>3599</v>
      </c>
      <c r="S435" t="s">
        <v>3599</v>
      </c>
      <c r="T435">
        <v>1</v>
      </c>
      <c r="U435" t="s">
        <v>868</v>
      </c>
      <c r="V435">
        <v>5</v>
      </c>
      <c r="W435">
        <v>0</v>
      </c>
      <c r="X435">
        <v>0</v>
      </c>
    </row>
    <row r="436" spans="1:24" x14ac:dyDescent="0.3">
      <c r="A436" t="s">
        <v>1378</v>
      </c>
      <c r="B436" t="s">
        <v>1379</v>
      </c>
      <c r="C436">
        <v>1</v>
      </c>
      <c r="D436" t="s">
        <v>11</v>
      </c>
      <c r="E436" t="s">
        <v>21</v>
      </c>
      <c r="F436" t="s">
        <v>22</v>
      </c>
      <c r="H436" t="s">
        <v>71</v>
      </c>
      <c r="I436" t="s">
        <v>3617</v>
      </c>
      <c r="J436" t="s">
        <v>1378</v>
      </c>
      <c r="K436" t="s">
        <v>868</v>
      </c>
      <c r="L436" t="s">
        <v>3618</v>
      </c>
      <c r="M436" t="s">
        <v>1378</v>
      </c>
      <c r="N436" t="s">
        <v>1379</v>
      </c>
      <c r="O436" t="s">
        <v>1380</v>
      </c>
      <c r="Q436" t="s">
        <v>3599</v>
      </c>
      <c r="R436" t="s">
        <v>3599</v>
      </c>
      <c r="S436" t="s">
        <v>3599</v>
      </c>
      <c r="T436">
        <v>1</v>
      </c>
      <c r="U436" t="s">
        <v>868</v>
      </c>
      <c r="V436">
        <v>5</v>
      </c>
      <c r="W436">
        <v>0</v>
      </c>
      <c r="X436">
        <v>0</v>
      </c>
    </row>
    <row r="437" spans="1:24" x14ac:dyDescent="0.3">
      <c r="A437" t="s">
        <v>1381</v>
      </c>
      <c r="B437" t="s">
        <v>1382</v>
      </c>
      <c r="C437">
        <v>1</v>
      </c>
      <c r="D437" t="s">
        <v>11</v>
      </c>
      <c r="E437" t="s">
        <v>21</v>
      </c>
      <c r="F437" t="s">
        <v>22</v>
      </c>
      <c r="H437" t="s">
        <v>71</v>
      </c>
      <c r="I437" t="s">
        <v>3617</v>
      </c>
      <c r="J437" t="s">
        <v>1381</v>
      </c>
      <c r="K437" t="s">
        <v>868</v>
      </c>
      <c r="L437" t="s">
        <v>3618</v>
      </c>
      <c r="M437" t="s">
        <v>1381</v>
      </c>
      <c r="N437" t="s">
        <v>1382</v>
      </c>
      <c r="Q437" t="s">
        <v>3599</v>
      </c>
      <c r="R437" t="s">
        <v>3599</v>
      </c>
      <c r="S437" t="s">
        <v>3599</v>
      </c>
      <c r="T437">
        <v>1</v>
      </c>
      <c r="U437" t="s">
        <v>868</v>
      </c>
      <c r="V437">
        <v>5</v>
      </c>
      <c r="W437">
        <v>0</v>
      </c>
      <c r="X437">
        <v>0</v>
      </c>
    </row>
    <row r="438" spans="1:24" x14ac:dyDescent="0.3">
      <c r="A438" t="s">
        <v>1383</v>
      </c>
      <c r="B438" t="s">
        <v>1384</v>
      </c>
      <c r="C438">
        <v>1</v>
      </c>
      <c r="D438" t="s">
        <v>11</v>
      </c>
      <c r="E438" t="s">
        <v>21</v>
      </c>
      <c r="F438" t="s">
        <v>22</v>
      </c>
      <c r="H438" t="s">
        <v>71</v>
      </c>
      <c r="I438" t="s">
        <v>3617</v>
      </c>
      <c r="J438" t="s">
        <v>1383</v>
      </c>
      <c r="K438" t="s">
        <v>868</v>
      </c>
      <c r="L438" t="s">
        <v>3618</v>
      </c>
      <c r="M438" t="s">
        <v>1383</v>
      </c>
      <c r="N438" t="s">
        <v>1384</v>
      </c>
      <c r="Q438" t="s">
        <v>3599</v>
      </c>
      <c r="R438" t="s">
        <v>3599</v>
      </c>
      <c r="S438" t="s">
        <v>3599</v>
      </c>
      <c r="T438">
        <v>1</v>
      </c>
      <c r="U438" t="s">
        <v>868</v>
      </c>
      <c r="V438">
        <v>5</v>
      </c>
      <c r="W438">
        <v>0</v>
      </c>
      <c r="X438">
        <v>0</v>
      </c>
    </row>
    <row r="439" spans="1:24" x14ac:dyDescent="0.3">
      <c r="A439" t="s">
        <v>1385</v>
      </c>
      <c r="B439" t="s">
        <v>1386</v>
      </c>
      <c r="C439">
        <v>1</v>
      </c>
      <c r="D439" t="s">
        <v>11</v>
      </c>
      <c r="E439" t="s">
        <v>21</v>
      </c>
      <c r="F439" t="s">
        <v>22</v>
      </c>
      <c r="H439" t="s">
        <v>71</v>
      </c>
      <c r="I439" t="s">
        <v>3617</v>
      </c>
      <c r="J439" t="s">
        <v>1385</v>
      </c>
      <c r="K439" t="s">
        <v>868</v>
      </c>
      <c r="L439" t="s">
        <v>3618</v>
      </c>
      <c r="M439" t="s">
        <v>1385</v>
      </c>
      <c r="N439" t="s">
        <v>1386</v>
      </c>
      <c r="Q439" t="s">
        <v>3599</v>
      </c>
      <c r="R439" t="s">
        <v>3599</v>
      </c>
      <c r="S439" t="s">
        <v>3599</v>
      </c>
      <c r="T439">
        <v>1</v>
      </c>
      <c r="U439" t="s">
        <v>868</v>
      </c>
      <c r="V439">
        <v>5</v>
      </c>
      <c r="W439">
        <v>0</v>
      </c>
      <c r="X439">
        <v>0</v>
      </c>
    </row>
    <row r="440" spans="1:24" x14ac:dyDescent="0.3">
      <c r="A440" t="s">
        <v>1387</v>
      </c>
      <c r="B440" t="s">
        <v>1388</v>
      </c>
      <c r="C440">
        <v>1</v>
      </c>
      <c r="D440" t="s">
        <v>11</v>
      </c>
      <c r="E440" t="s">
        <v>21</v>
      </c>
      <c r="F440" t="s">
        <v>22</v>
      </c>
      <c r="H440" t="s">
        <v>71</v>
      </c>
      <c r="I440" t="s">
        <v>3617</v>
      </c>
      <c r="J440" t="s">
        <v>1387</v>
      </c>
      <c r="K440" t="s">
        <v>868</v>
      </c>
      <c r="L440" t="s">
        <v>3618</v>
      </c>
      <c r="M440" t="s">
        <v>1387</v>
      </c>
      <c r="N440" t="s">
        <v>1388</v>
      </c>
      <c r="Q440" t="s">
        <v>3599</v>
      </c>
      <c r="R440" t="s">
        <v>3599</v>
      </c>
      <c r="S440" t="s">
        <v>3599</v>
      </c>
      <c r="T440">
        <v>1</v>
      </c>
      <c r="U440" t="s">
        <v>868</v>
      </c>
      <c r="V440">
        <v>5</v>
      </c>
      <c r="W440">
        <v>0</v>
      </c>
      <c r="X440">
        <v>0</v>
      </c>
    </row>
    <row r="441" spans="1:24" x14ac:dyDescent="0.3">
      <c r="A441" t="s">
        <v>1389</v>
      </c>
      <c r="B441" t="s">
        <v>1390</v>
      </c>
      <c r="C441">
        <v>1</v>
      </c>
      <c r="D441" t="s">
        <v>11</v>
      </c>
      <c r="E441" t="s">
        <v>21</v>
      </c>
      <c r="F441" t="s">
        <v>22</v>
      </c>
      <c r="H441" t="s">
        <v>71</v>
      </c>
      <c r="I441" t="s">
        <v>3617</v>
      </c>
      <c r="J441" t="s">
        <v>1389</v>
      </c>
      <c r="K441" t="s">
        <v>868</v>
      </c>
      <c r="L441" t="s">
        <v>3618</v>
      </c>
      <c r="M441" t="s">
        <v>1389</v>
      </c>
      <c r="N441" t="s">
        <v>1390</v>
      </c>
      <c r="Q441" t="s">
        <v>3599</v>
      </c>
      <c r="R441" t="s">
        <v>3599</v>
      </c>
      <c r="S441" t="s">
        <v>3599</v>
      </c>
      <c r="T441">
        <v>1</v>
      </c>
      <c r="U441" t="s">
        <v>868</v>
      </c>
      <c r="V441">
        <v>5</v>
      </c>
      <c r="W441">
        <v>0</v>
      </c>
      <c r="X441">
        <v>0</v>
      </c>
    </row>
    <row r="442" spans="1:24" x14ac:dyDescent="0.3">
      <c r="A442" t="s">
        <v>1391</v>
      </c>
      <c r="B442" t="s">
        <v>1392</v>
      </c>
      <c r="C442">
        <v>1</v>
      </c>
      <c r="D442" t="s">
        <v>11</v>
      </c>
      <c r="E442" t="s">
        <v>21</v>
      </c>
      <c r="F442" t="s">
        <v>22</v>
      </c>
      <c r="H442" t="s">
        <v>71</v>
      </c>
      <c r="I442" t="s">
        <v>3617</v>
      </c>
      <c r="J442" t="s">
        <v>1391</v>
      </c>
      <c r="K442" t="s">
        <v>868</v>
      </c>
      <c r="L442" t="s">
        <v>3618</v>
      </c>
      <c r="M442" t="s">
        <v>1391</v>
      </c>
      <c r="N442" t="s">
        <v>1392</v>
      </c>
      <c r="Q442" t="s">
        <v>3599</v>
      </c>
      <c r="R442" t="s">
        <v>3599</v>
      </c>
      <c r="S442" t="s">
        <v>3599</v>
      </c>
      <c r="T442">
        <v>1</v>
      </c>
      <c r="U442" t="s">
        <v>868</v>
      </c>
      <c r="V442">
        <v>5</v>
      </c>
      <c r="W442">
        <v>0</v>
      </c>
      <c r="X442">
        <v>0</v>
      </c>
    </row>
    <row r="443" spans="1:24" x14ac:dyDescent="0.3">
      <c r="A443" t="s">
        <v>1393</v>
      </c>
      <c r="B443" t="s">
        <v>1394</v>
      </c>
      <c r="C443">
        <v>1</v>
      </c>
      <c r="D443" t="s">
        <v>11</v>
      </c>
      <c r="E443" t="s">
        <v>21</v>
      </c>
      <c r="F443" t="s">
        <v>22</v>
      </c>
      <c r="H443" t="s">
        <v>71</v>
      </c>
      <c r="I443" t="s">
        <v>3617</v>
      </c>
      <c r="J443" t="s">
        <v>1393</v>
      </c>
      <c r="K443" t="s">
        <v>868</v>
      </c>
      <c r="L443" t="s">
        <v>3618</v>
      </c>
      <c r="M443" t="s">
        <v>1393</v>
      </c>
      <c r="N443" t="s">
        <v>1394</v>
      </c>
      <c r="Q443" t="s">
        <v>3599</v>
      </c>
      <c r="R443" t="s">
        <v>3599</v>
      </c>
      <c r="S443" t="s">
        <v>3599</v>
      </c>
      <c r="T443">
        <v>1</v>
      </c>
      <c r="U443" t="s">
        <v>868</v>
      </c>
      <c r="V443">
        <v>5</v>
      </c>
      <c r="W443">
        <v>0</v>
      </c>
      <c r="X443">
        <v>0</v>
      </c>
    </row>
    <row r="444" spans="1:24" x14ac:dyDescent="0.3">
      <c r="A444" t="s">
        <v>1395</v>
      </c>
      <c r="B444" t="s">
        <v>1396</v>
      </c>
      <c r="C444">
        <v>1</v>
      </c>
      <c r="D444" t="s">
        <v>11</v>
      </c>
      <c r="E444" t="s">
        <v>21</v>
      </c>
      <c r="F444" t="s">
        <v>22</v>
      </c>
      <c r="H444" t="s">
        <v>71</v>
      </c>
      <c r="I444" t="s">
        <v>3617</v>
      </c>
      <c r="K444" t="s">
        <v>868</v>
      </c>
      <c r="L444" t="s">
        <v>3618</v>
      </c>
      <c r="N444" t="s">
        <v>1396</v>
      </c>
      <c r="Q444" t="s">
        <v>3599</v>
      </c>
      <c r="R444" t="s">
        <v>3599</v>
      </c>
      <c r="S444" t="s">
        <v>3599</v>
      </c>
      <c r="T444">
        <v>1</v>
      </c>
      <c r="U444" t="s">
        <v>868</v>
      </c>
      <c r="V444">
        <v>5</v>
      </c>
      <c r="W444">
        <v>0</v>
      </c>
      <c r="X444">
        <v>0</v>
      </c>
    </row>
    <row r="445" spans="1:24" x14ac:dyDescent="0.3">
      <c r="A445" t="s">
        <v>1397</v>
      </c>
      <c r="B445" t="s">
        <v>1398</v>
      </c>
      <c r="C445">
        <v>1</v>
      </c>
      <c r="D445" t="s">
        <v>11</v>
      </c>
      <c r="E445" t="s">
        <v>21</v>
      </c>
      <c r="F445" t="s">
        <v>22</v>
      </c>
      <c r="H445" t="s">
        <v>71</v>
      </c>
      <c r="I445" t="s">
        <v>3617</v>
      </c>
      <c r="K445" t="s">
        <v>868</v>
      </c>
      <c r="L445" t="s">
        <v>3618</v>
      </c>
      <c r="N445" t="s">
        <v>1398</v>
      </c>
      <c r="Q445" t="s">
        <v>3599</v>
      </c>
      <c r="R445" t="s">
        <v>3599</v>
      </c>
      <c r="S445" t="s">
        <v>3599</v>
      </c>
      <c r="T445">
        <v>1</v>
      </c>
      <c r="U445" t="s">
        <v>868</v>
      </c>
      <c r="V445">
        <v>5</v>
      </c>
      <c r="W445">
        <v>0</v>
      </c>
      <c r="X445">
        <v>0</v>
      </c>
    </row>
    <row r="446" spans="1:24" x14ac:dyDescent="0.3">
      <c r="A446" t="s">
        <v>1399</v>
      </c>
      <c r="B446" t="s">
        <v>1400</v>
      </c>
      <c r="C446">
        <v>1</v>
      </c>
      <c r="D446" t="s">
        <v>11</v>
      </c>
      <c r="E446" t="s">
        <v>21</v>
      </c>
      <c r="F446" t="s">
        <v>22</v>
      </c>
      <c r="H446" t="s">
        <v>71</v>
      </c>
      <c r="I446" t="s">
        <v>3617</v>
      </c>
      <c r="K446" t="s">
        <v>868</v>
      </c>
      <c r="L446" t="s">
        <v>3618</v>
      </c>
      <c r="N446" t="s">
        <v>1400</v>
      </c>
      <c r="Q446" t="s">
        <v>3599</v>
      </c>
      <c r="R446" t="s">
        <v>3599</v>
      </c>
      <c r="S446" t="s">
        <v>3599</v>
      </c>
      <c r="T446">
        <v>1</v>
      </c>
      <c r="U446" t="s">
        <v>868</v>
      </c>
      <c r="V446">
        <v>5</v>
      </c>
      <c r="W446">
        <v>0</v>
      </c>
      <c r="X446">
        <v>0</v>
      </c>
    </row>
    <row r="447" spans="1:24" x14ac:dyDescent="0.3">
      <c r="A447" t="s">
        <v>1401</v>
      </c>
      <c r="B447" t="s">
        <v>1402</v>
      </c>
      <c r="C447">
        <v>1</v>
      </c>
      <c r="D447" t="s">
        <v>11</v>
      </c>
      <c r="E447" t="s">
        <v>21</v>
      </c>
      <c r="F447" t="s">
        <v>22</v>
      </c>
      <c r="H447" t="s">
        <v>71</v>
      </c>
      <c r="I447" t="s">
        <v>3617</v>
      </c>
      <c r="K447" t="s">
        <v>868</v>
      </c>
      <c r="L447" t="s">
        <v>3618</v>
      </c>
      <c r="N447" t="s">
        <v>1402</v>
      </c>
      <c r="Q447" t="s">
        <v>3599</v>
      </c>
      <c r="R447" t="s">
        <v>3599</v>
      </c>
      <c r="S447" t="s">
        <v>3599</v>
      </c>
      <c r="T447">
        <v>1</v>
      </c>
      <c r="U447" t="s">
        <v>868</v>
      </c>
      <c r="V447">
        <v>5</v>
      </c>
      <c r="W447">
        <v>0</v>
      </c>
      <c r="X447">
        <v>0</v>
      </c>
    </row>
    <row r="448" spans="1:24" x14ac:dyDescent="0.3">
      <c r="A448" t="s">
        <v>1403</v>
      </c>
      <c r="B448" t="s">
        <v>1404</v>
      </c>
      <c r="C448">
        <v>1</v>
      </c>
      <c r="D448" t="s">
        <v>11</v>
      </c>
      <c r="E448" t="s">
        <v>21</v>
      </c>
      <c r="F448" t="s">
        <v>22</v>
      </c>
      <c r="H448" t="s">
        <v>71</v>
      </c>
      <c r="I448" t="s">
        <v>3617</v>
      </c>
      <c r="J448" t="s">
        <v>1403</v>
      </c>
      <c r="K448" t="s">
        <v>868</v>
      </c>
      <c r="L448" t="s">
        <v>3618</v>
      </c>
      <c r="M448" t="s">
        <v>1403</v>
      </c>
      <c r="N448" t="s">
        <v>1404</v>
      </c>
      <c r="Q448" t="s">
        <v>3599</v>
      </c>
      <c r="R448" t="s">
        <v>3599</v>
      </c>
      <c r="S448" t="s">
        <v>3599</v>
      </c>
      <c r="T448">
        <v>1</v>
      </c>
      <c r="U448" t="s">
        <v>868</v>
      </c>
      <c r="V448">
        <v>5</v>
      </c>
      <c r="W448">
        <v>0</v>
      </c>
      <c r="X448">
        <v>0</v>
      </c>
    </row>
    <row r="449" spans="1:24" x14ac:dyDescent="0.3">
      <c r="A449" t="s">
        <v>1405</v>
      </c>
      <c r="B449" t="s">
        <v>1406</v>
      </c>
      <c r="C449">
        <v>1</v>
      </c>
      <c r="D449" t="s">
        <v>11</v>
      </c>
      <c r="E449" t="s">
        <v>21</v>
      </c>
      <c r="F449" t="s">
        <v>22</v>
      </c>
      <c r="H449" t="s">
        <v>71</v>
      </c>
      <c r="I449" t="s">
        <v>3617</v>
      </c>
      <c r="J449" t="s">
        <v>1405</v>
      </c>
      <c r="K449" t="s">
        <v>868</v>
      </c>
      <c r="L449" t="s">
        <v>3618</v>
      </c>
      <c r="M449" t="s">
        <v>1405</v>
      </c>
      <c r="N449" t="s">
        <v>1406</v>
      </c>
      <c r="Q449" t="s">
        <v>3599</v>
      </c>
      <c r="R449" t="s">
        <v>3599</v>
      </c>
      <c r="S449" t="s">
        <v>3599</v>
      </c>
      <c r="T449">
        <v>1</v>
      </c>
      <c r="U449" t="s">
        <v>868</v>
      </c>
      <c r="V449">
        <v>5</v>
      </c>
      <c r="W449">
        <v>0</v>
      </c>
      <c r="X449">
        <v>0</v>
      </c>
    </row>
    <row r="450" spans="1:24" x14ac:dyDescent="0.3">
      <c r="A450" t="s">
        <v>1407</v>
      </c>
      <c r="B450" t="s">
        <v>1408</v>
      </c>
      <c r="C450">
        <v>1</v>
      </c>
      <c r="D450" t="s">
        <v>11</v>
      </c>
      <c r="E450" t="s">
        <v>21</v>
      </c>
      <c r="F450" t="s">
        <v>22</v>
      </c>
      <c r="H450" t="s">
        <v>71</v>
      </c>
      <c r="I450" t="s">
        <v>3617</v>
      </c>
      <c r="J450" t="s">
        <v>1407</v>
      </c>
      <c r="K450" t="s">
        <v>868</v>
      </c>
      <c r="L450" t="s">
        <v>3618</v>
      </c>
      <c r="M450" t="s">
        <v>1407</v>
      </c>
      <c r="N450" t="s">
        <v>1408</v>
      </c>
      <c r="O450" t="s">
        <v>1409</v>
      </c>
      <c r="Q450" t="s">
        <v>3599</v>
      </c>
      <c r="R450" t="s">
        <v>3599</v>
      </c>
      <c r="S450" t="s">
        <v>3599</v>
      </c>
      <c r="T450">
        <v>1</v>
      </c>
      <c r="U450" t="s">
        <v>868</v>
      </c>
      <c r="V450">
        <v>5</v>
      </c>
      <c r="W450">
        <v>0</v>
      </c>
      <c r="X450">
        <v>0</v>
      </c>
    </row>
    <row r="451" spans="1:24" x14ac:dyDescent="0.3">
      <c r="A451" t="s">
        <v>1410</v>
      </c>
      <c r="B451" t="s">
        <v>1411</v>
      </c>
      <c r="C451">
        <v>1</v>
      </c>
      <c r="D451" t="s">
        <v>11</v>
      </c>
      <c r="E451" t="s">
        <v>21</v>
      </c>
      <c r="F451" t="s">
        <v>22</v>
      </c>
      <c r="H451" t="s">
        <v>71</v>
      </c>
      <c r="I451" t="s">
        <v>3617</v>
      </c>
      <c r="J451" t="s">
        <v>1410</v>
      </c>
      <c r="K451" t="s">
        <v>868</v>
      </c>
      <c r="L451" t="s">
        <v>3618</v>
      </c>
      <c r="M451" t="s">
        <v>1410</v>
      </c>
      <c r="N451" t="s">
        <v>1411</v>
      </c>
      <c r="Q451" t="s">
        <v>3599</v>
      </c>
      <c r="R451" t="s">
        <v>3599</v>
      </c>
      <c r="S451" t="s">
        <v>3599</v>
      </c>
      <c r="T451">
        <v>1</v>
      </c>
      <c r="U451" t="s">
        <v>868</v>
      </c>
      <c r="V451">
        <v>5</v>
      </c>
      <c r="W451">
        <v>0</v>
      </c>
      <c r="X451">
        <v>0</v>
      </c>
    </row>
    <row r="452" spans="1:24" x14ac:dyDescent="0.3">
      <c r="A452" t="s">
        <v>1412</v>
      </c>
      <c r="B452" t="s">
        <v>1413</v>
      </c>
      <c r="C452">
        <v>1</v>
      </c>
      <c r="D452" t="s">
        <v>11</v>
      </c>
      <c r="E452" t="s">
        <v>21</v>
      </c>
      <c r="F452" t="s">
        <v>22</v>
      </c>
      <c r="H452" t="s">
        <v>71</v>
      </c>
      <c r="I452" t="s">
        <v>3617</v>
      </c>
      <c r="J452" t="s">
        <v>1412</v>
      </c>
      <c r="K452" t="s">
        <v>868</v>
      </c>
      <c r="L452" t="s">
        <v>3618</v>
      </c>
      <c r="M452" t="s">
        <v>1412</v>
      </c>
      <c r="N452" t="s">
        <v>1413</v>
      </c>
      <c r="Q452" t="s">
        <v>3599</v>
      </c>
      <c r="R452" t="s">
        <v>3599</v>
      </c>
      <c r="S452" t="s">
        <v>3599</v>
      </c>
      <c r="T452">
        <v>1</v>
      </c>
      <c r="U452" t="s">
        <v>868</v>
      </c>
      <c r="V452">
        <v>5</v>
      </c>
      <c r="W452">
        <v>0</v>
      </c>
      <c r="X452">
        <v>0</v>
      </c>
    </row>
    <row r="453" spans="1:24" x14ac:dyDescent="0.3">
      <c r="A453" t="s">
        <v>1414</v>
      </c>
      <c r="B453" t="s">
        <v>1415</v>
      </c>
      <c r="C453">
        <v>1</v>
      </c>
      <c r="D453" t="s">
        <v>11</v>
      </c>
      <c r="E453" t="s">
        <v>21</v>
      </c>
      <c r="F453" t="s">
        <v>22</v>
      </c>
      <c r="H453" t="s">
        <v>71</v>
      </c>
      <c r="I453" t="s">
        <v>3617</v>
      </c>
      <c r="J453" t="s">
        <v>1414</v>
      </c>
      <c r="K453" t="s">
        <v>868</v>
      </c>
      <c r="L453" t="s">
        <v>3618</v>
      </c>
      <c r="M453" t="s">
        <v>1414</v>
      </c>
      <c r="N453" t="s">
        <v>1415</v>
      </c>
      <c r="O453" t="s">
        <v>1416</v>
      </c>
      <c r="Q453" t="s">
        <v>3599</v>
      </c>
      <c r="R453" t="s">
        <v>3599</v>
      </c>
      <c r="S453" t="s">
        <v>3599</v>
      </c>
      <c r="T453">
        <v>1</v>
      </c>
      <c r="U453" t="s">
        <v>868</v>
      </c>
      <c r="V453">
        <v>5</v>
      </c>
      <c r="W453">
        <v>0</v>
      </c>
      <c r="X453">
        <v>0</v>
      </c>
    </row>
    <row r="454" spans="1:24" x14ac:dyDescent="0.3">
      <c r="A454" t="s">
        <v>1417</v>
      </c>
      <c r="B454" t="s">
        <v>1418</v>
      </c>
      <c r="C454">
        <v>1</v>
      </c>
      <c r="D454" t="s">
        <v>11</v>
      </c>
      <c r="E454" t="s">
        <v>21</v>
      </c>
      <c r="F454" t="s">
        <v>22</v>
      </c>
      <c r="H454" t="s">
        <v>71</v>
      </c>
      <c r="I454" t="s">
        <v>3617</v>
      </c>
      <c r="J454" t="s">
        <v>1417</v>
      </c>
      <c r="K454" t="s">
        <v>868</v>
      </c>
      <c r="L454" t="s">
        <v>3618</v>
      </c>
      <c r="M454" t="s">
        <v>1417</v>
      </c>
      <c r="N454" t="s">
        <v>1418</v>
      </c>
      <c r="Q454" t="s">
        <v>3599</v>
      </c>
      <c r="R454" t="s">
        <v>3599</v>
      </c>
      <c r="S454" t="s">
        <v>3599</v>
      </c>
      <c r="T454">
        <v>1</v>
      </c>
      <c r="U454" t="s">
        <v>868</v>
      </c>
      <c r="V454">
        <v>5</v>
      </c>
      <c r="W454">
        <v>0</v>
      </c>
      <c r="X454">
        <v>0</v>
      </c>
    </row>
    <row r="455" spans="1:24" x14ac:dyDescent="0.3">
      <c r="A455" t="s">
        <v>1419</v>
      </c>
      <c r="B455" t="s">
        <v>1420</v>
      </c>
      <c r="C455">
        <v>1</v>
      </c>
      <c r="D455" t="s">
        <v>11</v>
      </c>
      <c r="E455" t="s">
        <v>21</v>
      </c>
      <c r="F455" t="s">
        <v>22</v>
      </c>
      <c r="H455" t="s">
        <v>71</v>
      </c>
      <c r="I455" t="s">
        <v>3617</v>
      </c>
      <c r="J455" t="s">
        <v>1419</v>
      </c>
      <c r="K455" t="s">
        <v>868</v>
      </c>
      <c r="L455" t="s">
        <v>3618</v>
      </c>
      <c r="M455" t="s">
        <v>1419</v>
      </c>
      <c r="N455" t="s">
        <v>1420</v>
      </c>
      <c r="Q455" t="s">
        <v>3599</v>
      </c>
      <c r="R455" t="s">
        <v>3599</v>
      </c>
      <c r="S455" t="s">
        <v>3599</v>
      </c>
      <c r="T455">
        <v>1</v>
      </c>
      <c r="U455" t="s">
        <v>868</v>
      </c>
      <c r="V455">
        <v>5</v>
      </c>
      <c r="W455">
        <v>0</v>
      </c>
      <c r="X455">
        <v>0</v>
      </c>
    </row>
    <row r="456" spans="1:24" x14ac:dyDescent="0.3">
      <c r="A456" t="s">
        <v>1421</v>
      </c>
      <c r="B456" t="s">
        <v>1422</v>
      </c>
      <c r="C456">
        <v>1</v>
      </c>
      <c r="D456" t="s">
        <v>11</v>
      </c>
      <c r="E456" t="s">
        <v>21</v>
      </c>
      <c r="F456" t="s">
        <v>22</v>
      </c>
      <c r="H456" t="s">
        <v>71</v>
      </c>
      <c r="I456" t="s">
        <v>3617</v>
      </c>
      <c r="J456" t="s">
        <v>1421</v>
      </c>
      <c r="K456" t="s">
        <v>868</v>
      </c>
      <c r="L456" t="s">
        <v>3618</v>
      </c>
      <c r="M456" t="s">
        <v>1421</v>
      </c>
      <c r="N456" t="s">
        <v>1422</v>
      </c>
      <c r="Q456" t="s">
        <v>3599</v>
      </c>
      <c r="R456" t="s">
        <v>3599</v>
      </c>
      <c r="S456" t="s">
        <v>3599</v>
      </c>
      <c r="T456">
        <v>1</v>
      </c>
      <c r="U456" t="s">
        <v>868</v>
      </c>
      <c r="V456">
        <v>5</v>
      </c>
      <c r="W456">
        <v>0</v>
      </c>
      <c r="X456">
        <v>0</v>
      </c>
    </row>
    <row r="457" spans="1:24" x14ac:dyDescent="0.3">
      <c r="A457" t="s">
        <v>1423</v>
      </c>
      <c r="B457" t="s">
        <v>1424</v>
      </c>
      <c r="C457">
        <v>1</v>
      </c>
      <c r="D457" t="s">
        <v>11</v>
      </c>
      <c r="E457" t="s">
        <v>21</v>
      </c>
      <c r="F457" t="s">
        <v>22</v>
      </c>
      <c r="H457" t="s">
        <v>71</v>
      </c>
      <c r="I457" t="s">
        <v>3617</v>
      </c>
      <c r="J457" t="s">
        <v>1423</v>
      </c>
      <c r="K457" t="s">
        <v>868</v>
      </c>
      <c r="L457" t="s">
        <v>3618</v>
      </c>
      <c r="M457" t="s">
        <v>1423</v>
      </c>
      <c r="N457" t="s">
        <v>1424</v>
      </c>
      <c r="Q457" t="s">
        <v>3599</v>
      </c>
      <c r="R457" t="s">
        <v>3599</v>
      </c>
      <c r="S457" t="s">
        <v>3599</v>
      </c>
      <c r="T457">
        <v>1</v>
      </c>
      <c r="U457" t="s">
        <v>868</v>
      </c>
      <c r="V457">
        <v>5</v>
      </c>
      <c r="W457">
        <v>0</v>
      </c>
      <c r="X457">
        <v>0</v>
      </c>
    </row>
    <row r="458" spans="1:24" x14ac:dyDescent="0.3">
      <c r="A458" t="s">
        <v>1425</v>
      </c>
      <c r="B458" t="s">
        <v>1426</v>
      </c>
      <c r="C458">
        <v>1</v>
      </c>
      <c r="D458" t="s">
        <v>11</v>
      </c>
      <c r="E458" t="s">
        <v>21</v>
      </c>
      <c r="F458" t="s">
        <v>22</v>
      </c>
      <c r="H458" t="s">
        <v>71</v>
      </c>
      <c r="I458" t="s">
        <v>3617</v>
      </c>
      <c r="J458" t="s">
        <v>1425</v>
      </c>
      <c r="K458" t="s">
        <v>868</v>
      </c>
      <c r="L458" t="s">
        <v>3618</v>
      </c>
      <c r="M458" t="s">
        <v>1425</v>
      </c>
      <c r="N458" t="s">
        <v>1426</v>
      </c>
      <c r="O458" t="s">
        <v>1427</v>
      </c>
      <c r="Q458" t="s">
        <v>3599</v>
      </c>
      <c r="R458" t="s">
        <v>3599</v>
      </c>
      <c r="S458" t="s">
        <v>3599</v>
      </c>
      <c r="T458">
        <v>1</v>
      </c>
      <c r="U458" t="s">
        <v>868</v>
      </c>
      <c r="V458">
        <v>5</v>
      </c>
      <c r="W458">
        <v>0</v>
      </c>
      <c r="X458">
        <v>0</v>
      </c>
    </row>
    <row r="459" spans="1:24" x14ac:dyDescent="0.3">
      <c r="A459" t="s">
        <v>1428</v>
      </c>
      <c r="B459" t="s">
        <v>1429</v>
      </c>
      <c r="C459">
        <v>1</v>
      </c>
      <c r="D459" t="s">
        <v>11</v>
      </c>
      <c r="E459" t="s">
        <v>21</v>
      </c>
      <c r="F459" t="s">
        <v>22</v>
      </c>
      <c r="H459" t="s">
        <v>71</v>
      </c>
      <c r="I459" t="s">
        <v>3617</v>
      </c>
      <c r="J459" t="s">
        <v>1428</v>
      </c>
      <c r="K459" t="s">
        <v>868</v>
      </c>
      <c r="L459" t="s">
        <v>3618</v>
      </c>
      <c r="M459" t="s">
        <v>1428</v>
      </c>
      <c r="N459" t="s">
        <v>1429</v>
      </c>
      <c r="Q459" t="s">
        <v>3599</v>
      </c>
      <c r="R459" t="s">
        <v>3599</v>
      </c>
      <c r="S459" t="s">
        <v>3599</v>
      </c>
      <c r="T459">
        <v>1</v>
      </c>
      <c r="U459" t="s">
        <v>868</v>
      </c>
      <c r="V459">
        <v>5</v>
      </c>
      <c r="W459">
        <v>0</v>
      </c>
      <c r="X459">
        <v>0</v>
      </c>
    </row>
    <row r="460" spans="1:24" x14ac:dyDescent="0.3">
      <c r="A460" t="s">
        <v>1430</v>
      </c>
      <c r="B460" t="s">
        <v>1431</v>
      </c>
      <c r="C460">
        <v>1</v>
      </c>
      <c r="D460" t="s">
        <v>11</v>
      </c>
      <c r="E460" t="s">
        <v>21</v>
      </c>
      <c r="F460" t="s">
        <v>22</v>
      </c>
      <c r="H460" t="s">
        <v>71</v>
      </c>
      <c r="I460" t="s">
        <v>3617</v>
      </c>
      <c r="K460" t="s">
        <v>868</v>
      </c>
      <c r="L460" t="s">
        <v>3618</v>
      </c>
      <c r="N460" t="s">
        <v>1431</v>
      </c>
      <c r="Q460" t="s">
        <v>3599</v>
      </c>
      <c r="R460" t="s">
        <v>3599</v>
      </c>
      <c r="S460" t="s">
        <v>3599</v>
      </c>
      <c r="T460">
        <v>1</v>
      </c>
      <c r="U460" t="s">
        <v>868</v>
      </c>
      <c r="V460">
        <v>5</v>
      </c>
      <c r="W460">
        <v>0</v>
      </c>
      <c r="X460">
        <v>0</v>
      </c>
    </row>
    <row r="461" spans="1:24" x14ac:dyDescent="0.3">
      <c r="A461" t="s">
        <v>1432</v>
      </c>
      <c r="B461" t="s">
        <v>1433</v>
      </c>
      <c r="C461">
        <v>1</v>
      </c>
      <c r="D461" t="s">
        <v>11</v>
      </c>
      <c r="E461" t="s">
        <v>21</v>
      </c>
      <c r="F461" t="s">
        <v>22</v>
      </c>
      <c r="H461" t="s">
        <v>71</v>
      </c>
      <c r="I461" t="s">
        <v>3617</v>
      </c>
      <c r="J461" t="s">
        <v>1432</v>
      </c>
      <c r="K461" t="s">
        <v>868</v>
      </c>
      <c r="L461" t="s">
        <v>3618</v>
      </c>
      <c r="M461" t="s">
        <v>1432</v>
      </c>
      <c r="N461" t="s">
        <v>1433</v>
      </c>
      <c r="O461" t="s">
        <v>1434</v>
      </c>
      <c r="Q461" t="s">
        <v>3599</v>
      </c>
      <c r="R461" t="s">
        <v>3599</v>
      </c>
      <c r="S461" t="s">
        <v>3599</v>
      </c>
      <c r="T461">
        <v>1</v>
      </c>
      <c r="U461" t="s">
        <v>868</v>
      </c>
      <c r="V461">
        <v>5</v>
      </c>
      <c r="W461">
        <v>0</v>
      </c>
      <c r="X461">
        <v>0</v>
      </c>
    </row>
    <row r="462" spans="1:24" x14ac:dyDescent="0.3">
      <c r="A462" t="s">
        <v>1435</v>
      </c>
      <c r="B462" t="s">
        <v>1436</v>
      </c>
      <c r="C462">
        <v>1</v>
      </c>
      <c r="D462" t="s">
        <v>11</v>
      </c>
      <c r="E462" t="s">
        <v>21</v>
      </c>
      <c r="F462" t="s">
        <v>22</v>
      </c>
      <c r="H462" t="s">
        <v>71</v>
      </c>
      <c r="I462" t="s">
        <v>3617</v>
      </c>
      <c r="J462" t="s">
        <v>1435</v>
      </c>
      <c r="K462" t="s">
        <v>868</v>
      </c>
      <c r="L462" t="s">
        <v>3618</v>
      </c>
      <c r="M462" t="s">
        <v>1435</v>
      </c>
      <c r="N462" t="s">
        <v>1436</v>
      </c>
      <c r="Q462" t="s">
        <v>3599</v>
      </c>
      <c r="R462" t="s">
        <v>3599</v>
      </c>
      <c r="S462" t="s">
        <v>3599</v>
      </c>
      <c r="T462">
        <v>1</v>
      </c>
      <c r="U462" t="s">
        <v>868</v>
      </c>
      <c r="V462">
        <v>5</v>
      </c>
      <c r="W462">
        <v>0</v>
      </c>
      <c r="X462">
        <v>0</v>
      </c>
    </row>
    <row r="463" spans="1:24" x14ac:dyDescent="0.3">
      <c r="A463" t="s">
        <v>1437</v>
      </c>
      <c r="B463" t="s">
        <v>1438</v>
      </c>
      <c r="C463">
        <v>1</v>
      </c>
      <c r="D463" t="s">
        <v>11</v>
      </c>
      <c r="E463" t="s">
        <v>21</v>
      </c>
      <c r="F463" t="s">
        <v>22</v>
      </c>
      <c r="H463" t="s">
        <v>71</v>
      </c>
      <c r="I463" t="s">
        <v>3617</v>
      </c>
      <c r="J463" t="s">
        <v>1437</v>
      </c>
      <c r="K463" t="s">
        <v>868</v>
      </c>
      <c r="L463" t="s">
        <v>3618</v>
      </c>
      <c r="M463" t="s">
        <v>1437</v>
      </c>
      <c r="N463" t="s">
        <v>1438</v>
      </c>
      <c r="Q463" t="s">
        <v>3599</v>
      </c>
      <c r="R463" t="s">
        <v>3599</v>
      </c>
      <c r="S463" t="s">
        <v>3599</v>
      </c>
      <c r="T463">
        <v>1</v>
      </c>
      <c r="U463" t="s">
        <v>868</v>
      </c>
      <c r="V463">
        <v>5</v>
      </c>
      <c r="W463">
        <v>0</v>
      </c>
      <c r="X463">
        <v>0</v>
      </c>
    </row>
    <row r="464" spans="1:24" x14ac:dyDescent="0.3">
      <c r="A464" t="s">
        <v>1439</v>
      </c>
      <c r="B464" t="s">
        <v>1440</v>
      </c>
      <c r="C464">
        <v>1</v>
      </c>
      <c r="D464" t="s">
        <v>11</v>
      </c>
      <c r="E464" t="s">
        <v>21</v>
      </c>
      <c r="F464" t="s">
        <v>22</v>
      </c>
      <c r="H464" t="s">
        <v>71</v>
      </c>
      <c r="I464" t="s">
        <v>3617</v>
      </c>
      <c r="J464" t="s">
        <v>1439</v>
      </c>
      <c r="K464" t="s">
        <v>868</v>
      </c>
      <c r="L464" t="s">
        <v>3618</v>
      </c>
      <c r="M464" t="s">
        <v>1439</v>
      </c>
      <c r="N464" t="s">
        <v>1440</v>
      </c>
      <c r="Q464" t="s">
        <v>3599</v>
      </c>
      <c r="R464" t="s">
        <v>3599</v>
      </c>
      <c r="S464" t="s">
        <v>3599</v>
      </c>
      <c r="T464">
        <v>1</v>
      </c>
      <c r="U464" t="s">
        <v>868</v>
      </c>
      <c r="V464">
        <v>5</v>
      </c>
      <c r="W464">
        <v>0</v>
      </c>
      <c r="X464">
        <v>0</v>
      </c>
    </row>
    <row r="465" spans="1:24" x14ac:dyDescent="0.3">
      <c r="A465" t="s">
        <v>1441</v>
      </c>
      <c r="B465" t="s">
        <v>1442</v>
      </c>
      <c r="C465">
        <v>1</v>
      </c>
      <c r="D465" t="s">
        <v>11</v>
      </c>
      <c r="E465" t="s">
        <v>21</v>
      </c>
      <c r="F465" t="s">
        <v>22</v>
      </c>
      <c r="H465" t="s">
        <v>71</v>
      </c>
      <c r="I465" t="s">
        <v>3617</v>
      </c>
      <c r="J465" t="s">
        <v>1441</v>
      </c>
      <c r="K465" t="s">
        <v>868</v>
      </c>
      <c r="L465" t="s">
        <v>3618</v>
      </c>
      <c r="M465" t="s">
        <v>1441</v>
      </c>
      <c r="N465" t="s">
        <v>1442</v>
      </c>
      <c r="Q465" t="s">
        <v>3599</v>
      </c>
      <c r="R465" t="s">
        <v>3599</v>
      </c>
      <c r="S465" t="s">
        <v>3599</v>
      </c>
      <c r="T465">
        <v>1</v>
      </c>
      <c r="U465" t="s">
        <v>868</v>
      </c>
      <c r="V465">
        <v>5</v>
      </c>
      <c r="W465">
        <v>0</v>
      </c>
      <c r="X465">
        <v>0</v>
      </c>
    </row>
    <row r="466" spans="1:24" x14ac:dyDescent="0.3">
      <c r="A466" t="s">
        <v>1443</v>
      </c>
      <c r="B466" t="s">
        <v>1444</v>
      </c>
      <c r="C466">
        <v>1</v>
      </c>
      <c r="D466" t="s">
        <v>11</v>
      </c>
      <c r="E466" t="s">
        <v>21</v>
      </c>
      <c r="F466" t="s">
        <v>22</v>
      </c>
      <c r="H466" t="s">
        <v>71</v>
      </c>
      <c r="I466" t="s">
        <v>3617</v>
      </c>
      <c r="J466" t="s">
        <v>1443</v>
      </c>
      <c r="K466" t="s">
        <v>868</v>
      </c>
      <c r="L466" t="s">
        <v>3618</v>
      </c>
      <c r="M466" t="s">
        <v>1443</v>
      </c>
      <c r="N466" t="s">
        <v>1444</v>
      </c>
      <c r="Q466" t="s">
        <v>3599</v>
      </c>
      <c r="R466" t="s">
        <v>3599</v>
      </c>
      <c r="S466" t="s">
        <v>3599</v>
      </c>
      <c r="T466">
        <v>1</v>
      </c>
      <c r="U466" t="s">
        <v>868</v>
      </c>
      <c r="V466">
        <v>5</v>
      </c>
      <c r="W466">
        <v>0</v>
      </c>
      <c r="X466">
        <v>0</v>
      </c>
    </row>
    <row r="467" spans="1:24" x14ac:dyDescent="0.3">
      <c r="A467" t="s">
        <v>1445</v>
      </c>
      <c r="B467" t="s">
        <v>1446</v>
      </c>
      <c r="C467">
        <v>1</v>
      </c>
      <c r="D467" t="s">
        <v>11</v>
      </c>
      <c r="E467" t="s">
        <v>21</v>
      </c>
      <c r="F467" t="s">
        <v>22</v>
      </c>
      <c r="H467" t="s">
        <v>71</v>
      </c>
      <c r="I467" t="s">
        <v>3617</v>
      </c>
      <c r="J467" t="s">
        <v>1445</v>
      </c>
      <c r="K467" t="s">
        <v>868</v>
      </c>
      <c r="L467" t="s">
        <v>3618</v>
      </c>
      <c r="M467" t="s">
        <v>1445</v>
      </c>
      <c r="N467" t="s">
        <v>1446</v>
      </c>
      <c r="Q467" t="s">
        <v>3599</v>
      </c>
      <c r="R467" t="s">
        <v>3599</v>
      </c>
      <c r="S467" t="s">
        <v>3599</v>
      </c>
      <c r="T467">
        <v>1</v>
      </c>
      <c r="U467" t="s">
        <v>868</v>
      </c>
      <c r="V467">
        <v>5</v>
      </c>
      <c r="W467">
        <v>0</v>
      </c>
      <c r="X467">
        <v>0</v>
      </c>
    </row>
    <row r="468" spans="1:24" x14ac:dyDescent="0.3">
      <c r="A468" t="s">
        <v>1447</v>
      </c>
      <c r="B468" t="s">
        <v>1448</v>
      </c>
      <c r="C468">
        <v>1</v>
      </c>
      <c r="D468" t="s">
        <v>11</v>
      </c>
      <c r="E468" t="s">
        <v>21</v>
      </c>
      <c r="F468" t="s">
        <v>22</v>
      </c>
      <c r="H468" t="s">
        <v>71</v>
      </c>
      <c r="I468" t="s">
        <v>3617</v>
      </c>
      <c r="J468" t="s">
        <v>1447</v>
      </c>
      <c r="K468" t="s">
        <v>868</v>
      </c>
      <c r="L468" t="s">
        <v>3618</v>
      </c>
      <c r="M468" t="s">
        <v>1447</v>
      </c>
      <c r="N468" t="s">
        <v>1448</v>
      </c>
      <c r="Q468" t="s">
        <v>3599</v>
      </c>
      <c r="R468" t="s">
        <v>3599</v>
      </c>
      <c r="S468" t="s">
        <v>3599</v>
      </c>
      <c r="T468">
        <v>1</v>
      </c>
      <c r="U468" t="s">
        <v>868</v>
      </c>
      <c r="V468">
        <v>5</v>
      </c>
      <c r="W468">
        <v>0</v>
      </c>
      <c r="X468">
        <v>0</v>
      </c>
    </row>
    <row r="469" spans="1:24" x14ac:dyDescent="0.3">
      <c r="A469" t="s">
        <v>1449</v>
      </c>
      <c r="B469" t="s">
        <v>1450</v>
      </c>
      <c r="C469">
        <v>1</v>
      </c>
      <c r="D469" t="s">
        <v>11</v>
      </c>
      <c r="E469" t="s">
        <v>21</v>
      </c>
      <c r="F469" t="s">
        <v>22</v>
      </c>
      <c r="H469" t="s">
        <v>71</v>
      </c>
      <c r="I469" t="s">
        <v>3617</v>
      </c>
      <c r="K469" t="s">
        <v>868</v>
      </c>
      <c r="L469" t="s">
        <v>3618</v>
      </c>
      <c r="N469" t="s">
        <v>1450</v>
      </c>
      <c r="Q469" t="s">
        <v>3599</v>
      </c>
      <c r="R469" t="s">
        <v>3599</v>
      </c>
      <c r="S469" t="s">
        <v>3599</v>
      </c>
      <c r="T469">
        <v>1</v>
      </c>
      <c r="U469" t="s">
        <v>868</v>
      </c>
      <c r="V469">
        <v>5</v>
      </c>
      <c r="W469">
        <v>0</v>
      </c>
      <c r="X469">
        <v>0</v>
      </c>
    </row>
    <row r="470" spans="1:24" x14ac:dyDescent="0.3">
      <c r="A470" t="s">
        <v>1451</v>
      </c>
      <c r="B470" t="s">
        <v>1452</v>
      </c>
      <c r="C470">
        <v>1</v>
      </c>
      <c r="D470" t="s">
        <v>11</v>
      </c>
      <c r="E470" t="s">
        <v>21</v>
      </c>
      <c r="F470" t="s">
        <v>22</v>
      </c>
      <c r="H470" t="s">
        <v>71</v>
      </c>
      <c r="I470" t="s">
        <v>3617</v>
      </c>
      <c r="K470" t="s">
        <v>868</v>
      </c>
      <c r="L470" t="s">
        <v>3618</v>
      </c>
      <c r="N470" t="s">
        <v>1452</v>
      </c>
      <c r="Q470" t="s">
        <v>3599</v>
      </c>
      <c r="R470" t="s">
        <v>3599</v>
      </c>
      <c r="S470" t="s">
        <v>3599</v>
      </c>
      <c r="T470">
        <v>1</v>
      </c>
      <c r="U470" t="s">
        <v>868</v>
      </c>
      <c r="V470">
        <v>5</v>
      </c>
      <c r="W470">
        <v>0</v>
      </c>
      <c r="X470">
        <v>0</v>
      </c>
    </row>
    <row r="471" spans="1:24" x14ac:dyDescent="0.3">
      <c r="A471" t="s">
        <v>1453</v>
      </c>
      <c r="B471" t="s">
        <v>1454</v>
      </c>
      <c r="C471">
        <v>1</v>
      </c>
      <c r="D471" t="s">
        <v>11</v>
      </c>
      <c r="E471" t="s">
        <v>21</v>
      </c>
      <c r="F471" t="s">
        <v>22</v>
      </c>
      <c r="H471" t="s">
        <v>71</v>
      </c>
      <c r="I471" t="s">
        <v>3617</v>
      </c>
      <c r="K471" t="s">
        <v>868</v>
      </c>
      <c r="L471" t="s">
        <v>3618</v>
      </c>
      <c r="N471" t="s">
        <v>1454</v>
      </c>
      <c r="Q471" t="s">
        <v>3599</v>
      </c>
      <c r="R471" t="s">
        <v>3599</v>
      </c>
      <c r="S471" t="s">
        <v>3599</v>
      </c>
      <c r="T471">
        <v>1</v>
      </c>
      <c r="U471" t="s">
        <v>868</v>
      </c>
      <c r="V471">
        <v>5</v>
      </c>
      <c r="W471">
        <v>0</v>
      </c>
      <c r="X471">
        <v>0</v>
      </c>
    </row>
    <row r="472" spans="1:24" x14ac:dyDescent="0.3">
      <c r="A472" t="s">
        <v>1455</v>
      </c>
      <c r="B472" t="s">
        <v>1456</v>
      </c>
      <c r="C472">
        <v>1</v>
      </c>
      <c r="D472" t="s">
        <v>11</v>
      </c>
      <c r="E472" t="s">
        <v>21</v>
      </c>
      <c r="F472" t="s">
        <v>22</v>
      </c>
      <c r="H472" t="s">
        <v>71</v>
      </c>
      <c r="I472" t="s">
        <v>3617</v>
      </c>
      <c r="J472" t="s">
        <v>1455</v>
      </c>
      <c r="K472" t="s">
        <v>868</v>
      </c>
      <c r="L472" t="s">
        <v>3618</v>
      </c>
      <c r="M472" t="s">
        <v>1455</v>
      </c>
      <c r="N472" t="s">
        <v>1456</v>
      </c>
      <c r="Q472" t="s">
        <v>3599</v>
      </c>
      <c r="R472" t="s">
        <v>3599</v>
      </c>
      <c r="S472" t="s">
        <v>3599</v>
      </c>
      <c r="T472">
        <v>1</v>
      </c>
      <c r="U472" t="s">
        <v>868</v>
      </c>
      <c r="V472">
        <v>5</v>
      </c>
      <c r="W472">
        <v>0</v>
      </c>
      <c r="X472">
        <v>0</v>
      </c>
    </row>
    <row r="473" spans="1:24" x14ac:dyDescent="0.3">
      <c r="A473" t="s">
        <v>1457</v>
      </c>
      <c r="B473" t="s">
        <v>1458</v>
      </c>
      <c r="C473">
        <v>1</v>
      </c>
      <c r="D473" t="s">
        <v>11</v>
      </c>
      <c r="E473" t="s">
        <v>21</v>
      </c>
      <c r="F473" t="s">
        <v>22</v>
      </c>
      <c r="H473" t="s">
        <v>71</v>
      </c>
      <c r="I473" t="s">
        <v>3617</v>
      </c>
      <c r="J473" t="s">
        <v>1457</v>
      </c>
      <c r="K473" t="s">
        <v>868</v>
      </c>
      <c r="L473" t="s">
        <v>3618</v>
      </c>
      <c r="M473" t="s">
        <v>1457</v>
      </c>
      <c r="N473" t="s">
        <v>1458</v>
      </c>
      <c r="Q473" t="s">
        <v>3599</v>
      </c>
      <c r="R473" t="s">
        <v>3599</v>
      </c>
      <c r="S473" t="s">
        <v>3599</v>
      </c>
      <c r="T473">
        <v>1</v>
      </c>
      <c r="U473" t="s">
        <v>868</v>
      </c>
      <c r="V473">
        <v>5</v>
      </c>
      <c r="W473">
        <v>0</v>
      </c>
      <c r="X473">
        <v>0</v>
      </c>
    </row>
    <row r="474" spans="1:24" x14ac:dyDescent="0.3">
      <c r="A474" t="s">
        <v>1459</v>
      </c>
      <c r="B474" t="s">
        <v>1460</v>
      </c>
      <c r="C474">
        <v>1</v>
      </c>
      <c r="D474" t="s">
        <v>11</v>
      </c>
      <c r="E474" t="s">
        <v>21</v>
      </c>
      <c r="F474" t="s">
        <v>22</v>
      </c>
      <c r="H474" t="s">
        <v>71</v>
      </c>
      <c r="I474" t="s">
        <v>3617</v>
      </c>
      <c r="J474" t="s">
        <v>1459</v>
      </c>
      <c r="K474" t="s">
        <v>868</v>
      </c>
      <c r="L474" t="s">
        <v>3618</v>
      </c>
      <c r="M474" t="s">
        <v>1459</v>
      </c>
      <c r="N474" t="s">
        <v>1460</v>
      </c>
      <c r="Q474" t="s">
        <v>3599</v>
      </c>
      <c r="R474" t="s">
        <v>3599</v>
      </c>
      <c r="S474" t="s">
        <v>3599</v>
      </c>
      <c r="T474">
        <v>1</v>
      </c>
      <c r="U474" t="s">
        <v>868</v>
      </c>
      <c r="V474">
        <v>5</v>
      </c>
      <c r="W474">
        <v>0</v>
      </c>
      <c r="X474">
        <v>0</v>
      </c>
    </row>
    <row r="475" spans="1:24" x14ac:dyDescent="0.3">
      <c r="A475" t="s">
        <v>1461</v>
      </c>
      <c r="B475" t="s">
        <v>1462</v>
      </c>
      <c r="C475">
        <v>1</v>
      </c>
      <c r="D475" t="s">
        <v>11</v>
      </c>
      <c r="E475" t="s">
        <v>21</v>
      </c>
      <c r="F475" t="s">
        <v>22</v>
      </c>
      <c r="H475" t="s">
        <v>71</v>
      </c>
      <c r="I475" t="s">
        <v>3617</v>
      </c>
      <c r="K475" t="s">
        <v>868</v>
      </c>
      <c r="L475" t="s">
        <v>3618</v>
      </c>
      <c r="N475" t="s">
        <v>1462</v>
      </c>
      <c r="Q475" t="s">
        <v>3599</v>
      </c>
      <c r="R475" t="s">
        <v>3599</v>
      </c>
      <c r="S475" t="s">
        <v>3599</v>
      </c>
      <c r="T475">
        <v>1</v>
      </c>
      <c r="U475" t="s">
        <v>868</v>
      </c>
      <c r="V475">
        <v>5</v>
      </c>
      <c r="W475">
        <v>0</v>
      </c>
      <c r="X475">
        <v>0</v>
      </c>
    </row>
    <row r="476" spans="1:24" x14ac:dyDescent="0.3">
      <c r="A476" t="s">
        <v>1463</v>
      </c>
      <c r="B476" t="s">
        <v>1464</v>
      </c>
      <c r="C476">
        <v>1</v>
      </c>
      <c r="D476" t="s">
        <v>11</v>
      </c>
      <c r="E476" t="s">
        <v>21</v>
      </c>
      <c r="F476" t="s">
        <v>22</v>
      </c>
      <c r="H476" t="s">
        <v>71</v>
      </c>
      <c r="I476" t="s">
        <v>3617</v>
      </c>
      <c r="J476" t="s">
        <v>1463</v>
      </c>
      <c r="K476" t="s">
        <v>868</v>
      </c>
      <c r="L476" t="s">
        <v>3618</v>
      </c>
      <c r="M476" t="s">
        <v>1463</v>
      </c>
      <c r="N476" t="s">
        <v>1464</v>
      </c>
      <c r="Q476" t="s">
        <v>3599</v>
      </c>
      <c r="R476" t="s">
        <v>3599</v>
      </c>
      <c r="S476" t="s">
        <v>3599</v>
      </c>
      <c r="T476">
        <v>1</v>
      </c>
      <c r="U476" t="s">
        <v>868</v>
      </c>
      <c r="V476">
        <v>5</v>
      </c>
      <c r="W476">
        <v>0</v>
      </c>
      <c r="X476">
        <v>0</v>
      </c>
    </row>
    <row r="477" spans="1:24" x14ac:dyDescent="0.3">
      <c r="A477" t="s">
        <v>1465</v>
      </c>
      <c r="B477" t="s">
        <v>1466</v>
      </c>
      <c r="C477">
        <v>1</v>
      </c>
      <c r="D477" t="s">
        <v>11</v>
      </c>
      <c r="E477" t="s">
        <v>21</v>
      </c>
      <c r="F477" t="s">
        <v>22</v>
      </c>
      <c r="H477" t="s">
        <v>71</v>
      </c>
      <c r="I477" t="s">
        <v>3617</v>
      </c>
      <c r="J477" t="s">
        <v>1465</v>
      </c>
      <c r="K477" t="s">
        <v>868</v>
      </c>
      <c r="L477" t="s">
        <v>3618</v>
      </c>
      <c r="M477" t="s">
        <v>1465</v>
      </c>
      <c r="N477" t="s">
        <v>1466</v>
      </c>
      <c r="O477" t="s">
        <v>1467</v>
      </c>
      <c r="Q477" t="s">
        <v>3599</v>
      </c>
      <c r="R477" t="s">
        <v>3599</v>
      </c>
      <c r="S477" t="s">
        <v>3599</v>
      </c>
      <c r="T477">
        <v>1</v>
      </c>
      <c r="U477" t="s">
        <v>868</v>
      </c>
      <c r="V477">
        <v>5</v>
      </c>
      <c r="W477">
        <v>0</v>
      </c>
      <c r="X477">
        <v>0</v>
      </c>
    </row>
    <row r="478" spans="1:24" x14ac:dyDescent="0.3">
      <c r="A478" t="s">
        <v>1468</v>
      </c>
      <c r="B478" t="s">
        <v>1469</v>
      </c>
      <c r="C478">
        <v>1</v>
      </c>
      <c r="D478" t="s">
        <v>11</v>
      </c>
      <c r="E478" t="s">
        <v>21</v>
      </c>
      <c r="F478" t="s">
        <v>22</v>
      </c>
      <c r="H478" t="s">
        <v>71</v>
      </c>
      <c r="I478" t="s">
        <v>3617</v>
      </c>
      <c r="J478" t="s">
        <v>1468</v>
      </c>
      <c r="K478" t="s">
        <v>868</v>
      </c>
      <c r="L478" t="s">
        <v>3618</v>
      </c>
      <c r="M478" t="s">
        <v>1468</v>
      </c>
      <c r="N478" t="s">
        <v>1469</v>
      </c>
      <c r="Q478" t="s">
        <v>3599</v>
      </c>
      <c r="R478" t="s">
        <v>3599</v>
      </c>
      <c r="S478" t="s">
        <v>3599</v>
      </c>
      <c r="T478">
        <v>1</v>
      </c>
      <c r="U478" t="s">
        <v>868</v>
      </c>
      <c r="V478">
        <v>5</v>
      </c>
      <c r="W478">
        <v>0</v>
      </c>
      <c r="X478">
        <v>0</v>
      </c>
    </row>
    <row r="479" spans="1:24" x14ac:dyDescent="0.3">
      <c r="A479" t="s">
        <v>1470</v>
      </c>
      <c r="B479" t="s">
        <v>1471</v>
      </c>
      <c r="C479">
        <v>1</v>
      </c>
      <c r="D479" t="s">
        <v>11</v>
      </c>
      <c r="E479" t="s">
        <v>21</v>
      </c>
      <c r="F479" t="s">
        <v>22</v>
      </c>
      <c r="H479" t="s">
        <v>71</v>
      </c>
      <c r="I479" t="s">
        <v>3617</v>
      </c>
      <c r="J479" t="s">
        <v>1470</v>
      </c>
      <c r="K479" t="s">
        <v>868</v>
      </c>
      <c r="L479" t="s">
        <v>3618</v>
      </c>
      <c r="M479" t="s">
        <v>1470</v>
      </c>
      <c r="N479" t="s">
        <v>1471</v>
      </c>
      <c r="Q479" t="s">
        <v>3599</v>
      </c>
      <c r="R479" t="s">
        <v>3599</v>
      </c>
      <c r="S479" t="s">
        <v>3599</v>
      </c>
      <c r="T479">
        <v>1</v>
      </c>
      <c r="U479" t="s">
        <v>868</v>
      </c>
      <c r="V479">
        <v>5</v>
      </c>
      <c r="W479">
        <v>0</v>
      </c>
      <c r="X479">
        <v>0</v>
      </c>
    </row>
    <row r="480" spans="1:24" x14ac:dyDescent="0.3">
      <c r="A480" t="s">
        <v>1472</v>
      </c>
      <c r="B480" t="s">
        <v>1473</v>
      </c>
      <c r="C480">
        <v>1</v>
      </c>
      <c r="D480" t="s">
        <v>11</v>
      </c>
      <c r="E480" t="s">
        <v>21</v>
      </c>
      <c r="F480" t="s">
        <v>22</v>
      </c>
      <c r="H480" t="s">
        <v>71</v>
      </c>
      <c r="I480" t="s">
        <v>3617</v>
      </c>
      <c r="J480" t="s">
        <v>1472</v>
      </c>
      <c r="K480" t="s">
        <v>868</v>
      </c>
      <c r="L480" t="s">
        <v>3618</v>
      </c>
      <c r="M480" t="s">
        <v>1472</v>
      </c>
      <c r="N480" t="s">
        <v>1473</v>
      </c>
      <c r="Q480" t="s">
        <v>3599</v>
      </c>
      <c r="R480" t="s">
        <v>3599</v>
      </c>
      <c r="S480" t="s">
        <v>3599</v>
      </c>
      <c r="T480">
        <v>1</v>
      </c>
      <c r="U480" t="s">
        <v>868</v>
      </c>
      <c r="V480">
        <v>5</v>
      </c>
      <c r="W480">
        <v>0</v>
      </c>
      <c r="X480">
        <v>0</v>
      </c>
    </row>
    <row r="481" spans="1:24" x14ac:dyDescent="0.3">
      <c r="A481" t="s">
        <v>1474</v>
      </c>
      <c r="B481" t="s">
        <v>1475</v>
      </c>
      <c r="C481">
        <v>1</v>
      </c>
      <c r="D481" t="s">
        <v>11</v>
      </c>
      <c r="E481" t="s">
        <v>21</v>
      </c>
      <c r="F481" t="s">
        <v>22</v>
      </c>
      <c r="H481" t="s">
        <v>71</v>
      </c>
      <c r="I481" t="s">
        <v>3617</v>
      </c>
      <c r="J481" t="s">
        <v>1474</v>
      </c>
      <c r="K481" t="s">
        <v>868</v>
      </c>
      <c r="L481" t="s">
        <v>3618</v>
      </c>
      <c r="M481" t="s">
        <v>1474</v>
      </c>
      <c r="N481" t="s">
        <v>1475</v>
      </c>
      <c r="Q481" t="s">
        <v>3599</v>
      </c>
      <c r="R481" t="s">
        <v>3599</v>
      </c>
      <c r="S481" t="s">
        <v>3599</v>
      </c>
      <c r="T481">
        <v>1</v>
      </c>
      <c r="U481" t="s">
        <v>868</v>
      </c>
      <c r="V481">
        <v>5</v>
      </c>
      <c r="W481">
        <v>0</v>
      </c>
      <c r="X481">
        <v>0</v>
      </c>
    </row>
    <row r="482" spans="1:24" x14ac:dyDescent="0.3">
      <c r="A482" t="s">
        <v>1476</v>
      </c>
      <c r="B482" t="s">
        <v>1477</v>
      </c>
      <c r="C482">
        <v>1</v>
      </c>
      <c r="D482" t="s">
        <v>11</v>
      </c>
      <c r="E482" t="s">
        <v>21</v>
      </c>
      <c r="F482" t="s">
        <v>22</v>
      </c>
      <c r="H482" t="s">
        <v>71</v>
      </c>
      <c r="I482" t="s">
        <v>3617</v>
      </c>
      <c r="J482" t="s">
        <v>1476</v>
      </c>
      <c r="K482" t="s">
        <v>868</v>
      </c>
      <c r="L482" t="s">
        <v>3618</v>
      </c>
      <c r="M482" t="s">
        <v>1476</v>
      </c>
      <c r="N482" t="s">
        <v>1477</v>
      </c>
      <c r="Q482" t="s">
        <v>3599</v>
      </c>
      <c r="R482" t="s">
        <v>3599</v>
      </c>
      <c r="S482" t="s">
        <v>3599</v>
      </c>
      <c r="T482">
        <v>1</v>
      </c>
      <c r="U482" t="s">
        <v>868</v>
      </c>
      <c r="V482">
        <v>5</v>
      </c>
      <c r="W482">
        <v>0</v>
      </c>
      <c r="X482">
        <v>0</v>
      </c>
    </row>
    <row r="483" spans="1:24" x14ac:dyDescent="0.3">
      <c r="A483" t="s">
        <v>1478</v>
      </c>
      <c r="B483" t="s">
        <v>1479</v>
      </c>
      <c r="C483">
        <v>1</v>
      </c>
      <c r="D483" t="s">
        <v>11</v>
      </c>
      <c r="E483" t="s">
        <v>21</v>
      </c>
      <c r="F483" t="s">
        <v>22</v>
      </c>
      <c r="H483" t="s">
        <v>71</v>
      </c>
      <c r="I483" t="s">
        <v>3617</v>
      </c>
      <c r="J483" t="s">
        <v>1478</v>
      </c>
      <c r="K483" t="s">
        <v>868</v>
      </c>
      <c r="L483" t="s">
        <v>3618</v>
      </c>
      <c r="M483" t="s">
        <v>1478</v>
      </c>
      <c r="N483" t="s">
        <v>1479</v>
      </c>
      <c r="Q483" t="s">
        <v>3599</v>
      </c>
      <c r="R483" t="s">
        <v>3599</v>
      </c>
      <c r="S483" t="s">
        <v>3599</v>
      </c>
      <c r="T483">
        <v>1</v>
      </c>
      <c r="U483" t="s">
        <v>868</v>
      </c>
      <c r="V483">
        <v>5</v>
      </c>
      <c r="W483">
        <v>0</v>
      </c>
      <c r="X483">
        <v>0</v>
      </c>
    </row>
    <row r="484" spans="1:24" x14ac:dyDescent="0.3">
      <c r="A484" t="s">
        <v>1480</v>
      </c>
      <c r="B484" t="s">
        <v>1481</v>
      </c>
      <c r="C484">
        <v>1</v>
      </c>
      <c r="D484" t="s">
        <v>11</v>
      </c>
      <c r="E484" t="s">
        <v>21</v>
      </c>
      <c r="F484" t="s">
        <v>22</v>
      </c>
      <c r="H484" t="s">
        <v>71</v>
      </c>
      <c r="I484" t="s">
        <v>3617</v>
      </c>
      <c r="J484" t="s">
        <v>1480</v>
      </c>
      <c r="K484" t="s">
        <v>868</v>
      </c>
      <c r="L484" t="s">
        <v>3618</v>
      </c>
      <c r="M484" t="s">
        <v>1480</v>
      </c>
      <c r="N484" t="s">
        <v>1481</v>
      </c>
      <c r="Q484" t="s">
        <v>3599</v>
      </c>
      <c r="R484" t="s">
        <v>3599</v>
      </c>
      <c r="S484" t="s">
        <v>3599</v>
      </c>
      <c r="T484">
        <v>1</v>
      </c>
      <c r="U484" t="s">
        <v>868</v>
      </c>
      <c r="V484">
        <v>5</v>
      </c>
      <c r="W484">
        <v>0</v>
      </c>
      <c r="X484">
        <v>0</v>
      </c>
    </row>
    <row r="485" spans="1:24" x14ac:dyDescent="0.3">
      <c r="A485" t="s">
        <v>1482</v>
      </c>
      <c r="B485" t="s">
        <v>1483</v>
      </c>
      <c r="C485">
        <v>1</v>
      </c>
      <c r="D485" t="s">
        <v>11</v>
      </c>
      <c r="E485" t="s">
        <v>21</v>
      </c>
      <c r="F485" t="s">
        <v>22</v>
      </c>
      <c r="H485" t="s">
        <v>71</v>
      </c>
      <c r="I485" t="s">
        <v>3617</v>
      </c>
      <c r="J485" t="s">
        <v>1482</v>
      </c>
      <c r="K485" t="s">
        <v>868</v>
      </c>
      <c r="L485" t="s">
        <v>3618</v>
      </c>
      <c r="M485" t="s">
        <v>1482</v>
      </c>
      <c r="N485" t="s">
        <v>1483</v>
      </c>
      <c r="Q485" t="s">
        <v>3599</v>
      </c>
      <c r="R485" t="s">
        <v>3599</v>
      </c>
      <c r="S485" t="s">
        <v>3599</v>
      </c>
      <c r="T485">
        <v>1</v>
      </c>
      <c r="U485" t="s">
        <v>868</v>
      </c>
      <c r="V485">
        <v>5</v>
      </c>
      <c r="W485">
        <v>0</v>
      </c>
      <c r="X485">
        <v>0</v>
      </c>
    </row>
    <row r="486" spans="1:24" x14ac:dyDescent="0.3">
      <c r="A486" t="s">
        <v>1484</v>
      </c>
      <c r="B486" t="s">
        <v>1485</v>
      </c>
      <c r="C486">
        <v>1</v>
      </c>
      <c r="D486" t="s">
        <v>11</v>
      </c>
      <c r="E486" t="s">
        <v>21</v>
      </c>
      <c r="F486" t="s">
        <v>22</v>
      </c>
      <c r="H486" t="s">
        <v>71</v>
      </c>
      <c r="I486" t="s">
        <v>3617</v>
      </c>
      <c r="J486" t="s">
        <v>1484</v>
      </c>
      <c r="K486" t="s">
        <v>868</v>
      </c>
      <c r="L486" t="s">
        <v>3618</v>
      </c>
      <c r="M486" t="s">
        <v>1484</v>
      </c>
      <c r="N486" t="s">
        <v>1485</v>
      </c>
      <c r="Q486" t="s">
        <v>3599</v>
      </c>
      <c r="R486" t="s">
        <v>3599</v>
      </c>
      <c r="S486" t="s">
        <v>3599</v>
      </c>
      <c r="T486">
        <v>1</v>
      </c>
      <c r="U486" t="s">
        <v>868</v>
      </c>
      <c r="V486">
        <v>5</v>
      </c>
      <c r="W486">
        <v>0</v>
      </c>
      <c r="X486">
        <v>0</v>
      </c>
    </row>
    <row r="487" spans="1:24" x14ac:dyDescent="0.3">
      <c r="A487" t="s">
        <v>1486</v>
      </c>
      <c r="B487" t="s">
        <v>1487</v>
      </c>
      <c r="C487">
        <v>1</v>
      </c>
      <c r="D487" t="s">
        <v>11</v>
      </c>
      <c r="E487" t="s">
        <v>21</v>
      </c>
      <c r="F487" t="s">
        <v>22</v>
      </c>
      <c r="H487" t="s">
        <v>71</v>
      </c>
      <c r="I487" t="s">
        <v>3617</v>
      </c>
      <c r="J487" t="s">
        <v>1486</v>
      </c>
      <c r="K487" t="s">
        <v>868</v>
      </c>
      <c r="L487" t="s">
        <v>3618</v>
      </c>
      <c r="M487" t="s">
        <v>1486</v>
      </c>
      <c r="N487" t="s">
        <v>1487</v>
      </c>
      <c r="O487" t="s">
        <v>1488</v>
      </c>
      <c r="Q487" t="s">
        <v>3599</v>
      </c>
      <c r="R487" t="s">
        <v>3599</v>
      </c>
      <c r="S487" t="s">
        <v>3599</v>
      </c>
      <c r="T487">
        <v>1</v>
      </c>
      <c r="U487" t="s">
        <v>868</v>
      </c>
      <c r="V487">
        <v>5</v>
      </c>
      <c r="W487">
        <v>0</v>
      </c>
      <c r="X487">
        <v>0</v>
      </c>
    </row>
    <row r="488" spans="1:24" x14ac:dyDescent="0.3">
      <c r="A488" t="s">
        <v>1489</v>
      </c>
      <c r="B488" t="s">
        <v>1490</v>
      </c>
      <c r="C488">
        <v>1</v>
      </c>
      <c r="D488" t="s">
        <v>11</v>
      </c>
      <c r="E488" t="s">
        <v>21</v>
      </c>
      <c r="F488" t="s">
        <v>22</v>
      </c>
      <c r="H488" t="s">
        <v>71</v>
      </c>
      <c r="I488" t="s">
        <v>3617</v>
      </c>
      <c r="J488" t="s">
        <v>1489</v>
      </c>
      <c r="K488" t="s">
        <v>868</v>
      </c>
      <c r="L488" t="s">
        <v>3618</v>
      </c>
      <c r="M488" t="s">
        <v>1489</v>
      </c>
      <c r="N488" t="s">
        <v>1490</v>
      </c>
      <c r="Q488" t="s">
        <v>3599</v>
      </c>
      <c r="R488" t="s">
        <v>3599</v>
      </c>
      <c r="S488" t="s">
        <v>3599</v>
      </c>
      <c r="T488">
        <v>1</v>
      </c>
      <c r="U488" t="s">
        <v>868</v>
      </c>
      <c r="V488">
        <v>5</v>
      </c>
      <c r="W488">
        <v>0</v>
      </c>
      <c r="X488">
        <v>0</v>
      </c>
    </row>
    <row r="489" spans="1:24" x14ac:dyDescent="0.3">
      <c r="A489" t="s">
        <v>1491</v>
      </c>
      <c r="B489" t="s">
        <v>1492</v>
      </c>
      <c r="C489">
        <v>1</v>
      </c>
      <c r="D489" t="s">
        <v>11</v>
      </c>
      <c r="E489" t="s">
        <v>21</v>
      </c>
      <c r="F489" t="s">
        <v>22</v>
      </c>
      <c r="H489" t="s">
        <v>71</v>
      </c>
      <c r="I489" t="s">
        <v>3617</v>
      </c>
      <c r="J489" t="s">
        <v>1491</v>
      </c>
      <c r="K489" t="s">
        <v>868</v>
      </c>
      <c r="L489" t="s">
        <v>3618</v>
      </c>
      <c r="M489" t="s">
        <v>1491</v>
      </c>
      <c r="N489" t="s">
        <v>1492</v>
      </c>
      <c r="Q489" t="s">
        <v>3599</v>
      </c>
      <c r="R489" t="s">
        <v>3599</v>
      </c>
      <c r="S489" t="s">
        <v>3599</v>
      </c>
      <c r="T489">
        <v>1</v>
      </c>
      <c r="U489" t="s">
        <v>868</v>
      </c>
      <c r="V489">
        <v>5</v>
      </c>
      <c r="W489">
        <v>0</v>
      </c>
      <c r="X489">
        <v>0</v>
      </c>
    </row>
    <row r="490" spans="1:24" x14ac:dyDescent="0.3">
      <c r="A490" t="s">
        <v>1493</v>
      </c>
      <c r="B490" t="s">
        <v>1494</v>
      </c>
      <c r="C490">
        <v>1</v>
      </c>
      <c r="D490" t="s">
        <v>11</v>
      </c>
      <c r="E490" t="s">
        <v>21</v>
      </c>
      <c r="F490" t="s">
        <v>22</v>
      </c>
      <c r="H490" t="s">
        <v>71</v>
      </c>
      <c r="I490" t="s">
        <v>3617</v>
      </c>
      <c r="J490" t="s">
        <v>1493</v>
      </c>
      <c r="K490" t="s">
        <v>868</v>
      </c>
      <c r="L490" t="s">
        <v>3618</v>
      </c>
      <c r="M490" t="s">
        <v>1493</v>
      </c>
      <c r="N490" t="s">
        <v>1494</v>
      </c>
      <c r="O490" t="s">
        <v>1495</v>
      </c>
      <c r="Q490" t="s">
        <v>3599</v>
      </c>
      <c r="R490" t="s">
        <v>3599</v>
      </c>
      <c r="S490" t="s">
        <v>3599</v>
      </c>
      <c r="T490">
        <v>1</v>
      </c>
      <c r="U490" t="s">
        <v>868</v>
      </c>
      <c r="V490">
        <v>5</v>
      </c>
      <c r="W490">
        <v>0</v>
      </c>
      <c r="X490">
        <v>0</v>
      </c>
    </row>
    <row r="491" spans="1:24" x14ac:dyDescent="0.3">
      <c r="A491" t="s">
        <v>1496</v>
      </c>
      <c r="B491" t="s">
        <v>1497</v>
      </c>
      <c r="C491">
        <v>1</v>
      </c>
      <c r="D491" t="s">
        <v>11</v>
      </c>
      <c r="E491" t="s">
        <v>21</v>
      </c>
      <c r="F491" t="s">
        <v>22</v>
      </c>
      <c r="H491" t="s">
        <v>71</v>
      </c>
      <c r="I491" t="s">
        <v>3617</v>
      </c>
      <c r="J491" t="s">
        <v>1496</v>
      </c>
      <c r="K491" t="s">
        <v>868</v>
      </c>
      <c r="L491" t="s">
        <v>3618</v>
      </c>
      <c r="M491" t="s">
        <v>1496</v>
      </c>
      <c r="N491" t="s">
        <v>1497</v>
      </c>
      <c r="Q491" t="s">
        <v>3599</v>
      </c>
      <c r="R491" t="s">
        <v>3599</v>
      </c>
      <c r="S491" t="s">
        <v>3599</v>
      </c>
      <c r="T491">
        <v>1</v>
      </c>
      <c r="U491" t="s">
        <v>868</v>
      </c>
      <c r="V491">
        <v>5</v>
      </c>
      <c r="W491">
        <v>0</v>
      </c>
      <c r="X491">
        <v>0</v>
      </c>
    </row>
    <row r="492" spans="1:24" x14ac:dyDescent="0.3">
      <c r="A492" t="s">
        <v>1498</v>
      </c>
      <c r="B492" t="s">
        <v>1499</v>
      </c>
      <c r="C492">
        <v>1</v>
      </c>
      <c r="D492" t="s">
        <v>11</v>
      </c>
      <c r="E492" t="s">
        <v>21</v>
      </c>
      <c r="F492" t="s">
        <v>22</v>
      </c>
      <c r="H492" t="s">
        <v>71</v>
      </c>
      <c r="I492" t="s">
        <v>3617</v>
      </c>
      <c r="J492" t="s">
        <v>1498</v>
      </c>
      <c r="K492" t="s">
        <v>868</v>
      </c>
      <c r="L492" t="s">
        <v>3618</v>
      </c>
      <c r="M492" t="s">
        <v>1498</v>
      </c>
      <c r="N492" t="s">
        <v>1499</v>
      </c>
      <c r="Q492" t="s">
        <v>3599</v>
      </c>
      <c r="R492" t="s">
        <v>3599</v>
      </c>
      <c r="S492" t="s">
        <v>3599</v>
      </c>
      <c r="T492">
        <v>1</v>
      </c>
      <c r="U492" t="s">
        <v>868</v>
      </c>
      <c r="V492">
        <v>5</v>
      </c>
      <c r="W492">
        <v>0</v>
      </c>
      <c r="X492">
        <v>0</v>
      </c>
    </row>
    <row r="493" spans="1:24" x14ac:dyDescent="0.3">
      <c r="A493" t="s">
        <v>1500</v>
      </c>
      <c r="B493" t="s">
        <v>1501</v>
      </c>
      <c r="C493">
        <v>1</v>
      </c>
      <c r="D493" t="s">
        <v>11</v>
      </c>
      <c r="E493" t="s">
        <v>21</v>
      </c>
      <c r="F493" t="s">
        <v>22</v>
      </c>
      <c r="H493" t="s">
        <v>71</v>
      </c>
      <c r="I493" t="s">
        <v>3617</v>
      </c>
      <c r="J493" t="s">
        <v>1500</v>
      </c>
      <c r="K493" t="s">
        <v>868</v>
      </c>
      <c r="L493" t="s">
        <v>3618</v>
      </c>
      <c r="M493" t="s">
        <v>1500</v>
      </c>
      <c r="N493" t="s">
        <v>1501</v>
      </c>
      <c r="Q493" t="s">
        <v>3599</v>
      </c>
      <c r="R493" t="s">
        <v>3599</v>
      </c>
      <c r="S493" t="s">
        <v>3599</v>
      </c>
      <c r="T493">
        <v>1</v>
      </c>
      <c r="U493" t="s">
        <v>868</v>
      </c>
      <c r="V493">
        <v>5</v>
      </c>
      <c r="W493">
        <v>0</v>
      </c>
      <c r="X493">
        <v>0</v>
      </c>
    </row>
    <row r="494" spans="1:24" x14ac:dyDescent="0.3">
      <c r="A494" t="s">
        <v>1502</v>
      </c>
      <c r="B494" t="s">
        <v>1503</v>
      </c>
      <c r="C494">
        <v>1</v>
      </c>
      <c r="D494" t="s">
        <v>11</v>
      </c>
      <c r="E494" t="s">
        <v>21</v>
      </c>
      <c r="F494" t="s">
        <v>22</v>
      </c>
      <c r="H494" t="s">
        <v>71</v>
      </c>
      <c r="I494" t="s">
        <v>3617</v>
      </c>
      <c r="J494" t="s">
        <v>1502</v>
      </c>
      <c r="K494" t="s">
        <v>868</v>
      </c>
      <c r="L494" t="s">
        <v>3618</v>
      </c>
      <c r="M494" t="s">
        <v>1502</v>
      </c>
      <c r="N494" t="s">
        <v>1503</v>
      </c>
      <c r="Q494" t="s">
        <v>3599</v>
      </c>
      <c r="R494" t="s">
        <v>3599</v>
      </c>
      <c r="S494" t="s">
        <v>3599</v>
      </c>
      <c r="T494">
        <v>1</v>
      </c>
      <c r="U494" t="s">
        <v>868</v>
      </c>
      <c r="V494">
        <v>5</v>
      </c>
      <c r="W494">
        <v>0</v>
      </c>
      <c r="X494">
        <v>0</v>
      </c>
    </row>
    <row r="495" spans="1:24" x14ac:dyDescent="0.3">
      <c r="A495" t="s">
        <v>1504</v>
      </c>
      <c r="B495" t="s">
        <v>1505</v>
      </c>
      <c r="C495">
        <v>1</v>
      </c>
      <c r="D495" t="s">
        <v>11</v>
      </c>
      <c r="E495" t="s">
        <v>21</v>
      </c>
      <c r="F495" t="s">
        <v>22</v>
      </c>
      <c r="H495" t="s">
        <v>71</v>
      </c>
      <c r="I495" t="s">
        <v>3617</v>
      </c>
      <c r="J495" t="s">
        <v>1504</v>
      </c>
      <c r="K495" t="s">
        <v>868</v>
      </c>
      <c r="L495" t="s">
        <v>3618</v>
      </c>
      <c r="M495" t="s">
        <v>1504</v>
      </c>
      <c r="N495" t="s">
        <v>1505</v>
      </c>
      <c r="Q495" t="s">
        <v>3599</v>
      </c>
      <c r="R495" t="s">
        <v>3599</v>
      </c>
      <c r="S495" t="s">
        <v>3599</v>
      </c>
      <c r="T495">
        <v>1</v>
      </c>
      <c r="U495" t="s">
        <v>868</v>
      </c>
      <c r="V495">
        <v>5</v>
      </c>
      <c r="W495">
        <v>0</v>
      </c>
      <c r="X495">
        <v>0</v>
      </c>
    </row>
    <row r="496" spans="1:24" x14ac:dyDescent="0.3">
      <c r="A496" t="s">
        <v>1506</v>
      </c>
      <c r="B496" t="s">
        <v>1507</v>
      </c>
      <c r="C496">
        <v>1</v>
      </c>
      <c r="D496" t="s">
        <v>11</v>
      </c>
      <c r="E496" t="s">
        <v>21</v>
      </c>
      <c r="F496" t="s">
        <v>22</v>
      </c>
      <c r="H496" t="s">
        <v>71</v>
      </c>
      <c r="I496" t="s">
        <v>3617</v>
      </c>
      <c r="J496" t="s">
        <v>1506</v>
      </c>
      <c r="K496" t="s">
        <v>868</v>
      </c>
      <c r="L496" t="s">
        <v>3618</v>
      </c>
      <c r="M496" t="s">
        <v>1506</v>
      </c>
      <c r="N496" t="s">
        <v>1507</v>
      </c>
      <c r="Q496" t="s">
        <v>3599</v>
      </c>
      <c r="R496" t="s">
        <v>3599</v>
      </c>
      <c r="S496" t="s">
        <v>3599</v>
      </c>
      <c r="T496">
        <v>1</v>
      </c>
      <c r="U496" t="s">
        <v>868</v>
      </c>
      <c r="V496">
        <v>5</v>
      </c>
      <c r="W496">
        <v>0</v>
      </c>
      <c r="X496">
        <v>0</v>
      </c>
    </row>
    <row r="497" spans="1:24" x14ac:dyDescent="0.3">
      <c r="A497" t="s">
        <v>1508</v>
      </c>
      <c r="B497" t="s">
        <v>1509</v>
      </c>
      <c r="C497">
        <v>1</v>
      </c>
      <c r="D497" t="s">
        <v>11</v>
      </c>
      <c r="E497" t="s">
        <v>21</v>
      </c>
      <c r="F497" t="s">
        <v>22</v>
      </c>
      <c r="H497" t="s">
        <v>71</v>
      </c>
      <c r="I497" t="s">
        <v>3617</v>
      </c>
      <c r="J497" t="s">
        <v>1508</v>
      </c>
      <c r="K497" t="s">
        <v>868</v>
      </c>
      <c r="L497" t="s">
        <v>3618</v>
      </c>
      <c r="M497" t="s">
        <v>1508</v>
      </c>
      <c r="N497" t="s">
        <v>1509</v>
      </c>
      <c r="Q497" t="s">
        <v>3599</v>
      </c>
      <c r="R497" t="s">
        <v>3599</v>
      </c>
      <c r="S497" t="s">
        <v>3599</v>
      </c>
      <c r="T497">
        <v>1</v>
      </c>
      <c r="U497" t="s">
        <v>868</v>
      </c>
      <c r="V497">
        <v>5</v>
      </c>
      <c r="W497">
        <v>0</v>
      </c>
      <c r="X497">
        <v>0</v>
      </c>
    </row>
    <row r="498" spans="1:24" x14ac:dyDescent="0.3">
      <c r="A498" t="s">
        <v>1510</v>
      </c>
      <c r="B498" t="s">
        <v>1511</v>
      </c>
      <c r="C498">
        <v>1</v>
      </c>
      <c r="D498" t="s">
        <v>11</v>
      </c>
      <c r="E498" t="s">
        <v>21</v>
      </c>
      <c r="F498" t="s">
        <v>22</v>
      </c>
      <c r="H498" t="s">
        <v>71</v>
      </c>
      <c r="I498" t="s">
        <v>3617</v>
      </c>
      <c r="J498" t="s">
        <v>1510</v>
      </c>
      <c r="K498" t="s">
        <v>868</v>
      </c>
      <c r="L498" t="s">
        <v>3618</v>
      </c>
      <c r="M498" t="s">
        <v>1510</v>
      </c>
      <c r="N498" t="s">
        <v>1511</v>
      </c>
      <c r="Q498" t="s">
        <v>3599</v>
      </c>
      <c r="R498" t="s">
        <v>3599</v>
      </c>
      <c r="S498" t="s">
        <v>3599</v>
      </c>
      <c r="T498">
        <v>1</v>
      </c>
      <c r="U498" t="s">
        <v>868</v>
      </c>
      <c r="V498">
        <v>5</v>
      </c>
      <c r="W498">
        <v>0</v>
      </c>
      <c r="X498">
        <v>0</v>
      </c>
    </row>
    <row r="499" spans="1:24" x14ac:dyDescent="0.3">
      <c r="A499" t="s">
        <v>1512</v>
      </c>
      <c r="B499" t="s">
        <v>1513</v>
      </c>
      <c r="C499">
        <v>1</v>
      </c>
      <c r="D499" t="s">
        <v>11</v>
      </c>
      <c r="E499" t="s">
        <v>21</v>
      </c>
      <c r="F499" t="s">
        <v>22</v>
      </c>
      <c r="H499" t="s">
        <v>71</v>
      </c>
      <c r="I499" t="s">
        <v>3617</v>
      </c>
      <c r="K499" t="s">
        <v>868</v>
      </c>
      <c r="L499" t="s">
        <v>3618</v>
      </c>
      <c r="N499" t="s">
        <v>1513</v>
      </c>
      <c r="Q499" t="s">
        <v>3599</v>
      </c>
      <c r="R499" t="s">
        <v>3599</v>
      </c>
      <c r="S499" t="s">
        <v>3599</v>
      </c>
      <c r="T499">
        <v>1</v>
      </c>
      <c r="U499" t="s">
        <v>868</v>
      </c>
      <c r="V499">
        <v>5</v>
      </c>
      <c r="W499">
        <v>0</v>
      </c>
      <c r="X499">
        <v>0</v>
      </c>
    </row>
    <row r="500" spans="1:24" x14ac:dyDescent="0.3">
      <c r="A500" t="s">
        <v>1514</v>
      </c>
      <c r="B500" t="s">
        <v>1515</v>
      </c>
      <c r="C500">
        <v>1</v>
      </c>
      <c r="D500" t="s">
        <v>11</v>
      </c>
      <c r="E500" t="s">
        <v>21</v>
      </c>
      <c r="F500" t="s">
        <v>22</v>
      </c>
      <c r="H500" t="s">
        <v>71</v>
      </c>
      <c r="I500" t="s">
        <v>3617</v>
      </c>
      <c r="K500" t="s">
        <v>868</v>
      </c>
      <c r="L500" t="s">
        <v>3618</v>
      </c>
      <c r="N500" t="s">
        <v>1515</v>
      </c>
      <c r="Q500" t="s">
        <v>3599</v>
      </c>
      <c r="R500" t="s">
        <v>3599</v>
      </c>
      <c r="S500" t="s">
        <v>3599</v>
      </c>
      <c r="T500">
        <v>1</v>
      </c>
      <c r="U500" t="s">
        <v>868</v>
      </c>
      <c r="V500">
        <v>5</v>
      </c>
      <c r="W500">
        <v>0</v>
      </c>
      <c r="X500">
        <v>0</v>
      </c>
    </row>
    <row r="501" spans="1:24" x14ac:dyDescent="0.3">
      <c r="A501" t="s">
        <v>1516</v>
      </c>
      <c r="B501" t="s">
        <v>1517</v>
      </c>
      <c r="C501">
        <v>1</v>
      </c>
      <c r="D501" t="s">
        <v>11</v>
      </c>
      <c r="E501" t="s">
        <v>21</v>
      </c>
      <c r="F501" t="s">
        <v>22</v>
      </c>
      <c r="H501" t="s">
        <v>71</v>
      </c>
      <c r="I501" t="s">
        <v>3617</v>
      </c>
      <c r="K501" t="s">
        <v>868</v>
      </c>
      <c r="L501" t="s">
        <v>3618</v>
      </c>
      <c r="N501" t="s">
        <v>1517</v>
      </c>
      <c r="Q501" t="s">
        <v>3599</v>
      </c>
      <c r="R501" t="s">
        <v>3599</v>
      </c>
      <c r="S501" t="s">
        <v>3599</v>
      </c>
      <c r="T501">
        <v>1</v>
      </c>
      <c r="U501" t="s">
        <v>868</v>
      </c>
      <c r="V501">
        <v>5</v>
      </c>
      <c r="W501">
        <v>0</v>
      </c>
      <c r="X501">
        <v>0</v>
      </c>
    </row>
    <row r="502" spans="1:24" x14ac:dyDescent="0.3">
      <c r="A502" t="s">
        <v>1518</v>
      </c>
      <c r="B502" t="s">
        <v>1519</v>
      </c>
      <c r="C502">
        <v>1</v>
      </c>
      <c r="D502" t="s">
        <v>11</v>
      </c>
      <c r="E502" t="s">
        <v>21</v>
      </c>
      <c r="F502" t="s">
        <v>22</v>
      </c>
      <c r="H502" t="s">
        <v>71</v>
      </c>
      <c r="I502" t="s">
        <v>3617</v>
      </c>
      <c r="J502" t="s">
        <v>1518</v>
      </c>
      <c r="K502" t="s">
        <v>868</v>
      </c>
      <c r="L502" t="s">
        <v>3618</v>
      </c>
      <c r="M502" t="s">
        <v>1518</v>
      </c>
      <c r="N502" t="s">
        <v>1519</v>
      </c>
      <c r="Q502" t="s">
        <v>3599</v>
      </c>
      <c r="R502" t="s">
        <v>3599</v>
      </c>
      <c r="S502" t="s">
        <v>3599</v>
      </c>
      <c r="T502">
        <v>1</v>
      </c>
      <c r="U502" t="s">
        <v>868</v>
      </c>
      <c r="V502">
        <v>5</v>
      </c>
      <c r="W502">
        <v>0</v>
      </c>
      <c r="X502">
        <v>0</v>
      </c>
    </row>
    <row r="503" spans="1:24" x14ac:dyDescent="0.3">
      <c r="A503" t="s">
        <v>1520</v>
      </c>
      <c r="B503" t="s">
        <v>1521</v>
      </c>
      <c r="C503">
        <v>1</v>
      </c>
      <c r="D503" t="s">
        <v>11</v>
      </c>
      <c r="E503" t="s">
        <v>21</v>
      </c>
      <c r="F503" t="s">
        <v>22</v>
      </c>
      <c r="H503" t="s">
        <v>71</v>
      </c>
      <c r="I503" t="s">
        <v>3617</v>
      </c>
      <c r="J503" t="s">
        <v>1520</v>
      </c>
      <c r="K503" t="s">
        <v>868</v>
      </c>
      <c r="L503" t="s">
        <v>3618</v>
      </c>
      <c r="M503" t="s">
        <v>1520</v>
      </c>
      <c r="N503" t="s">
        <v>1521</v>
      </c>
      <c r="O503" t="s">
        <v>1301</v>
      </c>
      <c r="Q503" t="s">
        <v>3599</v>
      </c>
      <c r="R503" t="s">
        <v>3599</v>
      </c>
      <c r="S503" t="s">
        <v>3599</v>
      </c>
      <c r="T503">
        <v>1</v>
      </c>
      <c r="U503" t="s">
        <v>868</v>
      </c>
      <c r="V503">
        <v>5</v>
      </c>
      <c r="W503">
        <v>0</v>
      </c>
      <c r="X503">
        <v>0</v>
      </c>
    </row>
    <row r="504" spans="1:24" x14ac:dyDescent="0.3">
      <c r="A504" t="s">
        <v>1522</v>
      </c>
      <c r="B504" t="s">
        <v>1523</v>
      </c>
      <c r="C504">
        <v>1</v>
      </c>
      <c r="D504" t="s">
        <v>11</v>
      </c>
      <c r="E504" t="s">
        <v>21</v>
      </c>
      <c r="F504" t="s">
        <v>22</v>
      </c>
      <c r="H504" t="s">
        <v>71</v>
      </c>
      <c r="I504" t="s">
        <v>3617</v>
      </c>
      <c r="K504" t="s">
        <v>868</v>
      </c>
      <c r="L504" t="s">
        <v>3618</v>
      </c>
      <c r="N504" t="s">
        <v>1523</v>
      </c>
      <c r="Q504" t="s">
        <v>3599</v>
      </c>
      <c r="R504" t="s">
        <v>3599</v>
      </c>
      <c r="S504" t="s">
        <v>3599</v>
      </c>
      <c r="T504">
        <v>1</v>
      </c>
      <c r="U504" t="s">
        <v>868</v>
      </c>
      <c r="V504">
        <v>5</v>
      </c>
      <c r="W504">
        <v>0</v>
      </c>
      <c r="X504">
        <v>0</v>
      </c>
    </row>
    <row r="505" spans="1:24" x14ac:dyDescent="0.3">
      <c r="A505" t="s">
        <v>1524</v>
      </c>
      <c r="B505" t="s">
        <v>1525</v>
      </c>
      <c r="C505">
        <v>1</v>
      </c>
      <c r="D505" t="s">
        <v>11</v>
      </c>
      <c r="E505" t="s">
        <v>21</v>
      </c>
      <c r="F505" t="s">
        <v>22</v>
      </c>
      <c r="H505" t="s">
        <v>71</v>
      </c>
      <c r="I505" t="s">
        <v>3617</v>
      </c>
      <c r="K505" t="s">
        <v>868</v>
      </c>
      <c r="L505" t="s">
        <v>3618</v>
      </c>
      <c r="N505" t="s">
        <v>1525</v>
      </c>
      <c r="Q505" t="s">
        <v>3599</v>
      </c>
      <c r="R505" t="s">
        <v>3599</v>
      </c>
      <c r="S505" t="s">
        <v>3599</v>
      </c>
      <c r="T505">
        <v>1</v>
      </c>
      <c r="U505" t="s">
        <v>868</v>
      </c>
      <c r="V505">
        <v>5</v>
      </c>
      <c r="W505">
        <v>0</v>
      </c>
      <c r="X505">
        <v>0</v>
      </c>
    </row>
    <row r="506" spans="1:24" x14ac:dyDescent="0.3">
      <c r="A506" t="s">
        <v>1526</v>
      </c>
      <c r="B506" t="s">
        <v>1527</v>
      </c>
      <c r="C506">
        <v>1</v>
      </c>
      <c r="D506" t="s">
        <v>11</v>
      </c>
      <c r="E506" t="s">
        <v>21</v>
      </c>
      <c r="F506" t="s">
        <v>22</v>
      </c>
      <c r="H506" t="s">
        <v>71</v>
      </c>
      <c r="I506" t="s">
        <v>3617</v>
      </c>
      <c r="J506" t="s">
        <v>1526</v>
      </c>
      <c r="K506" t="s">
        <v>868</v>
      </c>
      <c r="L506" t="s">
        <v>3618</v>
      </c>
      <c r="M506" t="s">
        <v>1526</v>
      </c>
      <c r="N506" t="s">
        <v>1527</v>
      </c>
      <c r="Q506" t="s">
        <v>3599</v>
      </c>
      <c r="R506" t="s">
        <v>3599</v>
      </c>
      <c r="S506" t="s">
        <v>3599</v>
      </c>
      <c r="T506">
        <v>1</v>
      </c>
      <c r="U506" t="s">
        <v>868</v>
      </c>
      <c r="V506">
        <v>5</v>
      </c>
      <c r="W506">
        <v>0</v>
      </c>
      <c r="X506">
        <v>0</v>
      </c>
    </row>
    <row r="507" spans="1:24" x14ac:dyDescent="0.3">
      <c r="A507" t="s">
        <v>1528</v>
      </c>
      <c r="B507" t="s">
        <v>1529</v>
      </c>
      <c r="C507">
        <v>1</v>
      </c>
      <c r="D507" t="s">
        <v>11</v>
      </c>
      <c r="E507" t="s">
        <v>21</v>
      </c>
      <c r="F507" t="s">
        <v>22</v>
      </c>
      <c r="H507" t="s">
        <v>71</v>
      </c>
      <c r="I507" t="s">
        <v>3617</v>
      </c>
      <c r="J507" t="s">
        <v>1528</v>
      </c>
      <c r="K507" t="s">
        <v>868</v>
      </c>
      <c r="L507" t="s">
        <v>3618</v>
      </c>
      <c r="M507" t="s">
        <v>1528</v>
      </c>
      <c r="N507" t="s">
        <v>1529</v>
      </c>
      <c r="Q507" t="s">
        <v>3599</v>
      </c>
      <c r="R507" t="s">
        <v>3599</v>
      </c>
      <c r="S507" t="s">
        <v>3599</v>
      </c>
      <c r="T507">
        <v>1</v>
      </c>
      <c r="U507" t="s">
        <v>868</v>
      </c>
      <c r="V507">
        <v>5</v>
      </c>
      <c r="W507">
        <v>0</v>
      </c>
      <c r="X507">
        <v>0</v>
      </c>
    </row>
    <row r="508" spans="1:24" x14ac:dyDescent="0.3">
      <c r="A508" t="s">
        <v>1530</v>
      </c>
      <c r="B508" t="s">
        <v>1531</v>
      </c>
      <c r="C508">
        <v>1</v>
      </c>
      <c r="D508" t="s">
        <v>11</v>
      </c>
      <c r="E508" t="s">
        <v>21</v>
      </c>
      <c r="F508" t="s">
        <v>22</v>
      </c>
      <c r="H508" t="s">
        <v>71</v>
      </c>
      <c r="I508" t="s">
        <v>3617</v>
      </c>
      <c r="J508" t="s">
        <v>1530</v>
      </c>
      <c r="K508" t="s">
        <v>868</v>
      </c>
      <c r="L508" t="s">
        <v>3618</v>
      </c>
      <c r="M508" t="s">
        <v>1530</v>
      </c>
      <c r="N508" t="s">
        <v>1531</v>
      </c>
      <c r="O508" t="s">
        <v>1532</v>
      </c>
      <c r="Q508" t="s">
        <v>3599</v>
      </c>
      <c r="R508" t="s">
        <v>3599</v>
      </c>
      <c r="S508" t="s">
        <v>3599</v>
      </c>
      <c r="T508">
        <v>1</v>
      </c>
      <c r="U508" t="s">
        <v>868</v>
      </c>
      <c r="V508">
        <v>5</v>
      </c>
      <c r="W508">
        <v>0</v>
      </c>
      <c r="X508">
        <v>0</v>
      </c>
    </row>
    <row r="509" spans="1:24" x14ac:dyDescent="0.3">
      <c r="A509" t="s">
        <v>1533</v>
      </c>
      <c r="B509" t="s">
        <v>1534</v>
      </c>
      <c r="C509">
        <v>1</v>
      </c>
      <c r="D509" t="s">
        <v>11</v>
      </c>
      <c r="E509" t="s">
        <v>21</v>
      </c>
      <c r="F509" t="s">
        <v>22</v>
      </c>
      <c r="H509" t="s">
        <v>71</v>
      </c>
      <c r="I509" t="s">
        <v>3617</v>
      </c>
      <c r="J509" t="s">
        <v>1533</v>
      </c>
      <c r="K509" t="s">
        <v>868</v>
      </c>
      <c r="L509" t="s">
        <v>3618</v>
      </c>
      <c r="M509" t="s">
        <v>1533</v>
      </c>
      <c r="N509" t="s">
        <v>1534</v>
      </c>
      <c r="Q509" t="s">
        <v>3599</v>
      </c>
      <c r="R509" t="s">
        <v>3599</v>
      </c>
      <c r="S509" t="s">
        <v>3599</v>
      </c>
      <c r="T509">
        <v>1</v>
      </c>
      <c r="U509" t="s">
        <v>868</v>
      </c>
      <c r="V509">
        <v>5</v>
      </c>
      <c r="W509">
        <v>0</v>
      </c>
      <c r="X509">
        <v>0</v>
      </c>
    </row>
    <row r="510" spans="1:24" x14ac:dyDescent="0.3">
      <c r="A510" t="s">
        <v>1535</v>
      </c>
      <c r="B510" t="s">
        <v>1536</v>
      </c>
      <c r="C510">
        <v>1</v>
      </c>
      <c r="D510" t="s">
        <v>11</v>
      </c>
      <c r="E510" t="s">
        <v>21</v>
      </c>
      <c r="F510" t="s">
        <v>22</v>
      </c>
      <c r="H510" t="s">
        <v>71</v>
      </c>
      <c r="I510" t="s">
        <v>3617</v>
      </c>
      <c r="J510" t="s">
        <v>1535</v>
      </c>
      <c r="K510" t="s">
        <v>868</v>
      </c>
      <c r="L510" t="s">
        <v>3618</v>
      </c>
      <c r="M510" t="s">
        <v>1535</v>
      </c>
      <c r="N510" t="s">
        <v>1536</v>
      </c>
      <c r="Q510" t="s">
        <v>3599</v>
      </c>
      <c r="R510" t="s">
        <v>3599</v>
      </c>
      <c r="S510" t="s">
        <v>3599</v>
      </c>
      <c r="T510">
        <v>1</v>
      </c>
      <c r="U510" t="s">
        <v>868</v>
      </c>
      <c r="V510">
        <v>5</v>
      </c>
      <c r="W510">
        <v>0</v>
      </c>
      <c r="X510">
        <v>0</v>
      </c>
    </row>
    <row r="511" spans="1:24" x14ac:dyDescent="0.3">
      <c r="A511" t="s">
        <v>1537</v>
      </c>
      <c r="B511" t="s">
        <v>1538</v>
      </c>
      <c r="C511">
        <v>1</v>
      </c>
      <c r="D511" t="s">
        <v>11</v>
      </c>
      <c r="E511" t="s">
        <v>21</v>
      </c>
      <c r="F511" t="s">
        <v>22</v>
      </c>
      <c r="H511" t="s">
        <v>71</v>
      </c>
      <c r="I511" t="s">
        <v>3617</v>
      </c>
      <c r="J511" t="s">
        <v>1537</v>
      </c>
      <c r="K511" t="s">
        <v>868</v>
      </c>
      <c r="L511" t="s">
        <v>3618</v>
      </c>
      <c r="M511" t="s">
        <v>1537</v>
      </c>
      <c r="N511" t="s">
        <v>1538</v>
      </c>
      <c r="Q511" t="s">
        <v>3599</v>
      </c>
      <c r="R511" t="s">
        <v>3599</v>
      </c>
      <c r="S511" t="s">
        <v>3599</v>
      </c>
      <c r="T511">
        <v>1</v>
      </c>
      <c r="U511" t="s">
        <v>868</v>
      </c>
      <c r="V511">
        <v>5</v>
      </c>
      <c r="W511">
        <v>0</v>
      </c>
      <c r="X511">
        <v>0</v>
      </c>
    </row>
    <row r="512" spans="1:24" x14ac:dyDescent="0.3">
      <c r="A512" t="s">
        <v>1539</v>
      </c>
      <c r="B512" t="s">
        <v>1540</v>
      </c>
      <c r="C512">
        <v>1</v>
      </c>
      <c r="D512" t="s">
        <v>11</v>
      </c>
      <c r="E512" t="s">
        <v>21</v>
      </c>
      <c r="F512" t="s">
        <v>22</v>
      </c>
      <c r="H512" t="s">
        <v>71</v>
      </c>
      <c r="I512" t="s">
        <v>3617</v>
      </c>
      <c r="J512" t="s">
        <v>1539</v>
      </c>
      <c r="K512" t="s">
        <v>868</v>
      </c>
      <c r="L512" t="s">
        <v>3618</v>
      </c>
      <c r="M512" t="s">
        <v>1539</v>
      </c>
      <c r="N512" t="s">
        <v>1540</v>
      </c>
      <c r="Q512" t="s">
        <v>3599</v>
      </c>
      <c r="R512" t="s">
        <v>3599</v>
      </c>
      <c r="S512" t="s">
        <v>3599</v>
      </c>
      <c r="T512">
        <v>1</v>
      </c>
      <c r="U512" t="s">
        <v>868</v>
      </c>
      <c r="V512">
        <v>5</v>
      </c>
      <c r="W512">
        <v>0</v>
      </c>
      <c r="X512">
        <v>0</v>
      </c>
    </row>
    <row r="513" spans="1:24" x14ac:dyDescent="0.3">
      <c r="A513" t="s">
        <v>1541</v>
      </c>
      <c r="B513" t="s">
        <v>1542</v>
      </c>
      <c r="C513">
        <v>1</v>
      </c>
      <c r="D513" t="s">
        <v>11</v>
      </c>
      <c r="E513" t="s">
        <v>21</v>
      </c>
      <c r="F513" t="s">
        <v>22</v>
      </c>
      <c r="H513" t="s">
        <v>71</v>
      </c>
      <c r="I513" t="s">
        <v>3617</v>
      </c>
      <c r="J513" t="s">
        <v>1541</v>
      </c>
      <c r="K513" t="s">
        <v>868</v>
      </c>
      <c r="L513" t="s">
        <v>3618</v>
      </c>
      <c r="M513" t="s">
        <v>1541</v>
      </c>
      <c r="N513" t="s">
        <v>1542</v>
      </c>
      <c r="Q513" t="s">
        <v>3599</v>
      </c>
      <c r="R513" t="s">
        <v>3599</v>
      </c>
      <c r="S513" t="s">
        <v>3599</v>
      </c>
      <c r="T513">
        <v>1</v>
      </c>
      <c r="U513" t="s">
        <v>868</v>
      </c>
      <c r="V513">
        <v>5</v>
      </c>
      <c r="W513">
        <v>0</v>
      </c>
      <c r="X513">
        <v>0</v>
      </c>
    </row>
    <row r="514" spans="1:24" x14ac:dyDescent="0.3">
      <c r="A514" t="s">
        <v>1543</v>
      </c>
      <c r="B514" t="s">
        <v>1544</v>
      </c>
      <c r="C514">
        <v>1</v>
      </c>
      <c r="D514" t="s">
        <v>11</v>
      </c>
      <c r="E514" t="s">
        <v>21</v>
      </c>
      <c r="F514" t="s">
        <v>22</v>
      </c>
      <c r="H514" t="s">
        <v>71</v>
      </c>
      <c r="I514" t="s">
        <v>3617</v>
      </c>
      <c r="J514" t="s">
        <v>1543</v>
      </c>
      <c r="K514" t="s">
        <v>868</v>
      </c>
      <c r="L514" t="s">
        <v>3618</v>
      </c>
      <c r="M514" t="s">
        <v>1543</v>
      </c>
      <c r="N514" t="s">
        <v>1544</v>
      </c>
      <c r="Q514" t="s">
        <v>3599</v>
      </c>
      <c r="R514" t="s">
        <v>3599</v>
      </c>
      <c r="S514" t="s">
        <v>3599</v>
      </c>
      <c r="T514">
        <v>1</v>
      </c>
      <c r="U514" t="s">
        <v>868</v>
      </c>
      <c r="V514">
        <v>5</v>
      </c>
      <c r="W514">
        <v>0</v>
      </c>
      <c r="X514">
        <v>0</v>
      </c>
    </row>
    <row r="515" spans="1:24" x14ac:dyDescent="0.3">
      <c r="A515" t="s">
        <v>1545</v>
      </c>
      <c r="B515" t="s">
        <v>1546</v>
      </c>
      <c r="C515">
        <v>1</v>
      </c>
      <c r="D515" t="s">
        <v>11</v>
      </c>
      <c r="E515" t="s">
        <v>21</v>
      </c>
      <c r="F515" t="s">
        <v>22</v>
      </c>
      <c r="H515" t="s">
        <v>71</v>
      </c>
      <c r="I515" t="s">
        <v>3617</v>
      </c>
      <c r="J515" t="s">
        <v>1545</v>
      </c>
      <c r="K515" t="s">
        <v>868</v>
      </c>
      <c r="L515" t="s">
        <v>3618</v>
      </c>
      <c r="M515" t="s">
        <v>1545</v>
      </c>
      <c r="N515" t="s">
        <v>1546</v>
      </c>
      <c r="Q515" t="s">
        <v>3599</v>
      </c>
      <c r="R515" t="s">
        <v>3599</v>
      </c>
      <c r="S515" t="s">
        <v>3599</v>
      </c>
      <c r="T515">
        <v>1</v>
      </c>
      <c r="U515" t="s">
        <v>868</v>
      </c>
      <c r="V515">
        <v>5</v>
      </c>
      <c r="W515">
        <v>0</v>
      </c>
      <c r="X515">
        <v>0</v>
      </c>
    </row>
    <row r="516" spans="1:24" x14ac:dyDescent="0.3">
      <c r="A516" t="s">
        <v>1547</v>
      </c>
      <c r="B516" t="s">
        <v>1548</v>
      </c>
      <c r="C516">
        <v>1</v>
      </c>
      <c r="D516" t="s">
        <v>11</v>
      </c>
      <c r="E516" t="s">
        <v>21</v>
      </c>
      <c r="F516" t="s">
        <v>22</v>
      </c>
      <c r="H516" t="s">
        <v>71</v>
      </c>
      <c r="I516" t="s">
        <v>3617</v>
      </c>
      <c r="J516" t="s">
        <v>1547</v>
      </c>
      <c r="K516" t="s">
        <v>868</v>
      </c>
      <c r="L516" t="s">
        <v>3618</v>
      </c>
      <c r="M516" t="s">
        <v>1547</v>
      </c>
      <c r="N516" t="s">
        <v>1548</v>
      </c>
      <c r="Q516" t="s">
        <v>3599</v>
      </c>
      <c r="R516" t="s">
        <v>3599</v>
      </c>
      <c r="S516" t="s">
        <v>3599</v>
      </c>
      <c r="T516">
        <v>1</v>
      </c>
      <c r="U516" t="s">
        <v>868</v>
      </c>
      <c r="V516">
        <v>5</v>
      </c>
      <c r="W516">
        <v>0</v>
      </c>
      <c r="X516">
        <v>0</v>
      </c>
    </row>
    <row r="517" spans="1:24" x14ac:dyDescent="0.3">
      <c r="A517" t="s">
        <v>1549</v>
      </c>
      <c r="B517" t="s">
        <v>1550</v>
      </c>
      <c r="C517">
        <v>1</v>
      </c>
      <c r="D517" t="s">
        <v>11</v>
      </c>
      <c r="E517" t="s">
        <v>21</v>
      </c>
      <c r="F517" t="s">
        <v>22</v>
      </c>
      <c r="H517" t="s">
        <v>71</v>
      </c>
      <c r="I517" t="s">
        <v>3617</v>
      </c>
      <c r="J517" t="s">
        <v>1549</v>
      </c>
      <c r="K517" t="s">
        <v>868</v>
      </c>
      <c r="L517" t="s">
        <v>3618</v>
      </c>
      <c r="M517" t="s">
        <v>1549</v>
      </c>
      <c r="N517" t="s">
        <v>1550</v>
      </c>
      <c r="Q517" t="s">
        <v>3599</v>
      </c>
      <c r="R517" t="s">
        <v>3599</v>
      </c>
      <c r="S517" t="s">
        <v>3599</v>
      </c>
      <c r="T517">
        <v>1</v>
      </c>
      <c r="U517" t="s">
        <v>868</v>
      </c>
      <c r="V517">
        <v>5</v>
      </c>
      <c r="W517">
        <v>0</v>
      </c>
      <c r="X517">
        <v>0</v>
      </c>
    </row>
    <row r="518" spans="1:24" x14ac:dyDescent="0.3">
      <c r="A518" t="s">
        <v>1551</v>
      </c>
      <c r="B518" t="s">
        <v>1552</v>
      </c>
      <c r="C518">
        <v>1</v>
      </c>
      <c r="D518" t="s">
        <v>11</v>
      </c>
      <c r="E518" t="s">
        <v>21</v>
      </c>
      <c r="F518" t="s">
        <v>22</v>
      </c>
      <c r="H518" t="s">
        <v>71</v>
      </c>
      <c r="I518" t="s">
        <v>3617</v>
      </c>
      <c r="J518" t="s">
        <v>1551</v>
      </c>
      <c r="K518" t="s">
        <v>868</v>
      </c>
      <c r="L518" t="s">
        <v>3618</v>
      </c>
      <c r="M518" t="s">
        <v>1551</v>
      </c>
      <c r="N518" t="s">
        <v>1552</v>
      </c>
      <c r="Q518" t="s">
        <v>3599</v>
      </c>
      <c r="R518" t="s">
        <v>3599</v>
      </c>
      <c r="S518" t="s">
        <v>3599</v>
      </c>
      <c r="T518">
        <v>1</v>
      </c>
      <c r="U518" t="s">
        <v>868</v>
      </c>
      <c r="V518">
        <v>5</v>
      </c>
      <c r="W518">
        <v>0</v>
      </c>
      <c r="X518">
        <v>0</v>
      </c>
    </row>
    <row r="519" spans="1:24" x14ac:dyDescent="0.3">
      <c r="A519" t="s">
        <v>1553</v>
      </c>
      <c r="B519" t="s">
        <v>1554</v>
      </c>
      <c r="C519">
        <v>1</v>
      </c>
      <c r="D519" t="s">
        <v>11</v>
      </c>
      <c r="E519" t="s">
        <v>21</v>
      </c>
      <c r="F519" t="s">
        <v>22</v>
      </c>
      <c r="H519" t="s">
        <v>71</v>
      </c>
      <c r="I519" t="s">
        <v>3617</v>
      </c>
      <c r="J519" t="s">
        <v>1553</v>
      </c>
      <c r="K519" t="s">
        <v>868</v>
      </c>
      <c r="L519" t="s">
        <v>3618</v>
      </c>
      <c r="M519" t="s">
        <v>1553</v>
      </c>
      <c r="N519" t="s">
        <v>1554</v>
      </c>
      <c r="Q519" t="s">
        <v>3599</v>
      </c>
      <c r="R519" t="s">
        <v>3599</v>
      </c>
      <c r="S519" t="s">
        <v>3599</v>
      </c>
      <c r="T519">
        <v>1</v>
      </c>
      <c r="U519" t="s">
        <v>868</v>
      </c>
      <c r="V519">
        <v>5</v>
      </c>
      <c r="W519">
        <v>0</v>
      </c>
      <c r="X519">
        <v>0</v>
      </c>
    </row>
    <row r="520" spans="1:24" x14ac:dyDescent="0.3">
      <c r="A520" t="s">
        <v>1555</v>
      </c>
      <c r="B520" t="s">
        <v>1556</v>
      </c>
      <c r="C520">
        <v>1</v>
      </c>
      <c r="D520" t="s">
        <v>11</v>
      </c>
      <c r="E520" t="s">
        <v>21</v>
      </c>
      <c r="F520" t="s">
        <v>22</v>
      </c>
      <c r="H520" t="s">
        <v>71</v>
      </c>
      <c r="I520" t="s">
        <v>3617</v>
      </c>
      <c r="J520" t="s">
        <v>1555</v>
      </c>
      <c r="K520" t="s">
        <v>868</v>
      </c>
      <c r="L520" t="s">
        <v>3618</v>
      </c>
      <c r="M520" t="s">
        <v>1555</v>
      </c>
      <c r="N520" t="s">
        <v>1556</v>
      </c>
      <c r="Q520" t="s">
        <v>3599</v>
      </c>
      <c r="R520" t="s">
        <v>3599</v>
      </c>
      <c r="S520" t="s">
        <v>3599</v>
      </c>
      <c r="T520">
        <v>1</v>
      </c>
      <c r="U520" t="s">
        <v>868</v>
      </c>
      <c r="V520">
        <v>5</v>
      </c>
      <c r="W520">
        <v>0</v>
      </c>
      <c r="X520">
        <v>0</v>
      </c>
    </row>
    <row r="521" spans="1:24" x14ac:dyDescent="0.3">
      <c r="A521" t="s">
        <v>1557</v>
      </c>
      <c r="B521" t="s">
        <v>1558</v>
      </c>
      <c r="C521">
        <v>1</v>
      </c>
      <c r="D521" t="s">
        <v>11</v>
      </c>
      <c r="E521" t="s">
        <v>21</v>
      </c>
      <c r="F521" t="s">
        <v>22</v>
      </c>
      <c r="H521" t="s">
        <v>71</v>
      </c>
      <c r="I521" t="s">
        <v>3617</v>
      </c>
      <c r="J521" t="s">
        <v>1557</v>
      </c>
      <c r="K521" t="s">
        <v>868</v>
      </c>
      <c r="L521" t="s">
        <v>3618</v>
      </c>
      <c r="M521" t="s">
        <v>1557</v>
      </c>
      <c r="N521" t="s">
        <v>1558</v>
      </c>
      <c r="Q521" t="s">
        <v>3599</v>
      </c>
      <c r="R521" t="s">
        <v>3599</v>
      </c>
      <c r="S521" t="s">
        <v>3599</v>
      </c>
      <c r="T521">
        <v>1</v>
      </c>
      <c r="U521" t="s">
        <v>868</v>
      </c>
      <c r="V521">
        <v>5</v>
      </c>
      <c r="W521">
        <v>0</v>
      </c>
      <c r="X521">
        <v>0</v>
      </c>
    </row>
    <row r="522" spans="1:24" x14ac:dyDescent="0.3">
      <c r="A522" t="s">
        <v>1559</v>
      </c>
      <c r="B522" t="s">
        <v>1560</v>
      </c>
      <c r="C522">
        <v>1</v>
      </c>
      <c r="D522" t="s">
        <v>11</v>
      </c>
      <c r="E522" t="s">
        <v>21</v>
      </c>
      <c r="F522" t="s">
        <v>22</v>
      </c>
      <c r="H522" t="s">
        <v>71</v>
      </c>
      <c r="I522" t="s">
        <v>3617</v>
      </c>
      <c r="J522" t="s">
        <v>1559</v>
      </c>
      <c r="K522" t="s">
        <v>868</v>
      </c>
      <c r="L522" t="s">
        <v>3618</v>
      </c>
      <c r="M522" t="s">
        <v>1559</v>
      </c>
      <c r="N522" t="s">
        <v>1560</v>
      </c>
      <c r="Q522" t="s">
        <v>3599</v>
      </c>
      <c r="R522" t="s">
        <v>3599</v>
      </c>
      <c r="S522" t="s">
        <v>3599</v>
      </c>
      <c r="T522">
        <v>1</v>
      </c>
      <c r="U522" t="s">
        <v>868</v>
      </c>
      <c r="V522">
        <v>5</v>
      </c>
      <c r="W522">
        <v>0</v>
      </c>
      <c r="X522">
        <v>0</v>
      </c>
    </row>
    <row r="523" spans="1:24" x14ac:dyDescent="0.3">
      <c r="A523" t="s">
        <v>1561</v>
      </c>
      <c r="B523" t="s">
        <v>1562</v>
      </c>
      <c r="C523">
        <v>1</v>
      </c>
      <c r="D523" t="s">
        <v>11</v>
      </c>
      <c r="E523" t="s">
        <v>21</v>
      </c>
      <c r="F523" t="s">
        <v>22</v>
      </c>
      <c r="H523" t="s">
        <v>71</v>
      </c>
      <c r="I523" t="s">
        <v>3617</v>
      </c>
      <c r="J523" t="s">
        <v>1561</v>
      </c>
      <c r="K523" t="s">
        <v>868</v>
      </c>
      <c r="L523" t="s">
        <v>3618</v>
      </c>
      <c r="M523" t="s">
        <v>1561</v>
      </c>
      <c r="N523" t="s">
        <v>1562</v>
      </c>
      <c r="Q523" t="s">
        <v>3599</v>
      </c>
      <c r="R523" t="s">
        <v>3599</v>
      </c>
      <c r="S523" t="s">
        <v>3599</v>
      </c>
      <c r="T523">
        <v>1</v>
      </c>
      <c r="U523" t="s">
        <v>868</v>
      </c>
      <c r="V523">
        <v>5</v>
      </c>
      <c r="W523">
        <v>0</v>
      </c>
      <c r="X523">
        <v>0</v>
      </c>
    </row>
    <row r="524" spans="1:24" x14ac:dyDescent="0.3">
      <c r="A524" t="s">
        <v>1563</v>
      </c>
      <c r="B524" t="s">
        <v>1564</v>
      </c>
      <c r="C524">
        <v>1</v>
      </c>
      <c r="D524" t="s">
        <v>11</v>
      </c>
      <c r="E524" t="s">
        <v>21</v>
      </c>
      <c r="F524" t="s">
        <v>22</v>
      </c>
      <c r="H524" t="s">
        <v>71</v>
      </c>
      <c r="I524" t="s">
        <v>3617</v>
      </c>
      <c r="J524" t="s">
        <v>1563</v>
      </c>
      <c r="K524" t="s">
        <v>868</v>
      </c>
      <c r="L524" t="s">
        <v>3618</v>
      </c>
      <c r="M524" t="s">
        <v>1563</v>
      </c>
      <c r="N524" t="s">
        <v>1564</v>
      </c>
      <c r="Q524" t="s">
        <v>3599</v>
      </c>
      <c r="R524" t="s">
        <v>3599</v>
      </c>
      <c r="S524" t="s">
        <v>3599</v>
      </c>
      <c r="T524">
        <v>1</v>
      </c>
      <c r="U524" t="s">
        <v>868</v>
      </c>
      <c r="V524">
        <v>5</v>
      </c>
      <c r="W524">
        <v>0</v>
      </c>
      <c r="X524">
        <v>0</v>
      </c>
    </row>
    <row r="525" spans="1:24" x14ac:dyDescent="0.3">
      <c r="A525" t="s">
        <v>1565</v>
      </c>
      <c r="B525" t="s">
        <v>1566</v>
      </c>
      <c r="C525">
        <v>1</v>
      </c>
      <c r="D525" t="s">
        <v>11</v>
      </c>
      <c r="E525" t="s">
        <v>21</v>
      </c>
      <c r="F525" t="s">
        <v>22</v>
      </c>
      <c r="H525" t="s">
        <v>71</v>
      </c>
      <c r="I525" t="s">
        <v>3617</v>
      </c>
      <c r="J525" t="s">
        <v>1565</v>
      </c>
      <c r="K525" t="s">
        <v>868</v>
      </c>
      <c r="L525" t="s">
        <v>3618</v>
      </c>
      <c r="M525" t="s">
        <v>1565</v>
      </c>
      <c r="N525" t="s">
        <v>1566</v>
      </c>
      <c r="O525" t="s">
        <v>1567</v>
      </c>
      <c r="Q525" t="s">
        <v>3599</v>
      </c>
      <c r="R525" t="s">
        <v>3599</v>
      </c>
      <c r="S525" t="s">
        <v>3599</v>
      </c>
      <c r="T525">
        <v>1</v>
      </c>
      <c r="U525" t="s">
        <v>868</v>
      </c>
      <c r="V525">
        <v>5</v>
      </c>
      <c r="W525">
        <v>0</v>
      </c>
      <c r="X525">
        <v>0</v>
      </c>
    </row>
    <row r="526" spans="1:24" x14ac:dyDescent="0.3">
      <c r="A526" t="s">
        <v>1568</v>
      </c>
      <c r="B526" t="s">
        <v>1569</v>
      </c>
      <c r="C526">
        <v>1</v>
      </c>
      <c r="D526" t="s">
        <v>11</v>
      </c>
      <c r="E526" t="s">
        <v>21</v>
      </c>
      <c r="F526" t="s">
        <v>22</v>
      </c>
      <c r="H526" t="s">
        <v>71</v>
      </c>
      <c r="I526" t="s">
        <v>3617</v>
      </c>
      <c r="J526" t="s">
        <v>1568</v>
      </c>
      <c r="K526" t="s">
        <v>868</v>
      </c>
      <c r="L526" t="s">
        <v>3618</v>
      </c>
      <c r="M526" t="s">
        <v>1568</v>
      </c>
      <c r="N526" t="s">
        <v>1569</v>
      </c>
      <c r="Q526" t="s">
        <v>3599</v>
      </c>
      <c r="R526" t="s">
        <v>3599</v>
      </c>
      <c r="S526" t="s">
        <v>3599</v>
      </c>
      <c r="T526">
        <v>1</v>
      </c>
      <c r="U526" t="s">
        <v>868</v>
      </c>
      <c r="V526">
        <v>5</v>
      </c>
      <c r="W526">
        <v>0</v>
      </c>
      <c r="X526">
        <v>0</v>
      </c>
    </row>
    <row r="527" spans="1:24" x14ac:dyDescent="0.3">
      <c r="A527" t="s">
        <v>1570</v>
      </c>
      <c r="B527" t="s">
        <v>1571</v>
      </c>
      <c r="C527">
        <v>1</v>
      </c>
      <c r="D527" t="s">
        <v>11</v>
      </c>
      <c r="E527" t="s">
        <v>21</v>
      </c>
      <c r="F527" t="s">
        <v>22</v>
      </c>
      <c r="H527" t="s">
        <v>71</v>
      </c>
      <c r="I527" t="s">
        <v>3617</v>
      </c>
      <c r="J527" t="s">
        <v>1570</v>
      </c>
      <c r="K527" t="s">
        <v>868</v>
      </c>
      <c r="L527" t="s">
        <v>3618</v>
      </c>
      <c r="M527" t="s">
        <v>1570</v>
      </c>
      <c r="N527" t="s">
        <v>1571</v>
      </c>
      <c r="Q527" t="s">
        <v>3599</v>
      </c>
      <c r="R527" t="s">
        <v>3599</v>
      </c>
      <c r="S527" t="s">
        <v>3599</v>
      </c>
      <c r="T527">
        <v>1</v>
      </c>
      <c r="U527" t="s">
        <v>868</v>
      </c>
      <c r="V527">
        <v>5</v>
      </c>
      <c r="W527">
        <v>0</v>
      </c>
      <c r="X527">
        <v>0</v>
      </c>
    </row>
    <row r="528" spans="1:24" x14ac:dyDescent="0.3">
      <c r="A528" t="s">
        <v>1572</v>
      </c>
      <c r="B528" t="s">
        <v>1573</v>
      </c>
      <c r="C528">
        <v>1</v>
      </c>
      <c r="D528" t="s">
        <v>11</v>
      </c>
      <c r="E528" t="s">
        <v>21</v>
      </c>
      <c r="F528" t="s">
        <v>22</v>
      </c>
      <c r="H528" t="s">
        <v>71</v>
      </c>
      <c r="I528" t="s">
        <v>3617</v>
      </c>
      <c r="J528" t="s">
        <v>1572</v>
      </c>
      <c r="K528" t="s">
        <v>868</v>
      </c>
      <c r="L528" t="s">
        <v>3618</v>
      </c>
      <c r="M528" t="s">
        <v>1572</v>
      </c>
      <c r="N528" t="s">
        <v>1573</v>
      </c>
      <c r="Q528" t="s">
        <v>3599</v>
      </c>
      <c r="R528" t="s">
        <v>3599</v>
      </c>
      <c r="S528" t="s">
        <v>3599</v>
      </c>
      <c r="T528">
        <v>1</v>
      </c>
      <c r="U528" t="s">
        <v>868</v>
      </c>
      <c r="V528">
        <v>5</v>
      </c>
      <c r="W528">
        <v>0</v>
      </c>
      <c r="X528">
        <v>0</v>
      </c>
    </row>
    <row r="529" spans="1:24" x14ac:dyDescent="0.3">
      <c r="A529" t="s">
        <v>1574</v>
      </c>
      <c r="B529" t="s">
        <v>1575</v>
      </c>
      <c r="C529">
        <v>1</v>
      </c>
      <c r="D529" t="s">
        <v>11</v>
      </c>
      <c r="E529" t="s">
        <v>21</v>
      </c>
      <c r="F529" t="s">
        <v>22</v>
      </c>
      <c r="H529" t="s">
        <v>71</v>
      </c>
      <c r="I529" t="s">
        <v>3617</v>
      </c>
      <c r="K529" t="s">
        <v>868</v>
      </c>
      <c r="L529" t="s">
        <v>3618</v>
      </c>
      <c r="N529" t="s">
        <v>1575</v>
      </c>
      <c r="Q529" t="s">
        <v>3599</v>
      </c>
      <c r="R529" t="s">
        <v>3599</v>
      </c>
      <c r="S529" t="s">
        <v>3599</v>
      </c>
      <c r="T529">
        <v>1</v>
      </c>
      <c r="U529" t="s">
        <v>868</v>
      </c>
      <c r="V529">
        <v>5</v>
      </c>
      <c r="W529">
        <v>0</v>
      </c>
      <c r="X529">
        <v>0</v>
      </c>
    </row>
    <row r="530" spans="1:24" x14ac:dyDescent="0.3">
      <c r="A530" t="s">
        <v>1576</v>
      </c>
      <c r="B530" t="s">
        <v>1577</v>
      </c>
      <c r="C530">
        <v>1</v>
      </c>
      <c r="D530" t="s">
        <v>11</v>
      </c>
      <c r="E530" t="s">
        <v>21</v>
      </c>
      <c r="F530" t="s">
        <v>22</v>
      </c>
      <c r="H530" t="s">
        <v>71</v>
      </c>
      <c r="I530" t="s">
        <v>3617</v>
      </c>
      <c r="K530" t="s">
        <v>868</v>
      </c>
      <c r="L530" t="s">
        <v>3618</v>
      </c>
      <c r="N530" t="s">
        <v>1577</v>
      </c>
      <c r="Q530" t="s">
        <v>3599</v>
      </c>
      <c r="R530" t="s">
        <v>3599</v>
      </c>
      <c r="S530" t="s">
        <v>3599</v>
      </c>
      <c r="T530">
        <v>1</v>
      </c>
      <c r="U530" t="s">
        <v>868</v>
      </c>
      <c r="V530">
        <v>5</v>
      </c>
      <c r="W530">
        <v>0</v>
      </c>
      <c r="X530">
        <v>0</v>
      </c>
    </row>
    <row r="531" spans="1:24" x14ac:dyDescent="0.3">
      <c r="A531" t="s">
        <v>1578</v>
      </c>
      <c r="B531" t="s">
        <v>1579</v>
      </c>
      <c r="C531">
        <v>1</v>
      </c>
      <c r="D531" t="s">
        <v>11</v>
      </c>
      <c r="E531" t="s">
        <v>21</v>
      </c>
      <c r="F531" t="s">
        <v>22</v>
      </c>
      <c r="H531" t="s">
        <v>71</v>
      </c>
      <c r="I531" t="s">
        <v>3617</v>
      </c>
      <c r="K531" t="s">
        <v>868</v>
      </c>
      <c r="L531" t="s">
        <v>3618</v>
      </c>
      <c r="N531" t="s">
        <v>1579</v>
      </c>
      <c r="Q531" t="s">
        <v>3599</v>
      </c>
      <c r="R531" t="s">
        <v>3599</v>
      </c>
      <c r="S531" t="s">
        <v>3599</v>
      </c>
      <c r="T531">
        <v>1</v>
      </c>
      <c r="U531" t="s">
        <v>868</v>
      </c>
      <c r="V531">
        <v>5</v>
      </c>
      <c r="W531">
        <v>0</v>
      </c>
      <c r="X531">
        <v>0</v>
      </c>
    </row>
    <row r="532" spans="1:24" x14ac:dyDescent="0.3">
      <c r="A532" t="s">
        <v>1580</v>
      </c>
      <c r="B532" t="s">
        <v>1581</v>
      </c>
      <c r="C532">
        <v>1</v>
      </c>
      <c r="D532" t="s">
        <v>11</v>
      </c>
      <c r="E532" t="s">
        <v>21</v>
      </c>
      <c r="F532" t="s">
        <v>22</v>
      </c>
      <c r="H532" t="s">
        <v>71</v>
      </c>
      <c r="I532" t="s">
        <v>3617</v>
      </c>
      <c r="K532" t="s">
        <v>868</v>
      </c>
      <c r="L532" t="s">
        <v>3618</v>
      </c>
      <c r="N532" t="s">
        <v>1581</v>
      </c>
      <c r="Q532" t="s">
        <v>3599</v>
      </c>
      <c r="R532" t="s">
        <v>3599</v>
      </c>
      <c r="S532" t="s">
        <v>3599</v>
      </c>
      <c r="T532">
        <v>1</v>
      </c>
      <c r="U532" t="s">
        <v>868</v>
      </c>
      <c r="V532">
        <v>5</v>
      </c>
      <c r="W532">
        <v>0</v>
      </c>
      <c r="X532">
        <v>0</v>
      </c>
    </row>
    <row r="533" spans="1:24" x14ac:dyDescent="0.3">
      <c r="A533" t="s">
        <v>1582</v>
      </c>
      <c r="B533" t="s">
        <v>1583</v>
      </c>
      <c r="C533">
        <v>1</v>
      </c>
      <c r="D533" t="s">
        <v>11</v>
      </c>
      <c r="E533" t="s">
        <v>21</v>
      </c>
      <c r="F533" t="s">
        <v>22</v>
      </c>
      <c r="H533" t="s">
        <v>71</v>
      </c>
      <c r="I533" t="s">
        <v>3617</v>
      </c>
      <c r="K533" t="s">
        <v>868</v>
      </c>
      <c r="L533" t="s">
        <v>3618</v>
      </c>
      <c r="N533" t="s">
        <v>1583</v>
      </c>
      <c r="Q533" t="s">
        <v>3599</v>
      </c>
      <c r="R533" t="s">
        <v>3599</v>
      </c>
      <c r="S533" t="s">
        <v>3599</v>
      </c>
      <c r="T533">
        <v>1</v>
      </c>
      <c r="U533" t="s">
        <v>868</v>
      </c>
      <c r="V533">
        <v>5</v>
      </c>
      <c r="W533">
        <v>0</v>
      </c>
      <c r="X533">
        <v>0</v>
      </c>
    </row>
    <row r="534" spans="1:24" x14ac:dyDescent="0.3">
      <c r="A534" t="s">
        <v>1584</v>
      </c>
      <c r="B534" t="s">
        <v>1585</v>
      </c>
      <c r="C534">
        <v>1</v>
      </c>
      <c r="D534" t="s">
        <v>11</v>
      </c>
      <c r="E534" t="s">
        <v>21</v>
      </c>
      <c r="F534" t="s">
        <v>22</v>
      </c>
      <c r="H534" t="s">
        <v>71</v>
      </c>
      <c r="I534" t="s">
        <v>3617</v>
      </c>
      <c r="J534" t="s">
        <v>1584</v>
      </c>
      <c r="K534" t="s">
        <v>868</v>
      </c>
      <c r="L534" t="s">
        <v>3618</v>
      </c>
      <c r="M534" t="s">
        <v>1584</v>
      </c>
      <c r="N534" t="s">
        <v>1585</v>
      </c>
      <c r="Q534" t="s">
        <v>3599</v>
      </c>
      <c r="R534" t="s">
        <v>3599</v>
      </c>
      <c r="S534" t="s">
        <v>3599</v>
      </c>
      <c r="T534">
        <v>1</v>
      </c>
      <c r="U534" t="s">
        <v>868</v>
      </c>
      <c r="V534">
        <v>5</v>
      </c>
      <c r="W534">
        <v>0</v>
      </c>
      <c r="X534">
        <v>0</v>
      </c>
    </row>
    <row r="535" spans="1:24" x14ac:dyDescent="0.3">
      <c r="A535" t="s">
        <v>1586</v>
      </c>
      <c r="B535" t="s">
        <v>1587</v>
      </c>
      <c r="C535">
        <v>1</v>
      </c>
      <c r="D535" t="s">
        <v>11</v>
      </c>
      <c r="E535" t="s">
        <v>21</v>
      </c>
      <c r="F535" t="s">
        <v>22</v>
      </c>
      <c r="H535" t="s">
        <v>71</v>
      </c>
      <c r="I535" t="s">
        <v>3617</v>
      </c>
      <c r="J535" t="s">
        <v>1586</v>
      </c>
      <c r="K535" t="s">
        <v>868</v>
      </c>
      <c r="L535" t="s">
        <v>3618</v>
      </c>
      <c r="M535" t="s">
        <v>1586</v>
      </c>
      <c r="N535" t="s">
        <v>1587</v>
      </c>
      <c r="Q535" t="s">
        <v>3599</v>
      </c>
      <c r="R535" t="s">
        <v>3599</v>
      </c>
      <c r="S535" t="s">
        <v>3599</v>
      </c>
      <c r="T535">
        <v>1</v>
      </c>
      <c r="U535" t="s">
        <v>868</v>
      </c>
      <c r="V535">
        <v>5</v>
      </c>
      <c r="W535">
        <v>0</v>
      </c>
      <c r="X535">
        <v>0</v>
      </c>
    </row>
    <row r="536" spans="1:24" x14ac:dyDescent="0.3">
      <c r="A536" t="s">
        <v>1588</v>
      </c>
      <c r="B536" t="s">
        <v>1589</v>
      </c>
      <c r="C536">
        <v>1</v>
      </c>
      <c r="D536" t="s">
        <v>11</v>
      </c>
      <c r="E536" t="s">
        <v>21</v>
      </c>
      <c r="F536" t="s">
        <v>22</v>
      </c>
      <c r="H536" t="s">
        <v>71</v>
      </c>
      <c r="I536" t="s">
        <v>3617</v>
      </c>
      <c r="J536" t="s">
        <v>1588</v>
      </c>
      <c r="K536" t="s">
        <v>868</v>
      </c>
      <c r="L536" t="s">
        <v>3618</v>
      </c>
      <c r="M536" t="s">
        <v>1588</v>
      </c>
      <c r="N536" t="s">
        <v>1589</v>
      </c>
      <c r="Q536" t="s">
        <v>3599</v>
      </c>
      <c r="R536" t="s">
        <v>3599</v>
      </c>
      <c r="S536" t="s">
        <v>3599</v>
      </c>
      <c r="T536">
        <v>1</v>
      </c>
      <c r="U536" t="s">
        <v>868</v>
      </c>
      <c r="V536">
        <v>5</v>
      </c>
      <c r="W536">
        <v>0</v>
      </c>
      <c r="X536">
        <v>0</v>
      </c>
    </row>
    <row r="537" spans="1:24" x14ac:dyDescent="0.3">
      <c r="A537" t="s">
        <v>1590</v>
      </c>
      <c r="B537" t="s">
        <v>1591</v>
      </c>
      <c r="C537">
        <v>1</v>
      </c>
      <c r="D537" t="s">
        <v>11</v>
      </c>
      <c r="E537" t="s">
        <v>21</v>
      </c>
      <c r="F537" t="s">
        <v>22</v>
      </c>
      <c r="H537" t="s">
        <v>71</v>
      </c>
      <c r="I537" t="s">
        <v>3617</v>
      </c>
      <c r="J537" t="s">
        <v>1590</v>
      </c>
      <c r="K537" t="s">
        <v>868</v>
      </c>
      <c r="L537" t="s">
        <v>3618</v>
      </c>
      <c r="M537" t="s">
        <v>1590</v>
      </c>
      <c r="N537" t="s">
        <v>1591</v>
      </c>
      <c r="Q537" t="s">
        <v>3599</v>
      </c>
      <c r="R537" t="s">
        <v>3599</v>
      </c>
      <c r="S537" t="s">
        <v>3599</v>
      </c>
      <c r="T537">
        <v>1</v>
      </c>
      <c r="U537" t="s">
        <v>868</v>
      </c>
      <c r="V537">
        <v>5</v>
      </c>
      <c r="W537">
        <v>0</v>
      </c>
      <c r="X537">
        <v>0</v>
      </c>
    </row>
    <row r="538" spans="1:24" x14ac:dyDescent="0.3">
      <c r="A538" t="s">
        <v>1592</v>
      </c>
      <c r="B538" t="s">
        <v>1593</v>
      </c>
      <c r="C538">
        <v>1</v>
      </c>
      <c r="D538" t="s">
        <v>11</v>
      </c>
      <c r="E538" t="s">
        <v>21</v>
      </c>
      <c r="F538" t="s">
        <v>22</v>
      </c>
      <c r="H538" t="s">
        <v>71</v>
      </c>
      <c r="I538" t="s">
        <v>3617</v>
      </c>
      <c r="J538" t="s">
        <v>1592</v>
      </c>
      <c r="K538" t="s">
        <v>868</v>
      </c>
      <c r="L538" t="s">
        <v>3618</v>
      </c>
      <c r="M538" t="s">
        <v>1592</v>
      </c>
      <c r="N538" t="s">
        <v>1593</v>
      </c>
      <c r="Q538" t="s">
        <v>3599</v>
      </c>
      <c r="R538" t="s">
        <v>3599</v>
      </c>
      <c r="S538" t="s">
        <v>3599</v>
      </c>
      <c r="T538">
        <v>1</v>
      </c>
      <c r="U538" t="s">
        <v>868</v>
      </c>
      <c r="V538">
        <v>5</v>
      </c>
      <c r="W538">
        <v>0</v>
      </c>
      <c r="X538">
        <v>0</v>
      </c>
    </row>
    <row r="539" spans="1:24" x14ac:dyDescent="0.3">
      <c r="A539" t="s">
        <v>1594</v>
      </c>
      <c r="B539" t="s">
        <v>1595</v>
      </c>
      <c r="C539">
        <v>1</v>
      </c>
      <c r="D539" t="s">
        <v>11</v>
      </c>
      <c r="E539" t="s">
        <v>21</v>
      </c>
      <c r="F539" t="s">
        <v>22</v>
      </c>
      <c r="H539" t="s">
        <v>71</v>
      </c>
      <c r="I539" t="s">
        <v>3617</v>
      </c>
      <c r="J539" t="s">
        <v>1594</v>
      </c>
      <c r="K539" t="s">
        <v>868</v>
      </c>
      <c r="L539" t="s">
        <v>3618</v>
      </c>
      <c r="M539" t="s">
        <v>1594</v>
      </c>
      <c r="N539" t="s">
        <v>1595</v>
      </c>
      <c r="Q539" t="s">
        <v>3599</v>
      </c>
      <c r="R539" t="s">
        <v>3599</v>
      </c>
      <c r="S539" t="s">
        <v>3599</v>
      </c>
      <c r="T539">
        <v>1</v>
      </c>
      <c r="U539" t="s">
        <v>868</v>
      </c>
      <c r="V539">
        <v>5</v>
      </c>
      <c r="W539">
        <v>0</v>
      </c>
      <c r="X539">
        <v>0</v>
      </c>
    </row>
    <row r="540" spans="1:24" x14ac:dyDescent="0.3">
      <c r="A540" t="s">
        <v>1596</v>
      </c>
      <c r="B540" t="s">
        <v>1597</v>
      </c>
      <c r="C540">
        <v>1</v>
      </c>
      <c r="D540" t="s">
        <v>11</v>
      </c>
      <c r="E540" t="s">
        <v>21</v>
      </c>
      <c r="F540" t="s">
        <v>22</v>
      </c>
      <c r="H540" t="s">
        <v>71</v>
      </c>
      <c r="I540" t="s">
        <v>3617</v>
      </c>
      <c r="J540" t="s">
        <v>1596</v>
      </c>
      <c r="K540" t="s">
        <v>868</v>
      </c>
      <c r="L540" t="s">
        <v>3618</v>
      </c>
      <c r="M540" t="s">
        <v>1596</v>
      </c>
      <c r="N540" t="s">
        <v>1597</v>
      </c>
      <c r="Q540" t="s">
        <v>3599</v>
      </c>
      <c r="R540" t="s">
        <v>3599</v>
      </c>
      <c r="S540" t="s">
        <v>3599</v>
      </c>
      <c r="T540">
        <v>1</v>
      </c>
      <c r="U540" t="s">
        <v>868</v>
      </c>
      <c r="V540">
        <v>5</v>
      </c>
      <c r="W540">
        <v>0</v>
      </c>
      <c r="X540">
        <v>0</v>
      </c>
    </row>
    <row r="541" spans="1:24" x14ac:dyDescent="0.3">
      <c r="A541" t="s">
        <v>1598</v>
      </c>
      <c r="B541" t="s">
        <v>1599</v>
      </c>
      <c r="C541">
        <v>1</v>
      </c>
      <c r="D541" t="s">
        <v>11</v>
      </c>
      <c r="E541" t="s">
        <v>21</v>
      </c>
      <c r="F541" t="s">
        <v>22</v>
      </c>
      <c r="H541" t="s">
        <v>71</v>
      </c>
      <c r="I541" t="s">
        <v>3617</v>
      </c>
      <c r="J541" t="s">
        <v>1598</v>
      </c>
      <c r="K541" t="s">
        <v>868</v>
      </c>
      <c r="L541" t="s">
        <v>3618</v>
      </c>
      <c r="M541" t="s">
        <v>1598</v>
      </c>
      <c r="N541" t="s">
        <v>1599</v>
      </c>
      <c r="Q541" t="s">
        <v>3599</v>
      </c>
      <c r="R541" t="s">
        <v>3599</v>
      </c>
      <c r="S541" t="s">
        <v>3599</v>
      </c>
      <c r="T541">
        <v>1</v>
      </c>
      <c r="U541" t="s">
        <v>868</v>
      </c>
      <c r="V541">
        <v>5</v>
      </c>
      <c r="W541">
        <v>0</v>
      </c>
      <c r="X541">
        <v>0</v>
      </c>
    </row>
    <row r="542" spans="1:24" x14ac:dyDescent="0.3">
      <c r="A542" t="s">
        <v>1600</v>
      </c>
      <c r="B542" t="s">
        <v>1601</v>
      </c>
      <c r="C542">
        <v>1</v>
      </c>
      <c r="D542" t="s">
        <v>11</v>
      </c>
      <c r="E542" t="s">
        <v>21</v>
      </c>
      <c r="F542" t="s">
        <v>22</v>
      </c>
      <c r="H542" t="s">
        <v>71</v>
      </c>
      <c r="I542" t="s">
        <v>3617</v>
      </c>
      <c r="J542" t="s">
        <v>1600</v>
      </c>
      <c r="K542" t="s">
        <v>868</v>
      </c>
      <c r="L542" t="s">
        <v>3618</v>
      </c>
      <c r="M542" t="s">
        <v>1600</v>
      </c>
      <c r="N542" t="s">
        <v>1601</v>
      </c>
      <c r="O542" t="s">
        <v>1602</v>
      </c>
      <c r="Q542" t="s">
        <v>3599</v>
      </c>
      <c r="R542" t="s">
        <v>3599</v>
      </c>
      <c r="S542" t="s">
        <v>3599</v>
      </c>
      <c r="T542">
        <v>1</v>
      </c>
      <c r="U542" t="s">
        <v>868</v>
      </c>
      <c r="V542">
        <v>5</v>
      </c>
      <c r="W542">
        <v>0</v>
      </c>
      <c r="X542">
        <v>0</v>
      </c>
    </row>
    <row r="543" spans="1:24" x14ac:dyDescent="0.3">
      <c r="A543" t="s">
        <v>1603</v>
      </c>
      <c r="B543" t="s">
        <v>1604</v>
      </c>
      <c r="C543">
        <v>1</v>
      </c>
      <c r="D543" t="s">
        <v>11</v>
      </c>
      <c r="E543" t="s">
        <v>21</v>
      </c>
      <c r="F543" t="s">
        <v>22</v>
      </c>
      <c r="H543" t="s">
        <v>71</v>
      </c>
      <c r="I543" t="s">
        <v>3617</v>
      </c>
      <c r="J543" t="s">
        <v>1603</v>
      </c>
      <c r="K543" t="s">
        <v>868</v>
      </c>
      <c r="L543" t="s">
        <v>3618</v>
      </c>
      <c r="M543" t="s">
        <v>1603</v>
      </c>
      <c r="N543" t="s">
        <v>1604</v>
      </c>
      <c r="O543" t="s">
        <v>1605</v>
      </c>
      <c r="Q543" t="s">
        <v>3599</v>
      </c>
      <c r="R543" t="s">
        <v>3599</v>
      </c>
      <c r="S543" t="s">
        <v>3599</v>
      </c>
      <c r="T543">
        <v>1</v>
      </c>
      <c r="U543" t="s">
        <v>868</v>
      </c>
      <c r="V543">
        <v>5</v>
      </c>
      <c r="W543">
        <v>0</v>
      </c>
      <c r="X543">
        <v>0</v>
      </c>
    </row>
    <row r="544" spans="1:24" x14ac:dyDescent="0.3">
      <c r="A544" t="s">
        <v>1606</v>
      </c>
      <c r="B544" t="s">
        <v>1607</v>
      </c>
      <c r="C544">
        <v>1</v>
      </c>
      <c r="D544" t="s">
        <v>11</v>
      </c>
      <c r="E544" t="s">
        <v>21</v>
      </c>
      <c r="F544" t="s">
        <v>22</v>
      </c>
      <c r="H544" t="s">
        <v>71</v>
      </c>
      <c r="I544" t="s">
        <v>3617</v>
      </c>
      <c r="J544" t="s">
        <v>1606</v>
      </c>
      <c r="K544" t="s">
        <v>868</v>
      </c>
      <c r="L544" t="s">
        <v>3618</v>
      </c>
      <c r="M544" t="s">
        <v>1606</v>
      </c>
      <c r="N544" t="s">
        <v>1607</v>
      </c>
      <c r="Q544" t="s">
        <v>3599</v>
      </c>
      <c r="R544" t="s">
        <v>3599</v>
      </c>
      <c r="S544" t="s">
        <v>3599</v>
      </c>
      <c r="T544">
        <v>1</v>
      </c>
      <c r="U544" t="s">
        <v>868</v>
      </c>
      <c r="V544">
        <v>5</v>
      </c>
      <c r="W544">
        <v>0</v>
      </c>
      <c r="X544">
        <v>0</v>
      </c>
    </row>
    <row r="545" spans="1:24" x14ac:dyDescent="0.3">
      <c r="A545" t="s">
        <v>1608</v>
      </c>
      <c r="B545" t="s">
        <v>1609</v>
      </c>
      <c r="C545">
        <v>1</v>
      </c>
      <c r="D545" t="s">
        <v>11</v>
      </c>
      <c r="E545" t="s">
        <v>21</v>
      </c>
      <c r="F545" t="s">
        <v>22</v>
      </c>
      <c r="H545" t="s">
        <v>71</v>
      </c>
      <c r="I545" t="s">
        <v>3617</v>
      </c>
      <c r="J545" t="s">
        <v>1608</v>
      </c>
      <c r="K545" t="s">
        <v>868</v>
      </c>
      <c r="L545" t="s">
        <v>3618</v>
      </c>
      <c r="M545" t="s">
        <v>1608</v>
      </c>
      <c r="N545" t="s">
        <v>1609</v>
      </c>
      <c r="O545" t="s">
        <v>1611</v>
      </c>
      <c r="P545" t="s">
        <v>1610</v>
      </c>
      <c r="Q545" t="s">
        <v>3599</v>
      </c>
      <c r="R545" t="s">
        <v>3599</v>
      </c>
      <c r="S545" t="s">
        <v>3599</v>
      </c>
      <c r="T545">
        <v>1</v>
      </c>
      <c r="U545" t="s">
        <v>868</v>
      </c>
      <c r="V545">
        <v>5</v>
      </c>
      <c r="W545">
        <v>0</v>
      </c>
      <c r="X545">
        <v>0</v>
      </c>
    </row>
    <row r="546" spans="1:24" x14ac:dyDescent="0.3">
      <c r="A546" t="s">
        <v>1612</v>
      </c>
      <c r="B546" t="s">
        <v>1613</v>
      </c>
      <c r="C546">
        <v>1</v>
      </c>
      <c r="D546" t="s">
        <v>11</v>
      </c>
      <c r="E546" t="s">
        <v>21</v>
      </c>
      <c r="F546" t="s">
        <v>22</v>
      </c>
      <c r="H546" t="s">
        <v>71</v>
      </c>
      <c r="I546" t="s">
        <v>3617</v>
      </c>
      <c r="K546" t="s">
        <v>868</v>
      </c>
      <c r="L546" t="s">
        <v>3618</v>
      </c>
      <c r="N546" t="s">
        <v>1613</v>
      </c>
      <c r="Q546" t="s">
        <v>3599</v>
      </c>
      <c r="R546" t="s">
        <v>3599</v>
      </c>
      <c r="S546" t="s">
        <v>3599</v>
      </c>
      <c r="T546">
        <v>1</v>
      </c>
      <c r="U546" t="s">
        <v>868</v>
      </c>
      <c r="V546">
        <v>5</v>
      </c>
      <c r="W546">
        <v>0</v>
      </c>
      <c r="X546">
        <v>0</v>
      </c>
    </row>
    <row r="547" spans="1:24" x14ac:dyDescent="0.3">
      <c r="A547" t="s">
        <v>1614</v>
      </c>
      <c r="B547" t="s">
        <v>1615</v>
      </c>
      <c r="C547">
        <v>1</v>
      </c>
      <c r="D547" t="s">
        <v>11</v>
      </c>
      <c r="E547" t="s">
        <v>21</v>
      </c>
      <c r="F547" t="s">
        <v>22</v>
      </c>
      <c r="H547" t="s">
        <v>71</v>
      </c>
      <c r="I547" t="s">
        <v>3617</v>
      </c>
      <c r="K547" t="s">
        <v>868</v>
      </c>
      <c r="L547" t="s">
        <v>3618</v>
      </c>
      <c r="N547" t="s">
        <v>1615</v>
      </c>
      <c r="Q547" t="s">
        <v>3599</v>
      </c>
      <c r="R547" t="s">
        <v>3599</v>
      </c>
      <c r="S547" t="s">
        <v>3599</v>
      </c>
      <c r="T547">
        <v>1</v>
      </c>
      <c r="U547" t="s">
        <v>868</v>
      </c>
      <c r="V547">
        <v>5</v>
      </c>
      <c r="W547">
        <v>0</v>
      </c>
      <c r="X547">
        <v>0</v>
      </c>
    </row>
    <row r="548" spans="1:24" x14ac:dyDescent="0.3">
      <c r="A548" t="s">
        <v>1616</v>
      </c>
      <c r="B548" t="s">
        <v>1617</v>
      </c>
      <c r="C548">
        <v>1</v>
      </c>
      <c r="D548" t="s">
        <v>11</v>
      </c>
      <c r="E548" t="s">
        <v>21</v>
      </c>
      <c r="F548" t="s">
        <v>22</v>
      </c>
      <c r="H548" t="s">
        <v>71</v>
      </c>
      <c r="I548" t="s">
        <v>3617</v>
      </c>
      <c r="K548" t="s">
        <v>868</v>
      </c>
      <c r="L548" t="s">
        <v>3618</v>
      </c>
      <c r="N548" t="s">
        <v>1617</v>
      </c>
      <c r="Q548" t="s">
        <v>3599</v>
      </c>
      <c r="R548" t="s">
        <v>3599</v>
      </c>
      <c r="S548" t="s">
        <v>3599</v>
      </c>
      <c r="T548">
        <v>1</v>
      </c>
      <c r="U548" t="s">
        <v>868</v>
      </c>
      <c r="V548">
        <v>5</v>
      </c>
      <c r="W548">
        <v>0</v>
      </c>
      <c r="X548">
        <v>0</v>
      </c>
    </row>
    <row r="549" spans="1:24" x14ac:dyDescent="0.3">
      <c r="A549" t="s">
        <v>1618</v>
      </c>
      <c r="B549" t="s">
        <v>1619</v>
      </c>
      <c r="C549">
        <v>1</v>
      </c>
      <c r="D549" t="s">
        <v>11</v>
      </c>
      <c r="E549" t="s">
        <v>21</v>
      </c>
      <c r="F549" t="s">
        <v>22</v>
      </c>
      <c r="H549" t="s">
        <v>71</v>
      </c>
      <c r="I549" t="s">
        <v>3617</v>
      </c>
      <c r="J549" t="s">
        <v>1618</v>
      </c>
      <c r="K549" t="s">
        <v>868</v>
      </c>
      <c r="L549" t="s">
        <v>3618</v>
      </c>
      <c r="M549" t="s">
        <v>1618</v>
      </c>
      <c r="N549" t="s">
        <v>1619</v>
      </c>
      <c r="Q549" t="s">
        <v>3599</v>
      </c>
      <c r="R549" t="s">
        <v>3599</v>
      </c>
      <c r="S549" t="s">
        <v>3599</v>
      </c>
      <c r="T549">
        <v>1</v>
      </c>
      <c r="U549" t="s">
        <v>868</v>
      </c>
      <c r="V549">
        <v>5</v>
      </c>
      <c r="W549">
        <v>0</v>
      </c>
      <c r="X549">
        <v>0</v>
      </c>
    </row>
    <row r="550" spans="1:24" x14ac:dyDescent="0.3">
      <c r="A550" t="s">
        <v>1620</v>
      </c>
      <c r="B550" t="s">
        <v>1621</v>
      </c>
      <c r="C550">
        <v>1</v>
      </c>
      <c r="D550" t="s">
        <v>11</v>
      </c>
      <c r="E550" t="s">
        <v>21</v>
      </c>
      <c r="F550" t="s">
        <v>22</v>
      </c>
      <c r="H550" t="s">
        <v>71</v>
      </c>
      <c r="I550" t="s">
        <v>3617</v>
      </c>
      <c r="J550" t="s">
        <v>1620</v>
      </c>
      <c r="K550" t="s">
        <v>868</v>
      </c>
      <c r="L550" t="s">
        <v>3618</v>
      </c>
      <c r="M550" t="s">
        <v>1620</v>
      </c>
      <c r="N550" t="s">
        <v>1621</v>
      </c>
      <c r="Q550" t="s">
        <v>3599</v>
      </c>
      <c r="R550" t="s">
        <v>3599</v>
      </c>
      <c r="S550" t="s">
        <v>3599</v>
      </c>
      <c r="T550">
        <v>1</v>
      </c>
      <c r="U550" t="s">
        <v>868</v>
      </c>
      <c r="V550">
        <v>5</v>
      </c>
      <c r="W550">
        <v>0</v>
      </c>
      <c r="X550">
        <v>0</v>
      </c>
    </row>
    <row r="551" spans="1:24" x14ac:dyDescent="0.3">
      <c r="A551" t="s">
        <v>1622</v>
      </c>
      <c r="B551" t="s">
        <v>1623</v>
      </c>
      <c r="C551">
        <v>1</v>
      </c>
      <c r="D551" t="s">
        <v>11</v>
      </c>
      <c r="E551" t="s">
        <v>21</v>
      </c>
      <c r="F551" t="s">
        <v>22</v>
      </c>
      <c r="H551" t="s">
        <v>71</v>
      </c>
      <c r="I551" t="s">
        <v>3617</v>
      </c>
      <c r="J551" t="s">
        <v>1622</v>
      </c>
      <c r="K551" t="s">
        <v>868</v>
      </c>
      <c r="L551" t="s">
        <v>3618</v>
      </c>
      <c r="M551" t="s">
        <v>1622</v>
      </c>
      <c r="N551" t="s">
        <v>1623</v>
      </c>
      <c r="Q551" t="s">
        <v>3599</v>
      </c>
      <c r="R551" t="s">
        <v>3599</v>
      </c>
      <c r="S551" t="s">
        <v>3599</v>
      </c>
      <c r="T551">
        <v>1</v>
      </c>
      <c r="U551" t="s">
        <v>868</v>
      </c>
      <c r="V551">
        <v>5</v>
      </c>
      <c r="W551">
        <v>0</v>
      </c>
      <c r="X551">
        <v>0</v>
      </c>
    </row>
    <row r="552" spans="1:24" x14ac:dyDescent="0.3">
      <c r="A552" t="s">
        <v>1624</v>
      </c>
      <c r="B552" t="s">
        <v>1625</v>
      </c>
      <c r="C552">
        <v>1</v>
      </c>
      <c r="D552" t="s">
        <v>11</v>
      </c>
      <c r="E552" t="s">
        <v>21</v>
      </c>
      <c r="F552" t="s">
        <v>22</v>
      </c>
      <c r="H552" t="s">
        <v>71</v>
      </c>
      <c r="I552" t="s">
        <v>3617</v>
      </c>
      <c r="J552" t="s">
        <v>1624</v>
      </c>
      <c r="K552" t="s">
        <v>868</v>
      </c>
      <c r="L552" t="s">
        <v>3618</v>
      </c>
      <c r="M552" t="s">
        <v>1624</v>
      </c>
      <c r="N552" t="s">
        <v>1625</v>
      </c>
      <c r="Q552" t="s">
        <v>3599</v>
      </c>
      <c r="R552" t="s">
        <v>3599</v>
      </c>
      <c r="S552" t="s">
        <v>3599</v>
      </c>
      <c r="T552">
        <v>1</v>
      </c>
      <c r="U552" t="s">
        <v>868</v>
      </c>
      <c r="V552">
        <v>5</v>
      </c>
      <c r="W552">
        <v>0</v>
      </c>
      <c r="X552">
        <v>0</v>
      </c>
    </row>
    <row r="553" spans="1:24" x14ac:dyDescent="0.3">
      <c r="A553" t="s">
        <v>1626</v>
      </c>
      <c r="B553" t="s">
        <v>1627</v>
      </c>
      <c r="C553">
        <v>1</v>
      </c>
      <c r="D553" t="s">
        <v>11</v>
      </c>
      <c r="E553" t="s">
        <v>21</v>
      </c>
      <c r="F553" t="s">
        <v>22</v>
      </c>
      <c r="H553" t="s">
        <v>71</v>
      </c>
      <c r="I553" t="s">
        <v>3617</v>
      </c>
      <c r="J553" t="s">
        <v>1626</v>
      </c>
      <c r="K553" t="s">
        <v>868</v>
      </c>
      <c r="L553" t="s">
        <v>3618</v>
      </c>
      <c r="M553" t="s">
        <v>1626</v>
      </c>
      <c r="N553" t="s">
        <v>1627</v>
      </c>
      <c r="Q553" t="s">
        <v>3599</v>
      </c>
      <c r="R553" t="s">
        <v>3599</v>
      </c>
      <c r="S553" t="s">
        <v>3599</v>
      </c>
      <c r="T553">
        <v>1</v>
      </c>
      <c r="U553" t="s">
        <v>868</v>
      </c>
      <c r="V553">
        <v>5</v>
      </c>
      <c r="W553">
        <v>0</v>
      </c>
      <c r="X553">
        <v>0</v>
      </c>
    </row>
    <row r="554" spans="1:24" x14ac:dyDescent="0.3">
      <c r="A554" t="s">
        <v>1628</v>
      </c>
      <c r="B554" t="s">
        <v>1629</v>
      </c>
      <c r="C554">
        <v>1</v>
      </c>
      <c r="D554" t="s">
        <v>11</v>
      </c>
      <c r="E554" t="s">
        <v>21</v>
      </c>
      <c r="F554" t="s">
        <v>22</v>
      </c>
      <c r="H554" t="s">
        <v>71</v>
      </c>
      <c r="I554" t="s">
        <v>3617</v>
      </c>
      <c r="K554" t="s">
        <v>868</v>
      </c>
      <c r="L554" t="s">
        <v>3618</v>
      </c>
      <c r="N554" t="s">
        <v>1629</v>
      </c>
      <c r="Q554" t="s">
        <v>3599</v>
      </c>
      <c r="R554" t="s">
        <v>3599</v>
      </c>
      <c r="S554" t="s">
        <v>3599</v>
      </c>
      <c r="T554">
        <v>1</v>
      </c>
      <c r="U554" t="s">
        <v>868</v>
      </c>
      <c r="V554">
        <v>5</v>
      </c>
      <c r="W554">
        <v>0</v>
      </c>
      <c r="X554">
        <v>0</v>
      </c>
    </row>
    <row r="555" spans="1:24" x14ac:dyDescent="0.3">
      <c r="A555" t="s">
        <v>1630</v>
      </c>
      <c r="B555" t="s">
        <v>1631</v>
      </c>
      <c r="C555">
        <v>1</v>
      </c>
      <c r="D555" t="s">
        <v>11</v>
      </c>
      <c r="E555" t="s">
        <v>21</v>
      </c>
      <c r="F555" t="s">
        <v>22</v>
      </c>
      <c r="H555" t="s">
        <v>71</v>
      </c>
      <c r="I555" t="s">
        <v>3617</v>
      </c>
      <c r="J555" t="s">
        <v>1630</v>
      </c>
      <c r="K555" t="s">
        <v>868</v>
      </c>
      <c r="L555" t="s">
        <v>3618</v>
      </c>
      <c r="M555" t="s">
        <v>1630</v>
      </c>
      <c r="N555" t="s">
        <v>1631</v>
      </c>
      <c r="Q555" t="s">
        <v>3599</v>
      </c>
      <c r="R555" t="s">
        <v>3599</v>
      </c>
      <c r="S555" t="s">
        <v>3599</v>
      </c>
      <c r="T555">
        <v>1</v>
      </c>
      <c r="U555" t="s">
        <v>868</v>
      </c>
      <c r="V555">
        <v>5</v>
      </c>
      <c r="W555">
        <v>0</v>
      </c>
      <c r="X555">
        <v>0</v>
      </c>
    </row>
    <row r="556" spans="1:24" x14ac:dyDescent="0.3">
      <c r="A556" t="s">
        <v>1632</v>
      </c>
      <c r="B556" t="s">
        <v>1633</v>
      </c>
      <c r="C556">
        <v>1</v>
      </c>
      <c r="D556" t="s">
        <v>11</v>
      </c>
      <c r="E556" t="s">
        <v>21</v>
      </c>
      <c r="F556" t="s">
        <v>22</v>
      </c>
      <c r="H556" t="s">
        <v>71</v>
      </c>
      <c r="I556" t="s">
        <v>3617</v>
      </c>
      <c r="J556" t="s">
        <v>1632</v>
      </c>
      <c r="K556" t="s">
        <v>868</v>
      </c>
      <c r="L556" t="s">
        <v>3618</v>
      </c>
      <c r="M556" t="s">
        <v>1632</v>
      </c>
      <c r="N556" t="s">
        <v>1633</v>
      </c>
      <c r="Q556" t="s">
        <v>3599</v>
      </c>
      <c r="R556" t="s">
        <v>3599</v>
      </c>
      <c r="S556" t="s">
        <v>3599</v>
      </c>
      <c r="T556">
        <v>1</v>
      </c>
      <c r="U556" t="s">
        <v>868</v>
      </c>
      <c r="V556">
        <v>5</v>
      </c>
      <c r="W556">
        <v>0</v>
      </c>
      <c r="X556">
        <v>0</v>
      </c>
    </row>
    <row r="557" spans="1:24" x14ac:dyDescent="0.3">
      <c r="A557" t="s">
        <v>1634</v>
      </c>
      <c r="B557" t="s">
        <v>1635</v>
      </c>
      <c r="C557">
        <v>1</v>
      </c>
      <c r="D557" t="s">
        <v>11</v>
      </c>
      <c r="E557" t="s">
        <v>21</v>
      </c>
      <c r="F557" t="s">
        <v>22</v>
      </c>
      <c r="H557" t="s">
        <v>71</v>
      </c>
      <c r="I557" t="s">
        <v>3617</v>
      </c>
      <c r="J557" t="s">
        <v>1634</v>
      </c>
      <c r="K557" t="s">
        <v>868</v>
      </c>
      <c r="L557" t="s">
        <v>3618</v>
      </c>
      <c r="M557" t="s">
        <v>1634</v>
      </c>
      <c r="N557" t="s">
        <v>1635</v>
      </c>
      <c r="Q557" t="s">
        <v>3599</v>
      </c>
      <c r="R557" t="s">
        <v>3599</v>
      </c>
      <c r="S557" t="s">
        <v>3599</v>
      </c>
      <c r="T557">
        <v>1</v>
      </c>
      <c r="U557" t="s">
        <v>868</v>
      </c>
      <c r="V557">
        <v>5</v>
      </c>
      <c r="W557">
        <v>0</v>
      </c>
      <c r="X557">
        <v>0</v>
      </c>
    </row>
    <row r="558" spans="1:24" x14ac:dyDescent="0.3">
      <c r="A558" t="s">
        <v>1636</v>
      </c>
      <c r="B558" t="s">
        <v>1637</v>
      </c>
      <c r="C558">
        <v>1</v>
      </c>
      <c r="D558" t="s">
        <v>11</v>
      </c>
      <c r="E558" t="s">
        <v>21</v>
      </c>
      <c r="F558" t="s">
        <v>22</v>
      </c>
      <c r="H558" t="s">
        <v>71</v>
      </c>
      <c r="I558" t="s">
        <v>3617</v>
      </c>
      <c r="J558" t="s">
        <v>1636</v>
      </c>
      <c r="K558" t="s">
        <v>868</v>
      </c>
      <c r="L558" t="s">
        <v>3618</v>
      </c>
      <c r="M558" t="s">
        <v>1636</v>
      </c>
      <c r="N558" t="s">
        <v>1637</v>
      </c>
      <c r="Q558" t="s">
        <v>3599</v>
      </c>
      <c r="R558" t="s">
        <v>3599</v>
      </c>
      <c r="S558" t="s">
        <v>3599</v>
      </c>
      <c r="T558">
        <v>1</v>
      </c>
      <c r="U558" t="s">
        <v>868</v>
      </c>
      <c r="V558">
        <v>5</v>
      </c>
      <c r="W558">
        <v>0</v>
      </c>
      <c r="X558">
        <v>0</v>
      </c>
    </row>
    <row r="559" spans="1:24" x14ac:dyDescent="0.3">
      <c r="A559" t="s">
        <v>1638</v>
      </c>
      <c r="B559" t="s">
        <v>1639</v>
      </c>
      <c r="C559">
        <v>1</v>
      </c>
      <c r="D559" t="s">
        <v>11</v>
      </c>
      <c r="E559" t="s">
        <v>21</v>
      </c>
      <c r="F559" t="s">
        <v>22</v>
      </c>
      <c r="H559" t="s">
        <v>71</v>
      </c>
      <c r="I559" t="s">
        <v>3617</v>
      </c>
      <c r="J559" t="s">
        <v>1638</v>
      </c>
      <c r="K559" t="s">
        <v>868</v>
      </c>
      <c r="L559" t="s">
        <v>3618</v>
      </c>
      <c r="M559" t="s">
        <v>1638</v>
      </c>
      <c r="N559" t="s">
        <v>1639</v>
      </c>
      <c r="Q559" t="s">
        <v>3599</v>
      </c>
      <c r="R559" t="s">
        <v>3599</v>
      </c>
      <c r="S559" t="s">
        <v>3599</v>
      </c>
      <c r="T559">
        <v>1</v>
      </c>
      <c r="U559" t="s">
        <v>868</v>
      </c>
      <c r="V559">
        <v>5</v>
      </c>
      <c r="W559">
        <v>0</v>
      </c>
      <c r="X559">
        <v>0</v>
      </c>
    </row>
    <row r="560" spans="1:24" x14ac:dyDescent="0.3">
      <c r="A560" t="s">
        <v>1640</v>
      </c>
      <c r="B560" t="s">
        <v>1641</v>
      </c>
      <c r="C560">
        <v>1</v>
      </c>
      <c r="D560" t="s">
        <v>11</v>
      </c>
      <c r="E560" t="s">
        <v>21</v>
      </c>
      <c r="F560" t="s">
        <v>22</v>
      </c>
      <c r="H560" t="s">
        <v>71</v>
      </c>
      <c r="I560" t="s">
        <v>3617</v>
      </c>
      <c r="J560" t="s">
        <v>1640</v>
      </c>
      <c r="K560" t="s">
        <v>868</v>
      </c>
      <c r="L560" t="s">
        <v>3618</v>
      </c>
      <c r="M560" t="s">
        <v>1640</v>
      </c>
      <c r="N560" t="s">
        <v>1641</v>
      </c>
      <c r="Q560" t="s">
        <v>3599</v>
      </c>
      <c r="R560" t="s">
        <v>3599</v>
      </c>
      <c r="S560" t="s">
        <v>3599</v>
      </c>
      <c r="T560">
        <v>1</v>
      </c>
      <c r="U560" t="s">
        <v>868</v>
      </c>
      <c r="V560">
        <v>5</v>
      </c>
      <c r="W560">
        <v>0</v>
      </c>
      <c r="X560">
        <v>0</v>
      </c>
    </row>
    <row r="561" spans="1:24" x14ac:dyDescent="0.3">
      <c r="A561" t="s">
        <v>1642</v>
      </c>
      <c r="B561" t="s">
        <v>1643</v>
      </c>
      <c r="C561">
        <v>1</v>
      </c>
      <c r="D561" t="s">
        <v>11</v>
      </c>
      <c r="E561" t="s">
        <v>21</v>
      </c>
      <c r="F561" t="s">
        <v>22</v>
      </c>
      <c r="H561" t="s">
        <v>71</v>
      </c>
      <c r="I561" t="s">
        <v>3617</v>
      </c>
      <c r="J561" t="s">
        <v>1642</v>
      </c>
      <c r="K561" t="s">
        <v>868</v>
      </c>
      <c r="L561" t="s">
        <v>3618</v>
      </c>
      <c r="M561" t="s">
        <v>1642</v>
      </c>
      <c r="N561" t="s">
        <v>1643</v>
      </c>
      <c r="Q561" t="s">
        <v>3599</v>
      </c>
      <c r="R561" t="s">
        <v>3599</v>
      </c>
      <c r="S561" t="s">
        <v>3599</v>
      </c>
      <c r="T561">
        <v>1</v>
      </c>
      <c r="U561" t="s">
        <v>868</v>
      </c>
      <c r="V561">
        <v>5</v>
      </c>
      <c r="W561">
        <v>0</v>
      </c>
      <c r="X561">
        <v>0</v>
      </c>
    </row>
    <row r="562" spans="1:24" x14ac:dyDescent="0.3">
      <c r="A562" t="s">
        <v>1644</v>
      </c>
      <c r="B562" t="s">
        <v>1645</v>
      </c>
      <c r="C562">
        <v>1</v>
      </c>
      <c r="D562" t="s">
        <v>11</v>
      </c>
      <c r="E562" t="s">
        <v>21</v>
      </c>
      <c r="F562" t="s">
        <v>22</v>
      </c>
      <c r="H562" t="s">
        <v>71</v>
      </c>
      <c r="I562" t="s">
        <v>3617</v>
      </c>
      <c r="J562" t="s">
        <v>1644</v>
      </c>
      <c r="K562" t="s">
        <v>868</v>
      </c>
      <c r="L562" t="s">
        <v>3618</v>
      </c>
      <c r="M562" t="s">
        <v>1644</v>
      </c>
      <c r="N562" t="s">
        <v>1645</v>
      </c>
      <c r="Q562" t="s">
        <v>3599</v>
      </c>
      <c r="R562" t="s">
        <v>3599</v>
      </c>
      <c r="S562" t="s">
        <v>3599</v>
      </c>
      <c r="T562">
        <v>1</v>
      </c>
      <c r="U562" t="s">
        <v>868</v>
      </c>
      <c r="V562">
        <v>5</v>
      </c>
      <c r="W562">
        <v>0</v>
      </c>
      <c r="X562">
        <v>0</v>
      </c>
    </row>
    <row r="563" spans="1:24" x14ac:dyDescent="0.3">
      <c r="A563" t="s">
        <v>1646</v>
      </c>
      <c r="B563" t="s">
        <v>1647</v>
      </c>
      <c r="C563">
        <v>1</v>
      </c>
      <c r="D563" t="s">
        <v>11</v>
      </c>
      <c r="E563" t="s">
        <v>21</v>
      </c>
      <c r="F563" t="s">
        <v>22</v>
      </c>
      <c r="H563" t="s">
        <v>71</v>
      </c>
      <c r="I563" t="s">
        <v>3617</v>
      </c>
      <c r="J563" t="s">
        <v>1646</v>
      </c>
      <c r="K563" t="s">
        <v>868</v>
      </c>
      <c r="L563" t="s">
        <v>3618</v>
      </c>
      <c r="M563" t="s">
        <v>1646</v>
      </c>
      <c r="N563" t="s">
        <v>1647</v>
      </c>
      <c r="O563" t="s">
        <v>1648</v>
      </c>
      <c r="Q563" t="s">
        <v>3599</v>
      </c>
      <c r="R563" t="s">
        <v>3599</v>
      </c>
      <c r="S563" t="s">
        <v>3599</v>
      </c>
      <c r="T563">
        <v>1</v>
      </c>
      <c r="U563" t="s">
        <v>868</v>
      </c>
      <c r="V563">
        <v>5</v>
      </c>
      <c r="W563">
        <v>0</v>
      </c>
      <c r="X563">
        <v>0</v>
      </c>
    </row>
    <row r="564" spans="1:24" x14ac:dyDescent="0.3">
      <c r="A564" t="s">
        <v>1649</v>
      </c>
      <c r="B564" t="s">
        <v>1650</v>
      </c>
      <c r="C564">
        <v>1</v>
      </c>
      <c r="D564" t="s">
        <v>11</v>
      </c>
      <c r="E564" t="s">
        <v>21</v>
      </c>
      <c r="F564" t="s">
        <v>22</v>
      </c>
      <c r="H564" t="s">
        <v>71</v>
      </c>
      <c r="I564" t="s">
        <v>3617</v>
      </c>
      <c r="J564" t="s">
        <v>1649</v>
      </c>
      <c r="K564" t="s">
        <v>868</v>
      </c>
      <c r="L564" t="s">
        <v>3618</v>
      </c>
      <c r="M564" t="s">
        <v>1649</v>
      </c>
      <c r="N564" t="s">
        <v>1650</v>
      </c>
      <c r="Q564" t="s">
        <v>3599</v>
      </c>
      <c r="R564" t="s">
        <v>3599</v>
      </c>
      <c r="S564" t="s">
        <v>3599</v>
      </c>
      <c r="T564">
        <v>1</v>
      </c>
      <c r="U564" t="s">
        <v>868</v>
      </c>
      <c r="V564">
        <v>5</v>
      </c>
      <c r="W564">
        <v>0</v>
      </c>
      <c r="X564">
        <v>0</v>
      </c>
    </row>
    <row r="565" spans="1:24" x14ac:dyDescent="0.3">
      <c r="A565" t="s">
        <v>1651</v>
      </c>
      <c r="B565" t="s">
        <v>1652</v>
      </c>
      <c r="C565">
        <v>1</v>
      </c>
      <c r="D565" t="s">
        <v>11</v>
      </c>
      <c r="E565" t="s">
        <v>21</v>
      </c>
      <c r="F565" t="s">
        <v>22</v>
      </c>
      <c r="H565" t="s">
        <v>71</v>
      </c>
      <c r="I565" t="s">
        <v>3617</v>
      </c>
      <c r="J565" t="s">
        <v>1651</v>
      </c>
      <c r="K565" t="s">
        <v>868</v>
      </c>
      <c r="L565" t="s">
        <v>3618</v>
      </c>
      <c r="M565" t="s">
        <v>1651</v>
      </c>
      <c r="N565" t="s">
        <v>1652</v>
      </c>
      <c r="O565" t="s">
        <v>749</v>
      </c>
      <c r="P565" t="s">
        <v>1653</v>
      </c>
      <c r="Q565" t="s">
        <v>3599</v>
      </c>
      <c r="R565" t="s">
        <v>3599</v>
      </c>
      <c r="S565" t="s">
        <v>3599</v>
      </c>
      <c r="T565">
        <v>1</v>
      </c>
      <c r="U565" t="s">
        <v>868</v>
      </c>
      <c r="V565">
        <v>5</v>
      </c>
      <c r="W565">
        <v>0</v>
      </c>
      <c r="X565">
        <v>0</v>
      </c>
    </row>
    <row r="566" spans="1:24" x14ac:dyDescent="0.3">
      <c r="A566" t="s">
        <v>1654</v>
      </c>
      <c r="B566" t="s">
        <v>1655</v>
      </c>
      <c r="C566">
        <v>1</v>
      </c>
      <c r="D566" t="s">
        <v>11</v>
      </c>
      <c r="E566" t="s">
        <v>21</v>
      </c>
      <c r="F566" t="s">
        <v>22</v>
      </c>
      <c r="H566" t="s">
        <v>71</v>
      </c>
      <c r="I566" t="s">
        <v>3617</v>
      </c>
      <c r="J566" t="s">
        <v>1654</v>
      </c>
      <c r="K566" t="s">
        <v>868</v>
      </c>
      <c r="L566" t="s">
        <v>3618</v>
      </c>
      <c r="M566" t="s">
        <v>1654</v>
      </c>
      <c r="N566" t="s">
        <v>1655</v>
      </c>
      <c r="Q566" t="s">
        <v>3599</v>
      </c>
      <c r="R566" t="s">
        <v>3599</v>
      </c>
      <c r="S566" t="s">
        <v>3599</v>
      </c>
      <c r="T566">
        <v>1</v>
      </c>
      <c r="U566" t="s">
        <v>868</v>
      </c>
      <c r="V566">
        <v>5</v>
      </c>
      <c r="W566">
        <v>0</v>
      </c>
      <c r="X566">
        <v>0</v>
      </c>
    </row>
    <row r="567" spans="1:24" x14ac:dyDescent="0.3">
      <c r="A567" t="s">
        <v>1656</v>
      </c>
      <c r="B567" t="s">
        <v>1657</v>
      </c>
      <c r="C567">
        <v>1</v>
      </c>
      <c r="D567" t="s">
        <v>11</v>
      </c>
      <c r="E567" t="s">
        <v>21</v>
      </c>
      <c r="F567" t="s">
        <v>22</v>
      </c>
      <c r="H567" t="s">
        <v>71</v>
      </c>
      <c r="I567" t="s">
        <v>3617</v>
      </c>
      <c r="J567" t="s">
        <v>1656</v>
      </c>
      <c r="K567" t="s">
        <v>868</v>
      </c>
      <c r="L567" t="s">
        <v>3618</v>
      </c>
      <c r="M567" t="s">
        <v>1656</v>
      </c>
      <c r="N567" t="s">
        <v>1657</v>
      </c>
      <c r="Q567" t="s">
        <v>3599</v>
      </c>
      <c r="R567" t="s">
        <v>3599</v>
      </c>
      <c r="S567" t="s">
        <v>3599</v>
      </c>
      <c r="T567">
        <v>1</v>
      </c>
      <c r="U567" t="s">
        <v>868</v>
      </c>
      <c r="V567">
        <v>5</v>
      </c>
      <c r="W567">
        <v>0</v>
      </c>
      <c r="X567">
        <v>0</v>
      </c>
    </row>
    <row r="568" spans="1:24" x14ac:dyDescent="0.3">
      <c r="A568" t="s">
        <v>1658</v>
      </c>
      <c r="B568" t="s">
        <v>1659</v>
      </c>
      <c r="C568">
        <v>1</v>
      </c>
      <c r="D568" t="s">
        <v>11</v>
      </c>
      <c r="E568" t="s">
        <v>21</v>
      </c>
      <c r="F568" t="s">
        <v>22</v>
      </c>
      <c r="H568" t="s">
        <v>71</v>
      </c>
      <c r="I568" t="s">
        <v>3617</v>
      </c>
      <c r="J568" t="s">
        <v>1658</v>
      </c>
      <c r="K568" t="s">
        <v>868</v>
      </c>
      <c r="L568" t="s">
        <v>3618</v>
      </c>
      <c r="M568" t="s">
        <v>1658</v>
      </c>
      <c r="N568" t="s">
        <v>1659</v>
      </c>
      <c r="Q568" t="s">
        <v>3599</v>
      </c>
      <c r="R568" t="s">
        <v>3599</v>
      </c>
      <c r="S568" t="s">
        <v>3599</v>
      </c>
      <c r="T568">
        <v>1</v>
      </c>
      <c r="U568" t="s">
        <v>868</v>
      </c>
      <c r="V568">
        <v>5</v>
      </c>
      <c r="W568">
        <v>0</v>
      </c>
      <c r="X568">
        <v>0</v>
      </c>
    </row>
    <row r="569" spans="1:24" x14ac:dyDescent="0.3">
      <c r="A569" t="s">
        <v>1660</v>
      </c>
      <c r="B569" t="s">
        <v>1661</v>
      </c>
      <c r="C569">
        <v>1</v>
      </c>
      <c r="D569" t="s">
        <v>11</v>
      </c>
      <c r="E569" t="s">
        <v>21</v>
      </c>
      <c r="F569" t="s">
        <v>22</v>
      </c>
      <c r="H569" t="s">
        <v>71</v>
      </c>
      <c r="I569" t="s">
        <v>3617</v>
      </c>
      <c r="J569" t="s">
        <v>1660</v>
      </c>
      <c r="K569" t="s">
        <v>868</v>
      </c>
      <c r="L569" t="s">
        <v>3618</v>
      </c>
      <c r="M569" t="s">
        <v>1660</v>
      </c>
      <c r="N569" t="s">
        <v>1661</v>
      </c>
      <c r="Q569" t="s">
        <v>3599</v>
      </c>
      <c r="R569" t="s">
        <v>3599</v>
      </c>
      <c r="S569" t="s">
        <v>3599</v>
      </c>
      <c r="T569">
        <v>1</v>
      </c>
      <c r="U569" t="s">
        <v>868</v>
      </c>
      <c r="V569">
        <v>5</v>
      </c>
      <c r="W569">
        <v>0</v>
      </c>
      <c r="X569">
        <v>0</v>
      </c>
    </row>
    <row r="570" spans="1:24" x14ac:dyDescent="0.3">
      <c r="A570" t="s">
        <v>1662</v>
      </c>
      <c r="B570" t="s">
        <v>1663</v>
      </c>
      <c r="C570">
        <v>1</v>
      </c>
      <c r="D570" t="s">
        <v>11</v>
      </c>
      <c r="E570" t="s">
        <v>21</v>
      </c>
      <c r="F570" t="s">
        <v>22</v>
      </c>
      <c r="H570" t="s">
        <v>71</v>
      </c>
      <c r="I570" t="s">
        <v>3617</v>
      </c>
      <c r="J570" t="s">
        <v>1662</v>
      </c>
      <c r="K570" t="s">
        <v>868</v>
      </c>
      <c r="L570" t="s">
        <v>3618</v>
      </c>
      <c r="M570" t="s">
        <v>1662</v>
      </c>
      <c r="N570" t="s">
        <v>1663</v>
      </c>
      <c r="Q570" t="s">
        <v>3599</v>
      </c>
      <c r="R570" t="s">
        <v>3599</v>
      </c>
      <c r="S570" t="s">
        <v>3599</v>
      </c>
      <c r="T570">
        <v>1</v>
      </c>
      <c r="U570" t="s">
        <v>868</v>
      </c>
      <c r="V570">
        <v>5</v>
      </c>
      <c r="W570">
        <v>0</v>
      </c>
      <c r="X570">
        <v>0</v>
      </c>
    </row>
    <row r="571" spans="1:24" x14ac:dyDescent="0.3">
      <c r="A571" t="s">
        <v>1664</v>
      </c>
      <c r="B571" t="s">
        <v>1665</v>
      </c>
      <c r="C571">
        <v>1</v>
      </c>
      <c r="D571" t="s">
        <v>11</v>
      </c>
      <c r="E571" t="s">
        <v>21</v>
      </c>
      <c r="F571" t="s">
        <v>22</v>
      </c>
      <c r="H571" t="s">
        <v>71</v>
      </c>
      <c r="I571" t="s">
        <v>3617</v>
      </c>
      <c r="J571" t="s">
        <v>1664</v>
      </c>
      <c r="K571" t="s">
        <v>868</v>
      </c>
      <c r="L571" t="s">
        <v>3618</v>
      </c>
      <c r="M571" t="s">
        <v>1664</v>
      </c>
      <c r="N571" t="s">
        <v>1665</v>
      </c>
      <c r="Q571" t="s">
        <v>3599</v>
      </c>
      <c r="R571" t="s">
        <v>3599</v>
      </c>
      <c r="S571" t="s">
        <v>3599</v>
      </c>
      <c r="T571">
        <v>1</v>
      </c>
      <c r="U571" t="s">
        <v>868</v>
      </c>
      <c r="V571">
        <v>5</v>
      </c>
      <c r="W571">
        <v>0</v>
      </c>
      <c r="X571">
        <v>0</v>
      </c>
    </row>
    <row r="572" spans="1:24" x14ac:dyDescent="0.3">
      <c r="A572" t="s">
        <v>1666</v>
      </c>
      <c r="B572" t="s">
        <v>1667</v>
      </c>
      <c r="C572">
        <v>1</v>
      </c>
      <c r="D572" t="s">
        <v>11</v>
      </c>
      <c r="E572" t="s">
        <v>21</v>
      </c>
      <c r="F572" t="s">
        <v>22</v>
      </c>
      <c r="H572" t="s">
        <v>71</v>
      </c>
      <c r="I572" t="s">
        <v>3617</v>
      </c>
      <c r="J572" t="s">
        <v>1666</v>
      </c>
      <c r="K572" t="s">
        <v>868</v>
      </c>
      <c r="L572" t="s">
        <v>3618</v>
      </c>
      <c r="M572" t="s">
        <v>1666</v>
      </c>
      <c r="N572" t="s">
        <v>1667</v>
      </c>
      <c r="Q572" t="s">
        <v>3599</v>
      </c>
      <c r="R572" t="s">
        <v>3599</v>
      </c>
      <c r="S572" t="s">
        <v>3599</v>
      </c>
      <c r="T572">
        <v>1</v>
      </c>
      <c r="U572" t="s">
        <v>868</v>
      </c>
      <c r="V572">
        <v>5</v>
      </c>
      <c r="W572">
        <v>0</v>
      </c>
      <c r="X572">
        <v>0</v>
      </c>
    </row>
    <row r="573" spans="1:24" x14ac:dyDescent="0.3">
      <c r="A573" t="s">
        <v>1668</v>
      </c>
      <c r="B573" t="s">
        <v>1669</v>
      </c>
      <c r="C573">
        <v>1</v>
      </c>
      <c r="D573" t="s">
        <v>11</v>
      </c>
      <c r="E573" t="s">
        <v>21</v>
      </c>
      <c r="F573" t="s">
        <v>22</v>
      </c>
      <c r="H573" t="s">
        <v>71</v>
      </c>
      <c r="I573" t="s">
        <v>3617</v>
      </c>
      <c r="J573" t="s">
        <v>1668</v>
      </c>
      <c r="K573" t="s">
        <v>868</v>
      </c>
      <c r="L573" t="s">
        <v>3618</v>
      </c>
      <c r="M573" t="s">
        <v>1668</v>
      </c>
      <c r="N573" t="s">
        <v>1669</v>
      </c>
      <c r="O573" t="s">
        <v>1670</v>
      </c>
      <c r="Q573" t="s">
        <v>3599</v>
      </c>
      <c r="R573" t="s">
        <v>3599</v>
      </c>
      <c r="S573" t="s">
        <v>3599</v>
      </c>
      <c r="T573">
        <v>1</v>
      </c>
      <c r="U573" t="s">
        <v>868</v>
      </c>
      <c r="V573">
        <v>5</v>
      </c>
      <c r="W573">
        <v>0</v>
      </c>
      <c r="X573">
        <v>0</v>
      </c>
    </row>
    <row r="574" spans="1:24" x14ac:dyDescent="0.3">
      <c r="A574" t="s">
        <v>1671</v>
      </c>
      <c r="B574" t="s">
        <v>1672</v>
      </c>
      <c r="C574">
        <v>1</v>
      </c>
      <c r="D574" t="s">
        <v>11</v>
      </c>
      <c r="E574" t="s">
        <v>21</v>
      </c>
      <c r="F574" t="s">
        <v>22</v>
      </c>
      <c r="H574" t="s">
        <v>71</v>
      </c>
      <c r="I574" t="s">
        <v>3617</v>
      </c>
      <c r="J574" t="s">
        <v>1671</v>
      </c>
      <c r="K574" t="s">
        <v>868</v>
      </c>
      <c r="L574" t="s">
        <v>3618</v>
      </c>
      <c r="M574" t="s">
        <v>1671</v>
      </c>
      <c r="N574" t="s">
        <v>1672</v>
      </c>
      <c r="Q574" t="s">
        <v>3599</v>
      </c>
      <c r="R574" t="s">
        <v>3599</v>
      </c>
      <c r="S574" t="s">
        <v>3599</v>
      </c>
      <c r="T574">
        <v>1</v>
      </c>
      <c r="U574" t="s">
        <v>868</v>
      </c>
      <c r="V574">
        <v>5</v>
      </c>
      <c r="W574">
        <v>0</v>
      </c>
      <c r="X574">
        <v>0</v>
      </c>
    </row>
    <row r="575" spans="1:24" x14ac:dyDescent="0.3">
      <c r="A575" t="s">
        <v>1673</v>
      </c>
      <c r="B575" t="s">
        <v>1674</v>
      </c>
      <c r="C575">
        <v>1</v>
      </c>
      <c r="D575" t="s">
        <v>11</v>
      </c>
      <c r="E575" t="s">
        <v>21</v>
      </c>
      <c r="F575" t="s">
        <v>22</v>
      </c>
      <c r="H575" t="s">
        <v>71</v>
      </c>
      <c r="I575" t="s">
        <v>3617</v>
      </c>
      <c r="J575" t="s">
        <v>1673</v>
      </c>
      <c r="K575" t="s">
        <v>868</v>
      </c>
      <c r="L575" t="s">
        <v>3618</v>
      </c>
      <c r="M575" t="s">
        <v>1673</v>
      </c>
      <c r="N575" t="s">
        <v>1674</v>
      </c>
      <c r="Q575" t="s">
        <v>3599</v>
      </c>
      <c r="R575" t="s">
        <v>3599</v>
      </c>
      <c r="S575" t="s">
        <v>3599</v>
      </c>
      <c r="T575">
        <v>1</v>
      </c>
      <c r="U575" t="s">
        <v>868</v>
      </c>
      <c r="V575">
        <v>5</v>
      </c>
      <c r="W575">
        <v>0</v>
      </c>
      <c r="X575">
        <v>0</v>
      </c>
    </row>
    <row r="576" spans="1:24" x14ac:dyDescent="0.3">
      <c r="A576" t="s">
        <v>1675</v>
      </c>
      <c r="B576" t="s">
        <v>1676</v>
      </c>
      <c r="C576">
        <v>1</v>
      </c>
      <c r="D576" t="s">
        <v>11</v>
      </c>
      <c r="E576" t="s">
        <v>21</v>
      </c>
      <c r="F576" t="s">
        <v>22</v>
      </c>
      <c r="H576" t="s">
        <v>71</v>
      </c>
      <c r="I576" t="s">
        <v>3617</v>
      </c>
      <c r="J576" t="s">
        <v>1675</v>
      </c>
      <c r="K576" t="s">
        <v>868</v>
      </c>
      <c r="L576" t="s">
        <v>3618</v>
      </c>
      <c r="M576" t="s">
        <v>1675</v>
      </c>
      <c r="N576" t="s">
        <v>1676</v>
      </c>
      <c r="Q576" t="s">
        <v>3599</v>
      </c>
      <c r="R576" t="s">
        <v>3599</v>
      </c>
      <c r="S576" t="s">
        <v>3599</v>
      </c>
      <c r="T576">
        <v>1</v>
      </c>
      <c r="U576" t="s">
        <v>868</v>
      </c>
      <c r="V576">
        <v>5</v>
      </c>
      <c r="W576">
        <v>0</v>
      </c>
      <c r="X576">
        <v>0</v>
      </c>
    </row>
    <row r="577" spans="1:24" x14ac:dyDescent="0.3">
      <c r="A577" t="s">
        <v>1677</v>
      </c>
      <c r="B577" t="s">
        <v>1678</v>
      </c>
      <c r="C577">
        <v>1</v>
      </c>
      <c r="D577" t="s">
        <v>11</v>
      </c>
      <c r="E577" t="s">
        <v>21</v>
      </c>
      <c r="F577" t="s">
        <v>22</v>
      </c>
      <c r="H577" t="s">
        <v>71</v>
      </c>
      <c r="I577" t="s">
        <v>3617</v>
      </c>
      <c r="J577" t="s">
        <v>1677</v>
      </c>
      <c r="K577" t="s">
        <v>868</v>
      </c>
      <c r="L577" t="s">
        <v>3618</v>
      </c>
      <c r="M577" t="s">
        <v>1677</v>
      </c>
      <c r="N577" t="s">
        <v>1678</v>
      </c>
      <c r="O577" t="s">
        <v>1409</v>
      </c>
      <c r="Q577" t="s">
        <v>3599</v>
      </c>
      <c r="R577" t="s">
        <v>3599</v>
      </c>
      <c r="S577" t="s">
        <v>3599</v>
      </c>
      <c r="T577">
        <v>1</v>
      </c>
      <c r="U577" t="s">
        <v>868</v>
      </c>
      <c r="V577">
        <v>5</v>
      </c>
      <c r="W577">
        <v>0</v>
      </c>
      <c r="X577">
        <v>0</v>
      </c>
    </row>
    <row r="578" spans="1:24" x14ac:dyDescent="0.3">
      <c r="A578" t="s">
        <v>1068</v>
      </c>
      <c r="B578" t="s">
        <v>1069</v>
      </c>
      <c r="C578">
        <v>1</v>
      </c>
      <c r="D578" t="s">
        <v>11</v>
      </c>
      <c r="E578" t="s">
        <v>21</v>
      </c>
      <c r="F578" t="s">
        <v>22</v>
      </c>
      <c r="H578" t="s">
        <v>71</v>
      </c>
      <c r="I578" t="s">
        <v>3617</v>
      </c>
      <c r="J578" t="s">
        <v>1068</v>
      </c>
      <c r="K578" t="s">
        <v>868</v>
      </c>
      <c r="L578" t="s">
        <v>3618</v>
      </c>
      <c r="M578" t="s">
        <v>1068</v>
      </c>
      <c r="N578" t="s">
        <v>1069</v>
      </c>
      <c r="Q578" t="s">
        <v>3599</v>
      </c>
      <c r="R578" t="s">
        <v>3599</v>
      </c>
      <c r="S578" t="s">
        <v>3599</v>
      </c>
      <c r="T578">
        <v>1</v>
      </c>
      <c r="U578" t="s">
        <v>868</v>
      </c>
      <c r="V578">
        <v>5</v>
      </c>
      <c r="W578">
        <v>0</v>
      </c>
      <c r="X578">
        <v>0</v>
      </c>
    </row>
    <row r="579" spans="1:24" x14ac:dyDescent="0.3">
      <c r="A579" t="s">
        <v>1679</v>
      </c>
      <c r="B579" t="s">
        <v>1680</v>
      </c>
      <c r="C579">
        <v>1</v>
      </c>
      <c r="D579" t="s">
        <v>11</v>
      </c>
      <c r="E579" t="s">
        <v>21</v>
      </c>
      <c r="F579" t="s">
        <v>22</v>
      </c>
      <c r="H579" t="s">
        <v>71</v>
      </c>
      <c r="I579" t="s">
        <v>3617</v>
      </c>
      <c r="J579" t="s">
        <v>1679</v>
      </c>
      <c r="K579" t="s">
        <v>868</v>
      </c>
      <c r="L579" t="s">
        <v>3618</v>
      </c>
      <c r="M579" t="s">
        <v>1679</v>
      </c>
      <c r="N579" t="s">
        <v>1680</v>
      </c>
      <c r="Q579" t="s">
        <v>3599</v>
      </c>
      <c r="R579" t="s">
        <v>3599</v>
      </c>
      <c r="S579" t="s">
        <v>3599</v>
      </c>
      <c r="T579">
        <v>1</v>
      </c>
      <c r="U579" t="s">
        <v>868</v>
      </c>
      <c r="V579">
        <v>5</v>
      </c>
      <c r="W579">
        <v>0</v>
      </c>
      <c r="X579">
        <v>0</v>
      </c>
    </row>
    <row r="580" spans="1:24" x14ac:dyDescent="0.3">
      <c r="A580" t="s">
        <v>1681</v>
      </c>
      <c r="B580" t="s">
        <v>1682</v>
      </c>
      <c r="C580">
        <v>1</v>
      </c>
      <c r="D580" t="s">
        <v>11</v>
      </c>
      <c r="E580" t="s">
        <v>21</v>
      </c>
      <c r="F580" t="s">
        <v>22</v>
      </c>
      <c r="H580" t="s">
        <v>71</v>
      </c>
      <c r="I580" t="s">
        <v>3617</v>
      </c>
      <c r="J580" t="s">
        <v>1681</v>
      </c>
      <c r="K580" t="s">
        <v>868</v>
      </c>
      <c r="L580" t="s">
        <v>3618</v>
      </c>
      <c r="M580" t="s">
        <v>1681</v>
      </c>
      <c r="N580" t="s">
        <v>1682</v>
      </c>
      <c r="Q580" t="s">
        <v>3599</v>
      </c>
      <c r="R580" t="s">
        <v>3599</v>
      </c>
      <c r="S580" t="s">
        <v>3599</v>
      </c>
      <c r="T580">
        <v>1</v>
      </c>
      <c r="U580" t="s">
        <v>868</v>
      </c>
      <c r="V580">
        <v>5</v>
      </c>
      <c r="W580">
        <v>0</v>
      </c>
      <c r="X580">
        <v>0</v>
      </c>
    </row>
    <row r="581" spans="1:24" x14ac:dyDescent="0.3">
      <c r="A581" t="s">
        <v>1683</v>
      </c>
      <c r="B581" t="s">
        <v>1684</v>
      </c>
      <c r="C581">
        <v>1</v>
      </c>
      <c r="D581" t="s">
        <v>11</v>
      </c>
      <c r="E581" t="s">
        <v>21</v>
      </c>
      <c r="F581" t="s">
        <v>22</v>
      </c>
      <c r="H581" t="s">
        <v>71</v>
      </c>
      <c r="I581" t="s">
        <v>3617</v>
      </c>
      <c r="J581" t="s">
        <v>1683</v>
      </c>
      <c r="K581" t="s">
        <v>868</v>
      </c>
      <c r="L581" t="s">
        <v>3618</v>
      </c>
      <c r="M581" t="s">
        <v>1683</v>
      </c>
      <c r="N581" t="s">
        <v>1684</v>
      </c>
      <c r="Q581" t="s">
        <v>3599</v>
      </c>
      <c r="R581" t="s">
        <v>3599</v>
      </c>
      <c r="S581" t="s">
        <v>3599</v>
      </c>
      <c r="T581">
        <v>1</v>
      </c>
      <c r="U581" t="s">
        <v>868</v>
      </c>
      <c r="V581">
        <v>5</v>
      </c>
      <c r="W581">
        <v>0</v>
      </c>
      <c r="X581">
        <v>0</v>
      </c>
    </row>
    <row r="582" spans="1:24" x14ac:dyDescent="0.3">
      <c r="A582" t="s">
        <v>1685</v>
      </c>
      <c r="B582" t="s">
        <v>1686</v>
      </c>
      <c r="C582">
        <v>1</v>
      </c>
      <c r="D582" t="s">
        <v>11</v>
      </c>
      <c r="E582" t="s">
        <v>21</v>
      </c>
      <c r="F582" t="s">
        <v>22</v>
      </c>
      <c r="H582" t="s">
        <v>71</v>
      </c>
      <c r="I582" t="s">
        <v>3617</v>
      </c>
      <c r="J582" t="s">
        <v>1685</v>
      </c>
      <c r="K582" t="s">
        <v>868</v>
      </c>
      <c r="L582" t="s">
        <v>3618</v>
      </c>
      <c r="M582" t="s">
        <v>1685</v>
      </c>
      <c r="N582" t="s">
        <v>1686</v>
      </c>
      <c r="O582" t="s">
        <v>1687</v>
      </c>
      <c r="Q582" t="s">
        <v>3599</v>
      </c>
      <c r="R582" t="s">
        <v>3599</v>
      </c>
      <c r="S582" t="s">
        <v>3599</v>
      </c>
      <c r="T582">
        <v>1</v>
      </c>
      <c r="U582" t="s">
        <v>868</v>
      </c>
      <c r="V582">
        <v>5</v>
      </c>
      <c r="W582">
        <v>0</v>
      </c>
      <c r="X582">
        <v>0</v>
      </c>
    </row>
    <row r="583" spans="1:24" x14ac:dyDescent="0.3">
      <c r="A583" t="s">
        <v>1688</v>
      </c>
      <c r="B583" t="s">
        <v>1689</v>
      </c>
      <c r="C583">
        <v>1</v>
      </c>
      <c r="D583" t="s">
        <v>11</v>
      </c>
      <c r="E583" t="s">
        <v>21</v>
      </c>
      <c r="F583" t="s">
        <v>22</v>
      </c>
      <c r="H583" t="s">
        <v>71</v>
      </c>
      <c r="I583" t="s">
        <v>3617</v>
      </c>
      <c r="J583" t="s">
        <v>1688</v>
      </c>
      <c r="K583" t="s">
        <v>868</v>
      </c>
      <c r="L583" t="s">
        <v>3618</v>
      </c>
      <c r="M583" t="s">
        <v>1688</v>
      </c>
      <c r="N583" t="s">
        <v>1689</v>
      </c>
      <c r="Q583" t="s">
        <v>3599</v>
      </c>
      <c r="R583" t="s">
        <v>3599</v>
      </c>
      <c r="S583" t="s">
        <v>3599</v>
      </c>
      <c r="T583">
        <v>1</v>
      </c>
      <c r="U583" t="s">
        <v>868</v>
      </c>
      <c r="V583">
        <v>5</v>
      </c>
      <c r="W583">
        <v>0</v>
      </c>
      <c r="X583">
        <v>0</v>
      </c>
    </row>
    <row r="584" spans="1:24" x14ac:dyDescent="0.3">
      <c r="A584" t="s">
        <v>1690</v>
      </c>
      <c r="B584" t="s">
        <v>1691</v>
      </c>
      <c r="C584">
        <v>1</v>
      </c>
      <c r="D584" t="s">
        <v>11</v>
      </c>
      <c r="E584" t="s">
        <v>21</v>
      </c>
      <c r="F584" t="s">
        <v>22</v>
      </c>
      <c r="H584" t="s">
        <v>71</v>
      </c>
      <c r="I584" t="s">
        <v>3617</v>
      </c>
      <c r="J584" t="s">
        <v>1690</v>
      </c>
      <c r="K584" t="s">
        <v>868</v>
      </c>
      <c r="L584" t="s">
        <v>3618</v>
      </c>
      <c r="M584" t="s">
        <v>1690</v>
      </c>
      <c r="N584" t="s">
        <v>1691</v>
      </c>
      <c r="Q584" t="s">
        <v>3599</v>
      </c>
      <c r="R584" t="s">
        <v>3599</v>
      </c>
      <c r="S584" t="s">
        <v>3599</v>
      </c>
      <c r="T584">
        <v>1</v>
      </c>
      <c r="U584" t="s">
        <v>868</v>
      </c>
      <c r="V584">
        <v>5</v>
      </c>
      <c r="W584">
        <v>0</v>
      </c>
      <c r="X584">
        <v>0</v>
      </c>
    </row>
    <row r="585" spans="1:24" x14ac:dyDescent="0.3">
      <c r="A585" t="s">
        <v>1692</v>
      </c>
      <c r="B585" t="s">
        <v>1693</v>
      </c>
      <c r="C585">
        <v>1</v>
      </c>
      <c r="D585" t="s">
        <v>11</v>
      </c>
      <c r="E585" t="s">
        <v>21</v>
      </c>
      <c r="F585" t="s">
        <v>22</v>
      </c>
      <c r="H585" t="s">
        <v>71</v>
      </c>
      <c r="I585" t="s">
        <v>3617</v>
      </c>
      <c r="J585" t="s">
        <v>1692</v>
      </c>
      <c r="K585" t="s">
        <v>868</v>
      </c>
      <c r="L585" t="s">
        <v>3618</v>
      </c>
      <c r="M585" t="s">
        <v>1692</v>
      </c>
      <c r="N585" t="s">
        <v>1693</v>
      </c>
      <c r="O585" t="s">
        <v>1694</v>
      </c>
      <c r="Q585" t="s">
        <v>3599</v>
      </c>
      <c r="R585" t="s">
        <v>3599</v>
      </c>
      <c r="S585" t="s">
        <v>3599</v>
      </c>
      <c r="T585">
        <v>1</v>
      </c>
      <c r="U585" t="s">
        <v>868</v>
      </c>
      <c r="V585">
        <v>5</v>
      </c>
      <c r="W585">
        <v>0</v>
      </c>
      <c r="X585">
        <v>0</v>
      </c>
    </row>
    <row r="586" spans="1:24" x14ac:dyDescent="0.3">
      <c r="A586" t="s">
        <v>1695</v>
      </c>
      <c r="B586" t="s">
        <v>1696</v>
      </c>
      <c r="C586">
        <v>1</v>
      </c>
      <c r="D586" t="s">
        <v>11</v>
      </c>
      <c r="E586" t="s">
        <v>21</v>
      </c>
      <c r="F586" t="s">
        <v>22</v>
      </c>
      <c r="H586" t="s">
        <v>71</v>
      </c>
      <c r="I586" t="s">
        <v>3617</v>
      </c>
      <c r="J586" t="s">
        <v>1695</v>
      </c>
      <c r="K586" t="s">
        <v>868</v>
      </c>
      <c r="L586" t="s">
        <v>3618</v>
      </c>
      <c r="M586" t="s">
        <v>1695</v>
      </c>
      <c r="N586" t="s">
        <v>1696</v>
      </c>
      <c r="Q586" t="s">
        <v>3599</v>
      </c>
      <c r="R586" t="s">
        <v>3599</v>
      </c>
      <c r="S586" t="s">
        <v>3599</v>
      </c>
      <c r="T586">
        <v>1</v>
      </c>
      <c r="U586" t="s">
        <v>868</v>
      </c>
      <c r="V586">
        <v>5</v>
      </c>
      <c r="W586">
        <v>0</v>
      </c>
      <c r="X586">
        <v>0</v>
      </c>
    </row>
    <row r="587" spans="1:24" x14ac:dyDescent="0.3">
      <c r="A587" t="s">
        <v>1697</v>
      </c>
      <c r="B587" t="s">
        <v>1698</v>
      </c>
      <c r="C587">
        <v>1</v>
      </c>
      <c r="D587" t="s">
        <v>11</v>
      </c>
      <c r="E587" t="s">
        <v>21</v>
      </c>
      <c r="F587" t="s">
        <v>22</v>
      </c>
      <c r="H587" t="s">
        <v>71</v>
      </c>
      <c r="I587" t="s">
        <v>3617</v>
      </c>
      <c r="J587" t="s">
        <v>1697</v>
      </c>
      <c r="K587" t="s">
        <v>868</v>
      </c>
      <c r="L587" t="s">
        <v>3618</v>
      </c>
      <c r="M587" t="s">
        <v>1697</v>
      </c>
      <c r="N587" t="s">
        <v>1698</v>
      </c>
      <c r="Q587" t="s">
        <v>3599</v>
      </c>
      <c r="R587" t="s">
        <v>3599</v>
      </c>
      <c r="S587" t="s">
        <v>3599</v>
      </c>
      <c r="T587">
        <v>1</v>
      </c>
      <c r="U587" t="s">
        <v>868</v>
      </c>
      <c r="V587">
        <v>5</v>
      </c>
      <c r="W587">
        <v>0</v>
      </c>
      <c r="X587">
        <v>0</v>
      </c>
    </row>
    <row r="588" spans="1:24" x14ac:dyDescent="0.3">
      <c r="A588" t="s">
        <v>1699</v>
      </c>
      <c r="B588" t="s">
        <v>1700</v>
      </c>
      <c r="C588">
        <v>1</v>
      </c>
      <c r="D588" t="s">
        <v>11</v>
      </c>
      <c r="E588" t="s">
        <v>21</v>
      </c>
      <c r="F588" t="s">
        <v>22</v>
      </c>
      <c r="H588" t="s">
        <v>71</v>
      </c>
      <c r="I588" t="s">
        <v>3617</v>
      </c>
      <c r="J588" t="s">
        <v>1699</v>
      </c>
      <c r="K588" t="s">
        <v>868</v>
      </c>
      <c r="L588" t="s">
        <v>3618</v>
      </c>
      <c r="M588" t="s">
        <v>1699</v>
      </c>
      <c r="N588" t="s">
        <v>1700</v>
      </c>
      <c r="O588" t="s">
        <v>1701</v>
      </c>
      <c r="Q588" t="s">
        <v>3599</v>
      </c>
      <c r="R588" t="s">
        <v>3599</v>
      </c>
      <c r="S588" t="s">
        <v>3599</v>
      </c>
      <c r="T588">
        <v>1</v>
      </c>
      <c r="U588" t="s">
        <v>868</v>
      </c>
      <c r="V588">
        <v>5</v>
      </c>
      <c r="W588">
        <v>0</v>
      </c>
      <c r="X588">
        <v>0</v>
      </c>
    </row>
    <row r="589" spans="1:24" x14ac:dyDescent="0.3">
      <c r="A589" t="s">
        <v>1702</v>
      </c>
      <c r="B589" t="s">
        <v>1703</v>
      </c>
      <c r="C589">
        <v>1</v>
      </c>
      <c r="D589" t="s">
        <v>11</v>
      </c>
      <c r="E589" t="s">
        <v>21</v>
      </c>
      <c r="F589" t="s">
        <v>22</v>
      </c>
      <c r="H589" t="s">
        <v>71</v>
      </c>
      <c r="I589" t="s">
        <v>3617</v>
      </c>
      <c r="K589" t="s">
        <v>868</v>
      </c>
      <c r="L589" t="s">
        <v>3618</v>
      </c>
      <c r="N589" t="s">
        <v>1703</v>
      </c>
      <c r="Q589" t="s">
        <v>3599</v>
      </c>
      <c r="R589" t="s">
        <v>3599</v>
      </c>
      <c r="S589" t="s">
        <v>3599</v>
      </c>
      <c r="T589">
        <v>1</v>
      </c>
      <c r="U589" t="s">
        <v>868</v>
      </c>
      <c r="V589">
        <v>5</v>
      </c>
      <c r="W589">
        <v>0</v>
      </c>
      <c r="X589">
        <v>0</v>
      </c>
    </row>
    <row r="590" spans="1:24" x14ac:dyDescent="0.3">
      <c r="A590" t="s">
        <v>1704</v>
      </c>
      <c r="B590" t="s">
        <v>1705</v>
      </c>
      <c r="C590">
        <v>1</v>
      </c>
      <c r="D590" t="s">
        <v>11</v>
      </c>
      <c r="E590" t="s">
        <v>21</v>
      </c>
      <c r="F590" t="s">
        <v>22</v>
      </c>
      <c r="H590" t="s">
        <v>71</v>
      </c>
      <c r="I590" t="s">
        <v>3617</v>
      </c>
      <c r="K590" t="s">
        <v>868</v>
      </c>
      <c r="L590" t="s">
        <v>3618</v>
      </c>
      <c r="N590" t="s">
        <v>1705</v>
      </c>
      <c r="Q590" t="s">
        <v>3599</v>
      </c>
      <c r="R590" t="s">
        <v>3599</v>
      </c>
      <c r="S590" t="s">
        <v>3599</v>
      </c>
      <c r="T590">
        <v>1</v>
      </c>
      <c r="U590" t="s">
        <v>868</v>
      </c>
      <c r="V590">
        <v>5</v>
      </c>
      <c r="W590">
        <v>0</v>
      </c>
      <c r="X590">
        <v>0</v>
      </c>
    </row>
    <row r="591" spans="1:24" x14ac:dyDescent="0.3">
      <c r="A591" t="s">
        <v>1706</v>
      </c>
      <c r="B591" t="s">
        <v>1707</v>
      </c>
      <c r="C591">
        <v>1</v>
      </c>
      <c r="D591" t="s">
        <v>11</v>
      </c>
      <c r="E591" t="s">
        <v>21</v>
      </c>
      <c r="F591" t="s">
        <v>22</v>
      </c>
      <c r="H591" t="s">
        <v>71</v>
      </c>
      <c r="I591" t="s">
        <v>3617</v>
      </c>
      <c r="J591" t="s">
        <v>1706</v>
      </c>
      <c r="K591" t="s">
        <v>868</v>
      </c>
      <c r="L591" t="s">
        <v>3618</v>
      </c>
      <c r="M591" t="s">
        <v>1706</v>
      </c>
      <c r="N591" t="s">
        <v>1707</v>
      </c>
      <c r="Q591" t="s">
        <v>3599</v>
      </c>
      <c r="R591" t="s">
        <v>3599</v>
      </c>
      <c r="S591" t="s">
        <v>3599</v>
      </c>
      <c r="T591">
        <v>1</v>
      </c>
      <c r="U591" t="s">
        <v>868</v>
      </c>
      <c r="V591">
        <v>5</v>
      </c>
      <c r="W591">
        <v>0</v>
      </c>
      <c r="X591">
        <v>0</v>
      </c>
    </row>
    <row r="592" spans="1:24" x14ac:dyDescent="0.3">
      <c r="A592" t="s">
        <v>1708</v>
      </c>
      <c r="B592" t="s">
        <v>1709</v>
      </c>
      <c r="C592">
        <v>1</v>
      </c>
      <c r="D592" t="s">
        <v>11</v>
      </c>
      <c r="E592" t="s">
        <v>21</v>
      </c>
      <c r="F592" t="s">
        <v>22</v>
      </c>
      <c r="H592" t="s">
        <v>71</v>
      </c>
      <c r="I592" t="s">
        <v>3617</v>
      </c>
      <c r="J592" t="s">
        <v>1708</v>
      </c>
      <c r="K592" t="s">
        <v>868</v>
      </c>
      <c r="L592" t="s">
        <v>3618</v>
      </c>
      <c r="M592" t="s">
        <v>1708</v>
      </c>
      <c r="N592" t="s">
        <v>1709</v>
      </c>
      <c r="Q592" t="s">
        <v>3599</v>
      </c>
      <c r="R592" t="s">
        <v>3599</v>
      </c>
      <c r="S592" t="s">
        <v>3599</v>
      </c>
      <c r="T592">
        <v>1</v>
      </c>
      <c r="U592" t="s">
        <v>868</v>
      </c>
      <c r="V592">
        <v>5</v>
      </c>
      <c r="W592">
        <v>0</v>
      </c>
      <c r="X592">
        <v>0</v>
      </c>
    </row>
    <row r="593" spans="1:24" x14ac:dyDescent="0.3">
      <c r="A593" t="s">
        <v>1710</v>
      </c>
      <c r="B593" t="s">
        <v>1711</v>
      </c>
      <c r="C593">
        <v>1</v>
      </c>
      <c r="D593" t="s">
        <v>11</v>
      </c>
      <c r="E593" t="s">
        <v>21</v>
      </c>
      <c r="F593" t="s">
        <v>22</v>
      </c>
      <c r="H593" t="s">
        <v>71</v>
      </c>
      <c r="I593" t="s">
        <v>3617</v>
      </c>
      <c r="J593" t="s">
        <v>1710</v>
      </c>
      <c r="K593" t="s">
        <v>868</v>
      </c>
      <c r="L593" t="s">
        <v>3618</v>
      </c>
      <c r="M593" t="s">
        <v>1710</v>
      </c>
      <c r="N593" t="s">
        <v>1711</v>
      </c>
      <c r="Q593" t="s">
        <v>3599</v>
      </c>
      <c r="R593" t="s">
        <v>3599</v>
      </c>
      <c r="S593" t="s">
        <v>3599</v>
      </c>
      <c r="T593">
        <v>1</v>
      </c>
      <c r="U593" t="s">
        <v>868</v>
      </c>
      <c r="V593">
        <v>5</v>
      </c>
      <c r="W593">
        <v>0</v>
      </c>
      <c r="X593">
        <v>0</v>
      </c>
    </row>
    <row r="594" spans="1:24" x14ac:dyDescent="0.3">
      <c r="A594" t="s">
        <v>1712</v>
      </c>
      <c r="B594" t="s">
        <v>1713</v>
      </c>
      <c r="C594">
        <v>1</v>
      </c>
      <c r="D594" t="s">
        <v>11</v>
      </c>
      <c r="E594" t="s">
        <v>21</v>
      </c>
      <c r="F594" t="s">
        <v>22</v>
      </c>
      <c r="H594" t="s">
        <v>71</v>
      </c>
      <c r="I594" t="s">
        <v>3617</v>
      </c>
      <c r="J594" t="s">
        <v>1712</v>
      </c>
      <c r="K594" t="s">
        <v>868</v>
      </c>
      <c r="L594" t="s">
        <v>3618</v>
      </c>
      <c r="M594" t="s">
        <v>1712</v>
      </c>
      <c r="N594" t="s">
        <v>1713</v>
      </c>
      <c r="Q594" t="s">
        <v>3599</v>
      </c>
      <c r="R594" t="s">
        <v>3599</v>
      </c>
      <c r="S594" t="s">
        <v>3599</v>
      </c>
      <c r="T594">
        <v>1</v>
      </c>
      <c r="U594" t="s">
        <v>868</v>
      </c>
      <c r="V594">
        <v>5</v>
      </c>
      <c r="W594">
        <v>0</v>
      </c>
      <c r="X594">
        <v>0</v>
      </c>
    </row>
    <row r="595" spans="1:24" x14ac:dyDescent="0.3">
      <c r="A595" t="s">
        <v>1714</v>
      </c>
      <c r="B595" t="s">
        <v>1715</v>
      </c>
      <c r="C595">
        <v>1</v>
      </c>
      <c r="D595" t="s">
        <v>11</v>
      </c>
      <c r="E595" t="s">
        <v>21</v>
      </c>
      <c r="F595" t="s">
        <v>22</v>
      </c>
      <c r="H595" t="s">
        <v>71</v>
      </c>
      <c r="I595" t="s">
        <v>3617</v>
      </c>
      <c r="J595" t="s">
        <v>1714</v>
      </c>
      <c r="K595" t="s">
        <v>868</v>
      </c>
      <c r="L595" t="s">
        <v>3618</v>
      </c>
      <c r="M595" t="s">
        <v>1714</v>
      </c>
      <c r="N595" t="s">
        <v>1715</v>
      </c>
      <c r="O595" t="s">
        <v>1716</v>
      </c>
      <c r="Q595" t="s">
        <v>3599</v>
      </c>
      <c r="R595" t="s">
        <v>3599</v>
      </c>
      <c r="S595" t="s">
        <v>3599</v>
      </c>
      <c r="T595">
        <v>1</v>
      </c>
      <c r="U595" t="s">
        <v>868</v>
      </c>
      <c r="V595">
        <v>5</v>
      </c>
      <c r="W595">
        <v>0</v>
      </c>
      <c r="X595">
        <v>0</v>
      </c>
    </row>
    <row r="596" spans="1:24" x14ac:dyDescent="0.3">
      <c r="A596" t="s">
        <v>1717</v>
      </c>
      <c r="B596" t="s">
        <v>1718</v>
      </c>
      <c r="C596">
        <v>1</v>
      </c>
      <c r="D596" t="s">
        <v>11</v>
      </c>
      <c r="E596" t="s">
        <v>21</v>
      </c>
      <c r="F596" t="s">
        <v>22</v>
      </c>
      <c r="H596" t="s">
        <v>71</v>
      </c>
      <c r="I596" t="s">
        <v>3617</v>
      </c>
      <c r="J596" t="s">
        <v>1717</v>
      </c>
      <c r="K596" t="s">
        <v>868</v>
      </c>
      <c r="L596" t="s">
        <v>3618</v>
      </c>
      <c r="M596" t="s">
        <v>1717</v>
      </c>
      <c r="N596" t="s">
        <v>1718</v>
      </c>
      <c r="Q596" t="s">
        <v>3599</v>
      </c>
      <c r="R596" t="s">
        <v>3599</v>
      </c>
      <c r="S596" t="s">
        <v>3599</v>
      </c>
      <c r="T596">
        <v>1</v>
      </c>
      <c r="U596" t="s">
        <v>868</v>
      </c>
      <c r="V596">
        <v>5</v>
      </c>
      <c r="W596">
        <v>0</v>
      </c>
      <c r="X596">
        <v>0</v>
      </c>
    </row>
    <row r="597" spans="1:24" x14ac:dyDescent="0.3">
      <c r="A597" t="s">
        <v>1719</v>
      </c>
      <c r="B597" t="s">
        <v>1720</v>
      </c>
      <c r="C597">
        <v>1</v>
      </c>
      <c r="D597" t="s">
        <v>11</v>
      </c>
      <c r="E597" t="s">
        <v>21</v>
      </c>
      <c r="F597" t="s">
        <v>22</v>
      </c>
      <c r="H597" t="s">
        <v>71</v>
      </c>
      <c r="I597" t="s">
        <v>3617</v>
      </c>
      <c r="J597" t="s">
        <v>1719</v>
      </c>
      <c r="K597" t="s">
        <v>868</v>
      </c>
      <c r="L597" t="s">
        <v>3618</v>
      </c>
      <c r="M597" t="s">
        <v>1719</v>
      </c>
      <c r="N597" t="s">
        <v>1720</v>
      </c>
      <c r="Q597" t="s">
        <v>3599</v>
      </c>
      <c r="R597" t="s">
        <v>3599</v>
      </c>
      <c r="S597" t="s">
        <v>3599</v>
      </c>
      <c r="T597">
        <v>1</v>
      </c>
      <c r="U597" t="s">
        <v>868</v>
      </c>
      <c r="V597">
        <v>5</v>
      </c>
      <c r="W597">
        <v>0</v>
      </c>
      <c r="X597">
        <v>0</v>
      </c>
    </row>
    <row r="598" spans="1:24" x14ac:dyDescent="0.3">
      <c r="A598" t="s">
        <v>1721</v>
      </c>
      <c r="B598" t="s">
        <v>1722</v>
      </c>
      <c r="C598">
        <v>1</v>
      </c>
      <c r="D598" t="s">
        <v>11</v>
      </c>
      <c r="E598" t="s">
        <v>21</v>
      </c>
      <c r="F598" t="s">
        <v>22</v>
      </c>
      <c r="H598" t="s">
        <v>71</v>
      </c>
      <c r="I598" t="s">
        <v>3617</v>
      </c>
      <c r="J598" t="s">
        <v>1721</v>
      </c>
      <c r="K598" t="s">
        <v>868</v>
      </c>
      <c r="L598" t="s">
        <v>3618</v>
      </c>
      <c r="M598" t="s">
        <v>1721</v>
      </c>
      <c r="N598" t="s">
        <v>1722</v>
      </c>
      <c r="Q598" t="s">
        <v>3599</v>
      </c>
      <c r="R598" t="s">
        <v>3599</v>
      </c>
      <c r="S598" t="s">
        <v>3599</v>
      </c>
      <c r="T598">
        <v>1</v>
      </c>
      <c r="U598" t="s">
        <v>868</v>
      </c>
      <c r="V598">
        <v>5</v>
      </c>
      <c r="W598">
        <v>0</v>
      </c>
      <c r="X598">
        <v>0</v>
      </c>
    </row>
    <row r="599" spans="1:24" x14ac:dyDescent="0.3">
      <c r="A599" t="s">
        <v>1723</v>
      </c>
      <c r="B599" t="s">
        <v>1724</v>
      </c>
      <c r="C599">
        <v>1</v>
      </c>
      <c r="D599" t="s">
        <v>11</v>
      </c>
      <c r="E599" t="s">
        <v>21</v>
      </c>
      <c r="F599" t="s">
        <v>22</v>
      </c>
      <c r="H599" t="s">
        <v>71</v>
      </c>
      <c r="I599" t="s">
        <v>3617</v>
      </c>
      <c r="J599" t="s">
        <v>1723</v>
      </c>
      <c r="K599" t="s">
        <v>868</v>
      </c>
      <c r="L599" t="s">
        <v>3618</v>
      </c>
      <c r="M599" t="s">
        <v>1723</v>
      </c>
      <c r="N599" t="s">
        <v>1724</v>
      </c>
      <c r="Q599" t="s">
        <v>3599</v>
      </c>
      <c r="R599" t="s">
        <v>3599</v>
      </c>
      <c r="S599" t="s">
        <v>3599</v>
      </c>
      <c r="T599">
        <v>1</v>
      </c>
      <c r="U599" t="s">
        <v>868</v>
      </c>
      <c r="V599">
        <v>5</v>
      </c>
      <c r="W599">
        <v>0</v>
      </c>
      <c r="X599">
        <v>0</v>
      </c>
    </row>
    <row r="600" spans="1:24" x14ac:dyDescent="0.3">
      <c r="A600" t="s">
        <v>1725</v>
      </c>
      <c r="B600" t="s">
        <v>1726</v>
      </c>
      <c r="C600">
        <v>1</v>
      </c>
      <c r="D600" t="s">
        <v>11</v>
      </c>
      <c r="E600" t="s">
        <v>21</v>
      </c>
      <c r="F600" t="s">
        <v>22</v>
      </c>
      <c r="H600" t="s">
        <v>71</v>
      </c>
      <c r="I600" t="s">
        <v>3617</v>
      </c>
      <c r="J600" t="s">
        <v>1725</v>
      </c>
      <c r="K600" t="s">
        <v>868</v>
      </c>
      <c r="L600" t="s">
        <v>3618</v>
      </c>
      <c r="M600" t="s">
        <v>1725</v>
      </c>
      <c r="N600" t="s">
        <v>1726</v>
      </c>
      <c r="Q600" t="s">
        <v>3599</v>
      </c>
      <c r="R600" t="s">
        <v>3599</v>
      </c>
      <c r="S600" t="s">
        <v>3599</v>
      </c>
      <c r="T600">
        <v>1</v>
      </c>
      <c r="U600" t="s">
        <v>868</v>
      </c>
      <c r="V600">
        <v>5</v>
      </c>
      <c r="W600">
        <v>0</v>
      </c>
      <c r="X600">
        <v>0</v>
      </c>
    </row>
    <row r="601" spans="1:24" x14ac:dyDescent="0.3">
      <c r="A601" t="s">
        <v>1727</v>
      </c>
      <c r="B601" t="s">
        <v>1728</v>
      </c>
      <c r="C601">
        <v>1</v>
      </c>
      <c r="D601" t="s">
        <v>11</v>
      </c>
      <c r="E601" t="s">
        <v>21</v>
      </c>
      <c r="F601" t="s">
        <v>22</v>
      </c>
      <c r="H601" t="s">
        <v>71</v>
      </c>
      <c r="I601" t="s">
        <v>3617</v>
      </c>
      <c r="J601" t="s">
        <v>1727</v>
      </c>
      <c r="K601" t="s">
        <v>868</v>
      </c>
      <c r="L601" t="s">
        <v>3618</v>
      </c>
      <c r="M601" t="s">
        <v>1727</v>
      </c>
      <c r="N601" t="s">
        <v>1728</v>
      </c>
      <c r="Q601" t="s">
        <v>3599</v>
      </c>
      <c r="R601" t="s">
        <v>3599</v>
      </c>
      <c r="S601" t="s">
        <v>3599</v>
      </c>
      <c r="T601">
        <v>1</v>
      </c>
      <c r="U601" t="s">
        <v>868</v>
      </c>
      <c r="V601">
        <v>5</v>
      </c>
      <c r="W601">
        <v>0</v>
      </c>
      <c r="X601">
        <v>0</v>
      </c>
    </row>
    <row r="602" spans="1:24" x14ac:dyDescent="0.3">
      <c r="A602" t="s">
        <v>1729</v>
      </c>
      <c r="B602" t="s">
        <v>1730</v>
      </c>
      <c r="C602">
        <v>1</v>
      </c>
      <c r="D602" t="s">
        <v>11</v>
      </c>
      <c r="E602" t="s">
        <v>21</v>
      </c>
      <c r="F602" t="s">
        <v>22</v>
      </c>
      <c r="H602" t="s">
        <v>71</v>
      </c>
      <c r="I602" t="s">
        <v>3617</v>
      </c>
      <c r="J602" t="s">
        <v>1729</v>
      </c>
      <c r="K602" t="s">
        <v>868</v>
      </c>
      <c r="L602" t="s">
        <v>3618</v>
      </c>
      <c r="M602" t="s">
        <v>1729</v>
      </c>
      <c r="N602" t="s">
        <v>1730</v>
      </c>
      <c r="Q602" t="s">
        <v>3599</v>
      </c>
      <c r="R602" t="s">
        <v>3599</v>
      </c>
      <c r="S602" t="s">
        <v>3599</v>
      </c>
      <c r="T602">
        <v>1</v>
      </c>
      <c r="U602" t="s">
        <v>868</v>
      </c>
      <c r="V602">
        <v>5</v>
      </c>
      <c r="W602">
        <v>0</v>
      </c>
      <c r="X602">
        <v>0</v>
      </c>
    </row>
    <row r="603" spans="1:24" x14ac:dyDescent="0.3">
      <c r="A603" t="s">
        <v>1731</v>
      </c>
      <c r="B603" t="s">
        <v>1732</v>
      </c>
      <c r="C603">
        <v>1</v>
      </c>
      <c r="D603" t="s">
        <v>11</v>
      </c>
      <c r="E603" t="s">
        <v>21</v>
      </c>
      <c r="F603" t="s">
        <v>22</v>
      </c>
      <c r="H603" t="s">
        <v>71</v>
      </c>
      <c r="I603" t="s">
        <v>3617</v>
      </c>
      <c r="K603" t="s">
        <v>868</v>
      </c>
      <c r="L603" t="s">
        <v>3618</v>
      </c>
      <c r="N603" t="s">
        <v>1732</v>
      </c>
      <c r="Q603" t="s">
        <v>3599</v>
      </c>
      <c r="R603" t="s">
        <v>3599</v>
      </c>
      <c r="S603" t="s">
        <v>3599</v>
      </c>
      <c r="T603">
        <v>1</v>
      </c>
      <c r="U603" t="s">
        <v>868</v>
      </c>
      <c r="V603">
        <v>5</v>
      </c>
      <c r="W603">
        <v>0</v>
      </c>
      <c r="X603">
        <v>0</v>
      </c>
    </row>
    <row r="604" spans="1:24" x14ac:dyDescent="0.3">
      <c r="A604" t="s">
        <v>1733</v>
      </c>
      <c r="B604" t="s">
        <v>1734</v>
      </c>
      <c r="C604">
        <v>1</v>
      </c>
      <c r="D604" t="s">
        <v>11</v>
      </c>
      <c r="E604" t="s">
        <v>21</v>
      </c>
      <c r="F604" t="s">
        <v>22</v>
      </c>
      <c r="H604" t="s">
        <v>71</v>
      </c>
      <c r="I604" t="s">
        <v>3617</v>
      </c>
      <c r="J604" t="s">
        <v>1733</v>
      </c>
      <c r="K604" t="s">
        <v>868</v>
      </c>
      <c r="L604" t="s">
        <v>3618</v>
      </c>
      <c r="M604" t="s">
        <v>1733</v>
      </c>
      <c r="N604" t="s">
        <v>1734</v>
      </c>
      <c r="Q604" t="s">
        <v>3599</v>
      </c>
      <c r="R604" t="s">
        <v>3599</v>
      </c>
      <c r="S604" t="s">
        <v>3599</v>
      </c>
      <c r="T604">
        <v>1</v>
      </c>
      <c r="U604" t="s">
        <v>868</v>
      </c>
      <c r="V604">
        <v>5</v>
      </c>
      <c r="W604">
        <v>0</v>
      </c>
      <c r="X604">
        <v>0</v>
      </c>
    </row>
    <row r="605" spans="1:24" x14ac:dyDescent="0.3">
      <c r="A605" t="s">
        <v>1735</v>
      </c>
      <c r="B605" t="s">
        <v>1736</v>
      </c>
      <c r="C605">
        <v>1</v>
      </c>
      <c r="D605" t="s">
        <v>11</v>
      </c>
      <c r="E605" t="s">
        <v>21</v>
      </c>
      <c r="F605" t="s">
        <v>22</v>
      </c>
      <c r="H605" t="s">
        <v>71</v>
      </c>
      <c r="I605" t="s">
        <v>3617</v>
      </c>
      <c r="J605" t="s">
        <v>1735</v>
      </c>
      <c r="K605" t="s">
        <v>868</v>
      </c>
      <c r="L605" t="s">
        <v>3618</v>
      </c>
      <c r="M605" t="s">
        <v>1735</v>
      </c>
      <c r="N605" t="s">
        <v>1736</v>
      </c>
      <c r="Q605" t="s">
        <v>3599</v>
      </c>
      <c r="R605" t="s">
        <v>3599</v>
      </c>
      <c r="S605" t="s">
        <v>3599</v>
      </c>
      <c r="T605">
        <v>1</v>
      </c>
      <c r="U605" t="s">
        <v>868</v>
      </c>
      <c r="V605">
        <v>5</v>
      </c>
      <c r="W605">
        <v>0</v>
      </c>
      <c r="X605">
        <v>0</v>
      </c>
    </row>
    <row r="606" spans="1:24" x14ac:dyDescent="0.3">
      <c r="A606" t="s">
        <v>1737</v>
      </c>
      <c r="B606" t="s">
        <v>1738</v>
      </c>
      <c r="C606">
        <v>1</v>
      </c>
      <c r="D606" t="s">
        <v>11</v>
      </c>
      <c r="E606" t="s">
        <v>21</v>
      </c>
      <c r="F606" t="s">
        <v>22</v>
      </c>
      <c r="H606" t="s">
        <v>71</v>
      </c>
      <c r="I606" t="s">
        <v>3617</v>
      </c>
      <c r="J606" t="s">
        <v>1737</v>
      </c>
      <c r="K606" t="s">
        <v>868</v>
      </c>
      <c r="L606" t="s">
        <v>3618</v>
      </c>
      <c r="M606" t="s">
        <v>1737</v>
      </c>
      <c r="N606" t="s">
        <v>1738</v>
      </c>
      <c r="Q606" t="s">
        <v>3599</v>
      </c>
      <c r="R606" t="s">
        <v>3599</v>
      </c>
      <c r="S606" t="s">
        <v>3599</v>
      </c>
      <c r="T606">
        <v>1</v>
      </c>
      <c r="U606" t="s">
        <v>868</v>
      </c>
      <c r="V606">
        <v>5</v>
      </c>
      <c r="W606">
        <v>0</v>
      </c>
      <c r="X606">
        <v>0</v>
      </c>
    </row>
    <row r="607" spans="1:24" x14ac:dyDescent="0.3">
      <c r="A607" t="s">
        <v>1739</v>
      </c>
      <c r="B607" t="s">
        <v>1740</v>
      </c>
      <c r="C607">
        <v>1</v>
      </c>
      <c r="D607" t="s">
        <v>11</v>
      </c>
      <c r="E607" t="s">
        <v>21</v>
      </c>
      <c r="F607" t="s">
        <v>22</v>
      </c>
      <c r="H607" t="s">
        <v>71</v>
      </c>
      <c r="I607" t="s">
        <v>3617</v>
      </c>
      <c r="J607" t="s">
        <v>1739</v>
      </c>
      <c r="K607" t="s">
        <v>868</v>
      </c>
      <c r="L607" t="s">
        <v>3618</v>
      </c>
      <c r="M607" t="s">
        <v>1739</v>
      </c>
      <c r="N607" t="s">
        <v>1740</v>
      </c>
      <c r="Q607" t="s">
        <v>3599</v>
      </c>
      <c r="R607" t="s">
        <v>3599</v>
      </c>
      <c r="S607" t="s">
        <v>3599</v>
      </c>
      <c r="T607">
        <v>1</v>
      </c>
      <c r="U607" t="s">
        <v>868</v>
      </c>
      <c r="V607">
        <v>5</v>
      </c>
      <c r="W607">
        <v>0</v>
      </c>
      <c r="X607">
        <v>0</v>
      </c>
    </row>
    <row r="608" spans="1:24" x14ac:dyDescent="0.3">
      <c r="A608" t="s">
        <v>1741</v>
      </c>
      <c r="B608" t="s">
        <v>1742</v>
      </c>
      <c r="C608">
        <v>1</v>
      </c>
      <c r="D608" t="s">
        <v>11</v>
      </c>
      <c r="E608" t="s">
        <v>21</v>
      </c>
      <c r="F608" t="s">
        <v>22</v>
      </c>
      <c r="H608" t="s">
        <v>71</v>
      </c>
      <c r="I608" t="s">
        <v>3617</v>
      </c>
      <c r="J608" t="s">
        <v>1741</v>
      </c>
      <c r="K608" t="s">
        <v>868</v>
      </c>
      <c r="L608" t="s">
        <v>3618</v>
      </c>
      <c r="M608" t="s">
        <v>1741</v>
      </c>
      <c r="N608" t="s">
        <v>1742</v>
      </c>
      <c r="Q608" t="s">
        <v>3599</v>
      </c>
      <c r="R608" t="s">
        <v>3599</v>
      </c>
      <c r="S608" t="s">
        <v>3599</v>
      </c>
      <c r="T608">
        <v>1</v>
      </c>
      <c r="U608" t="s">
        <v>868</v>
      </c>
      <c r="V608">
        <v>5</v>
      </c>
      <c r="W608">
        <v>0</v>
      </c>
      <c r="X608">
        <v>0</v>
      </c>
    </row>
    <row r="609" spans="1:24" x14ac:dyDescent="0.3">
      <c r="A609" t="s">
        <v>1743</v>
      </c>
      <c r="B609" t="s">
        <v>1744</v>
      </c>
      <c r="C609">
        <v>1</v>
      </c>
      <c r="D609" t="s">
        <v>11</v>
      </c>
      <c r="E609" t="s">
        <v>21</v>
      </c>
      <c r="F609" t="s">
        <v>22</v>
      </c>
      <c r="H609" t="s">
        <v>71</v>
      </c>
      <c r="I609" t="s">
        <v>3617</v>
      </c>
      <c r="J609" t="s">
        <v>1743</v>
      </c>
      <c r="K609" t="s">
        <v>868</v>
      </c>
      <c r="L609" t="s">
        <v>3618</v>
      </c>
      <c r="M609" t="s">
        <v>1743</v>
      </c>
      <c r="N609" t="s">
        <v>1744</v>
      </c>
      <c r="Q609" t="s">
        <v>3599</v>
      </c>
      <c r="R609" t="s">
        <v>3599</v>
      </c>
      <c r="S609" t="s">
        <v>3599</v>
      </c>
      <c r="T609">
        <v>1</v>
      </c>
      <c r="U609" t="s">
        <v>868</v>
      </c>
      <c r="V609">
        <v>5</v>
      </c>
      <c r="W609">
        <v>0</v>
      </c>
      <c r="X609">
        <v>0</v>
      </c>
    </row>
    <row r="610" spans="1:24" x14ac:dyDescent="0.3">
      <c r="A610" t="s">
        <v>1745</v>
      </c>
      <c r="B610" t="s">
        <v>1746</v>
      </c>
      <c r="C610">
        <v>1</v>
      </c>
      <c r="D610" t="s">
        <v>11</v>
      </c>
      <c r="E610" t="s">
        <v>21</v>
      </c>
      <c r="F610" t="s">
        <v>22</v>
      </c>
      <c r="H610" t="s">
        <v>71</v>
      </c>
      <c r="I610" t="s">
        <v>3617</v>
      </c>
      <c r="J610" t="s">
        <v>1745</v>
      </c>
      <c r="K610" t="s">
        <v>868</v>
      </c>
      <c r="L610" t="s">
        <v>3618</v>
      </c>
      <c r="M610" t="s">
        <v>1745</v>
      </c>
      <c r="N610" t="s">
        <v>1746</v>
      </c>
      <c r="Q610" t="s">
        <v>3599</v>
      </c>
      <c r="R610" t="s">
        <v>3599</v>
      </c>
      <c r="S610" t="s">
        <v>3599</v>
      </c>
      <c r="T610">
        <v>1</v>
      </c>
      <c r="U610" t="s">
        <v>868</v>
      </c>
      <c r="V610">
        <v>5</v>
      </c>
      <c r="W610">
        <v>0</v>
      </c>
      <c r="X610">
        <v>0</v>
      </c>
    </row>
    <row r="611" spans="1:24" x14ac:dyDescent="0.3">
      <c r="A611" t="s">
        <v>1747</v>
      </c>
      <c r="B611" t="s">
        <v>1748</v>
      </c>
      <c r="C611">
        <v>1</v>
      </c>
      <c r="D611" t="s">
        <v>11</v>
      </c>
      <c r="E611" t="s">
        <v>21</v>
      </c>
      <c r="F611" t="s">
        <v>22</v>
      </c>
      <c r="H611" t="s">
        <v>71</v>
      </c>
      <c r="I611" t="s">
        <v>3617</v>
      </c>
      <c r="J611" t="s">
        <v>1747</v>
      </c>
      <c r="K611" t="s">
        <v>868</v>
      </c>
      <c r="L611" t="s">
        <v>3618</v>
      </c>
      <c r="M611" t="s">
        <v>1747</v>
      </c>
      <c r="N611" t="s">
        <v>1748</v>
      </c>
      <c r="Q611" t="s">
        <v>3599</v>
      </c>
      <c r="R611" t="s">
        <v>3599</v>
      </c>
      <c r="S611" t="s">
        <v>3599</v>
      </c>
      <c r="T611">
        <v>1</v>
      </c>
      <c r="U611" t="s">
        <v>868</v>
      </c>
      <c r="V611">
        <v>5</v>
      </c>
      <c r="W611">
        <v>0</v>
      </c>
      <c r="X611">
        <v>0</v>
      </c>
    </row>
    <row r="612" spans="1:24" x14ac:dyDescent="0.3">
      <c r="A612" t="s">
        <v>1749</v>
      </c>
      <c r="B612" t="s">
        <v>1750</v>
      </c>
      <c r="C612">
        <v>1</v>
      </c>
      <c r="D612" t="s">
        <v>11</v>
      </c>
      <c r="E612" t="s">
        <v>21</v>
      </c>
      <c r="F612" t="s">
        <v>22</v>
      </c>
      <c r="H612" t="s">
        <v>71</v>
      </c>
      <c r="I612" t="s">
        <v>3617</v>
      </c>
      <c r="J612" t="s">
        <v>1749</v>
      </c>
      <c r="K612" t="s">
        <v>868</v>
      </c>
      <c r="L612" t="s">
        <v>3618</v>
      </c>
      <c r="M612" t="s">
        <v>1749</v>
      </c>
      <c r="N612" t="s">
        <v>1750</v>
      </c>
      <c r="Q612" t="s">
        <v>3599</v>
      </c>
      <c r="R612" t="s">
        <v>3599</v>
      </c>
      <c r="S612" t="s">
        <v>3599</v>
      </c>
      <c r="T612">
        <v>1</v>
      </c>
      <c r="U612" t="s">
        <v>868</v>
      </c>
      <c r="V612">
        <v>5</v>
      </c>
      <c r="W612">
        <v>0</v>
      </c>
      <c r="X612">
        <v>0</v>
      </c>
    </row>
    <row r="613" spans="1:24" x14ac:dyDescent="0.3">
      <c r="A613" t="s">
        <v>1751</v>
      </c>
      <c r="B613" t="s">
        <v>1752</v>
      </c>
      <c r="C613">
        <v>1</v>
      </c>
      <c r="D613" t="s">
        <v>11</v>
      </c>
      <c r="E613" t="s">
        <v>21</v>
      </c>
      <c r="F613" t="s">
        <v>22</v>
      </c>
      <c r="H613" t="s">
        <v>71</v>
      </c>
      <c r="I613" t="s">
        <v>3617</v>
      </c>
      <c r="J613" t="s">
        <v>1751</v>
      </c>
      <c r="K613" t="s">
        <v>868</v>
      </c>
      <c r="L613" t="s">
        <v>3618</v>
      </c>
      <c r="M613" t="s">
        <v>1751</v>
      </c>
      <c r="N613" t="s">
        <v>1752</v>
      </c>
      <c r="Q613" t="s">
        <v>3599</v>
      </c>
      <c r="R613" t="s">
        <v>3599</v>
      </c>
      <c r="S613" t="s">
        <v>3599</v>
      </c>
      <c r="T613">
        <v>1</v>
      </c>
      <c r="U613" t="s">
        <v>868</v>
      </c>
      <c r="V613">
        <v>5</v>
      </c>
      <c r="W613">
        <v>0</v>
      </c>
      <c r="X613">
        <v>0</v>
      </c>
    </row>
    <row r="614" spans="1:24" x14ac:dyDescent="0.3">
      <c r="A614" t="s">
        <v>1753</v>
      </c>
      <c r="B614" t="s">
        <v>1754</v>
      </c>
      <c r="C614">
        <v>1</v>
      </c>
      <c r="D614" t="s">
        <v>11</v>
      </c>
      <c r="E614" t="s">
        <v>21</v>
      </c>
      <c r="F614" t="s">
        <v>22</v>
      </c>
      <c r="H614" t="s">
        <v>71</v>
      </c>
      <c r="I614" t="s">
        <v>3617</v>
      </c>
      <c r="J614" t="s">
        <v>1753</v>
      </c>
      <c r="K614" t="s">
        <v>868</v>
      </c>
      <c r="L614" t="s">
        <v>3618</v>
      </c>
      <c r="M614" t="s">
        <v>1753</v>
      </c>
      <c r="N614" t="s">
        <v>1754</v>
      </c>
      <c r="Q614" t="s">
        <v>3599</v>
      </c>
      <c r="R614" t="s">
        <v>3599</v>
      </c>
      <c r="S614" t="s">
        <v>3599</v>
      </c>
      <c r="T614">
        <v>1</v>
      </c>
      <c r="U614" t="s">
        <v>868</v>
      </c>
      <c r="V614">
        <v>5</v>
      </c>
      <c r="W614">
        <v>0</v>
      </c>
      <c r="X614">
        <v>0</v>
      </c>
    </row>
    <row r="615" spans="1:24" x14ac:dyDescent="0.3">
      <c r="A615" t="s">
        <v>1755</v>
      </c>
      <c r="B615" t="s">
        <v>1756</v>
      </c>
      <c r="C615">
        <v>1</v>
      </c>
      <c r="D615" t="s">
        <v>11</v>
      </c>
      <c r="E615" t="s">
        <v>21</v>
      </c>
      <c r="F615" t="s">
        <v>22</v>
      </c>
      <c r="H615" t="s">
        <v>71</v>
      </c>
      <c r="I615" t="s">
        <v>3617</v>
      </c>
      <c r="J615" t="s">
        <v>1755</v>
      </c>
      <c r="K615" t="s">
        <v>868</v>
      </c>
      <c r="L615" t="s">
        <v>3618</v>
      </c>
      <c r="M615" t="s">
        <v>1755</v>
      </c>
      <c r="N615" t="s">
        <v>1756</v>
      </c>
      <c r="Q615" t="s">
        <v>3599</v>
      </c>
      <c r="R615" t="s">
        <v>3599</v>
      </c>
      <c r="S615" t="s">
        <v>3599</v>
      </c>
      <c r="T615">
        <v>1</v>
      </c>
      <c r="U615" t="s">
        <v>868</v>
      </c>
      <c r="V615">
        <v>5</v>
      </c>
      <c r="W615">
        <v>0</v>
      </c>
      <c r="X615">
        <v>0</v>
      </c>
    </row>
    <row r="616" spans="1:24" x14ac:dyDescent="0.3">
      <c r="A616" t="s">
        <v>1757</v>
      </c>
      <c r="B616" t="s">
        <v>1758</v>
      </c>
      <c r="C616">
        <v>1</v>
      </c>
      <c r="D616" t="s">
        <v>11</v>
      </c>
      <c r="E616" t="s">
        <v>21</v>
      </c>
      <c r="F616" t="s">
        <v>22</v>
      </c>
      <c r="H616" t="s">
        <v>71</v>
      </c>
      <c r="I616" t="s">
        <v>3617</v>
      </c>
      <c r="J616" t="s">
        <v>1757</v>
      </c>
      <c r="K616" t="s">
        <v>868</v>
      </c>
      <c r="L616" t="s">
        <v>3618</v>
      </c>
      <c r="M616" t="s">
        <v>1757</v>
      </c>
      <c r="N616" t="s">
        <v>1758</v>
      </c>
      <c r="O616" t="s">
        <v>1759</v>
      </c>
      <c r="Q616" t="s">
        <v>3599</v>
      </c>
      <c r="R616" t="s">
        <v>3599</v>
      </c>
      <c r="S616" t="s">
        <v>3599</v>
      </c>
      <c r="T616">
        <v>1</v>
      </c>
      <c r="U616" t="s">
        <v>868</v>
      </c>
      <c r="V616">
        <v>5</v>
      </c>
      <c r="W616">
        <v>0</v>
      </c>
      <c r="X616">
        <v>0</v>
      </c>
    </row>
    <row r="617" spans="1:24" x14ac:dyDescent="0.3">
      <c r="A617" t="s">
        <v>1760</v>
      </c>
      <c r="B617" t="s">
        <v>1761</v>
      </c>
      <c r="C617">
        <v>1</v>
      </c>
      <c r="D617" t="s">
        <v>11</v>
      </c>
      <c r="E617" t="s">
        <v>21</v>
      </c>
      <c r="F617" t="s">
        <v>22</v>
      </c>
      <c r="H617" t="s">
        <v>71</v>
      </c>
      <c r="I617" t="s">
        <v>3617</v>
      </c>
      <c r="J617" t="s">
        <v>1760</v>
      </c>
      <c r="K617" t="s">
        <v>868</v>
      </c>
      <c r="L617" t="s">
        <v>3618</v>
      </c>
      <c r="M617" t="s">
        <v>1760</v>
      </c>
      <c r="N617" t="s">
        <v>1761</v>
      </c>
      <c r="Q617" t="s">
        <v>3599</v>
      </c>
      <c r="R617" t="s">
        <v>3599</v>
      </c>
      <c r="S617" t="s">
        <v>3599</v>
      </c>
      <c r="T617">
        <v>1</v>
      </c>
      <c r="U617" t="s">
        <v>868</v>
      </c>
      <c r="V617">
        <v>5</v>
      </c>
      <c r="W617">
        <v>0</v>
      </c>
      <c r="X617">
        <v>0</v>
      </c>
    </row>
    <row r="618" spans="1:24" x14ac:dyDescent="0.3">
      <c r="A618" t="s">
        <v>1762</v>
      </c>
      <c r="B618" t="s">
        <v>1763</v>
      </c>
      <c r="C618">
        <v>1</v>
      </c>
      <c r="D618" t="s">
        <v>11</v>
      </c>
      <c r="E618" t="s">
        <v>21</v>
      </c>
      <c r="F618" t="s">
        <v>22</v>
      </c>
      <c r="H618" t="s">
        <v>71</v>
      </c>
      <c r="I618" t="s">
        <v>3617</v>
      </c>
      <c r="K618" t="s">
        <v>868</v>
      </c>
      <c r="L618" t="s">
        <v>3618</v>
      </c>
      <c r="N618" t="s">
        <v>1763</v>
      </c>
      <c r="Q618" t="s">
        <v>3599</v>
      </c>
      <c r="R618" t="s">
        <v>3599</v>
      </c>
      <c r="S618" t="s">
        <v>3599</v>
      </c>
      <c r="T618">
        <v>1</v>
      </c>
      <c r="U618" t="s">
        <v>868</v>
      </c>
      <c r="V618">
        <v>5</v>
      </c>
      <c r="W618">
        <v>0</v>
      </c>
      <c r="X618">
        <v>0</v>
      </c>
    </row>
    <row r="619" spans="1:24" x14ac:dyDescent="0.3">
      <c r="A619" t="s">
        <v>1764</v>
      </c>
      <c r="B619" t="s">
        <v>1765</v>
      </c>
      <c r="C619">
        <v>1</v>
      </c>
      <c r="D619" t="s">
        <v>11</v>
      </c>
      <c r="E619" t="s">
        <v>21</v>
      </c>
      <c r="F619" t="s">
        <v>22</v>
      </c>
      <c r="H619" t="s">
        <v>71</v>
      </c>
      <c r="I619" t="s">
        <v>3617</v>
      </c>
      <c r="J619" t="s">
        <v>1764</v>
      </c>
      <c r="K619" t="s">
        <v>868</v>
      </c>
      <c r="L619" t="s">
        <v>3618</v>
      </c>
      <c r="M619" t="s">
        <v>1764</v>
      </c>
      <c r="N619" t="s">
        <v>1765</v>
      </c>
      <c r="Q619" t="s">
        <v>3599</v>
      </c>
      <c r="R619" t="s">
        <v>3599</v>
      </c>
      <c r="S619" t="s">
        <v>3599</v>
      </c>
      <c r="T619">
        <v>1</v>
      </c>
      <c r="U619" t="s">
        <v>868</v>
      </c>
      <c r="V619">
        <v>5</v>
      </c>
      <c r="W619">
        <v>0</v>
      </c>
      <c r="X619">
        <v>0</v>
      </c>
    </row>
    <row r="620" spans="1:24" x14ac:dyDescent="0.3">
      <c r="A620" t="s">
        <v>1766</v>
      </c>
      <c r="B620" t="s">
        <v>1767</v>
      </c>
      <c r="C620">
        <v>1</v>
      </c>
      <c r="D620" t="s">
        <v>11</v>
      </c>
      <c r="E620" t="s">
        <v>21</v>
      </c>
      <c r="F620" t="s">
        <v>22</v>
      </c>
      <c r="H620" t="s">
        <v>71</v>
      </c>
      <c r="I620" t="s">
        <v>3617</v>
      </c>
      <c r="J620" t="s">
        <v>1766</v>
      </c>
      <c r="K620" t="s">
        <v>868</v>
      </c>
      <c r="L620" t="s">
        <v>3618</v>
      </c>
      <c r="M620" t="s">
        <v>1766</v>
      </c>
      <c r="N620" t="s">
        <v>1767</v>
      </c>
      <c r="Q620" t="s">
        <v>3599</v>
      </c>
      <c r="R620" t="s">
        <v>3599</v>
      </c>
      <c r="S620" t="s">
        <v>3599</v>
      </c>
      <c r="T620">
        <v>1</v>
      </c>
      <c r="U620" t="s">
        <v>868</v>
      </c>
      <c r="V620">
        <v>5</v>
      </c>
      <c r="W620">
        <v>0</v>
      </c>
      <c r="X620">
        <v>0</v>
      </c>
    </row>
    <row r="621" spans="1:24" x14ac:dyDescent="0.3">
      <c r="A621" t="s">
        <v>1768</v>
      </c>
      <c r="B621" t="s">
        <v>1769</v>
      </c>
      <c r="C621">
        <v>1</v>
      </c>
      <c r="D621" t="s">
        <v>11</v>
      </c>
      <c r="E621" t="s">
        <v>21</v>
      </c>
      <c r="F621" t="s">
        <v>22</v>
      </c>
      <c r="H621" t="s">
        <v>71</v>
      </c>
      <c r="I621" t="s">
        <v>3617</v>
      </c>
      <c r="J621" t="s">
        <v>1768</v>
      </c>
      <c r="K621" t="s">
        <v>868</v>
      </c>
      <c r="L621" t="s">
        <v>3618</v>
      </c>
      <c r="M621" t="s">
        <v>1768</v>
      </c>
      <c r="N621" t="s">
        <v>1769</v>
      </c>
      <c r="Q621" t="s">
        <v>3599</v>
      </c>
      <c r="R621" t="s">
        <v>3599</v>
      </c>
      <c r="S621" t="s">
        <v>3599</v>
      </c>
      <c r="T621">
        <v>1</v>
      </c>
      <c r="U621" t="s">
        <v>868</v>
      </c>
      <c r="V621">
        <v>5</v>
      </c>
      <c r="W621">
        <v>0</v>
      </c>
      <c r="X621">
        <v>0</v>
      </c>
    </row>
    <row r="622" spans="1:24" x14ac:dyDescent="0.3">
      <c r="A622" t="s">
        <v>1770</v>
      </c>
      <c r="B622" t="s">
        <v>1771</v>
      </c>
      <c r="C622">
        <v>1</v>
      </c>
      <c r="D622" t="s">
        <v>11</v>
      </c>
      <c r="E622" t="s">
        <v>21</v>
      </c>
      <c r="F622" t="s">
        <v>22</v>
      </c>
      <c r="H622" t="s">
        <v>71</v>
      </c>
      <c r="I622" t="s">
        <v>3617</v>
      </c>
      <c r="J622" t="s">
        <v>1770</v>
      </c>
      <c r="K622" t="s">
        <v>868</v>
      </c>
      <c r="L622" t="s">
        <v>3618</v>
      </c>
      <c r="M622" t="s">
        <v>1770</v>
      </c>
      <c r="N622" t="s">
        <v>1771</v>
      </c>
      <c r="Q622" t="s">
        <v>3599</v>
      </c>
      <c r="R622" t="s">
        <v>3599</v>
      </c>
      <c r="S622" t="s">
        <v>3599</v>
      </c>
      <c r="T622">
        <v>1</v>
      </c>
      <c r="U622" t="s">
        <v>868</v>
      </c>
      <c r="V622">
        <v>5</v>
      </c>
      <c r="W622">
        <v>0</v>
      </c>
      <c r="X622">
        <v>0</v>
      </c>
    </row>
    <row r="623" spans="1:24" x14ac:dyDescent="0.3">
      <c r="A623" t="s">
        <v>1772</v>
      </c>
      <c r="B623" t="s">
        <v>1773</v>
      </c>
      <c r="C623">
        <v>1</v>
      </c>
      <c r="D623" t="s">
        <v>11</v>
      </c>
      <c r="E623" t="s">
        <v>21</v>
      </c>
      <c r="F623" t="s">
        <v>22</v>
      </c>
      <c r="H623" t="s">
        <v>71</v>
      </c>
      <c r="I623" t="s">
        <v>3617</v>
      </c>
      <c r="J623" t="s">
        <v>1772</v>
      </c>
      <c r="K623" t="s">
        <v>868</v>
      </c>
      <c r="L623" t="s">
        <v>3618</v>
      </c>
      <c r="M623" t="s">
        <v>1772</v>
      </c>
      <c r="N623" t="s">
        <v>1773</v>
      </c>
      <c r="Q623" t="s">
        <v>3599</v>
      </c>
      <c r="R623" t="s">
        <v>3599</v>
      </c>
      <c r="S623" t="s">
        <v>3599</v>
      </c>
      <c r="T623">
        <v>1</v>
      </c>
      <c r="U623" t="s">
        <v>868</v>
      </c>
      <c r="V623">
        <v>5</v>
      </c>
      <c r="W623">
        <v>0</v>
      </c>
      <c r="X623">
        <v>0</v>
      </c>
    </row>
    <row r="624" spans="1:24" x14ac:dyDescent="0.3">
      <c r="A624" t="s">
        <v>1774</v>
      </c>
      <c r="B624" t="s">
        <v>1775</v>
      </c>
      <c r="C624">
        <v>1</v>
      </c>
      <c r="D624" t="s">
        <v>11</v>
      </c>
      <c r="E624" t="s">
        <v>21</v>
      </c>
      <c r="F624" t="s">
        <v>22</v>
      </c>
      <c r="H624" t="s">
        <v>71</v>
      </c>
      <c r="I624" t="s">
        <v>3617</v>
      </c>
      <c r="J624" t="s">
        <v>1774</v>
      </c>
      <c r="K624" t="s">
        <v>868</v>
      </c>
      <c r="L624" t="s">
        <v>3618</v>
      </c>
      <c r="M624" t="s">
        <v>1774</v>
      </c>
      <c r="N624" t="s">
        <v>1775</v>
      </c>
      <c r="Q624" t="s">
        <v>3599</v>
      </c>
      <c r="R624" t="s">
        <v>3599</v>
      </c>
      <c r="S624" t="s">
        <v>3599</v>
      </c>
      <c r="T624">
        <v>1</v>
      </c>
      <c r="U624" t="s">
        <v>868</v>
      </c>
      <c r="V624">
        <v>5</v>
      </c>
      <c r="W624">
        <v>0</v>
      </c>
      <c r="X624">
        <v>0</v>
      </c>
    </row>
    <row r="625" spans="1:24" x14ac:dyDescent="0.3">
      <c r="A625" t="s">
        <v>1776</v>
      </c>
      <c r="B625" t="s">
        <v>1777</v>
      </c>
      <c r="C625">
        <v>1</v>
      </c>
      <c r="D625" t="s">
        <v>11</v>
      </c>
      <c r="E625" t="s">
        <v>21</v>
      </c>
      <c r="F625" t="s">
        <v>22</v>
      </c>
      <c r="H625" t="s">
        <v>71</v>
      </c>
      <c r="I625" t="s">
        <v>3617</v>
      </c>
      <c r="J625" t="s">
        <v>1776</v>
      </c>
      <c r="K625" t="s">
        <v>868</v>
      </c>
      <c r="L625" t="s">
        <v>3618</v>
      </c>
      <c r="M625" t="s">
        <v>1776</v>
      </c>
      <c r="N625" t="s">
        <v>1777</v>
      </c>
      <c r="Q625" t="s">
        <v>3599</v>
      </c>
      <c r="R625" t="s">
        <v>3599</v>
      </c>
      <c r="S625" t="s">
        <v>3599</v>
      </c>
      <c r="T625">
        <v>1</v>
      </c>
      <c r="U625" t="s">
        <v>868</v>
      </c>
      <c r="V625">
        <v>5</v>
      </c>
      <c r="W625">
        <v>0</v>
      </c>
      <c r="X625">
        <v>0</v>
      </c>
    </row>
    <row r="626" spans="1:24" x14ac:dyDescent="0.3">
      <c r="A626" t="s">
        <v>1778</v>
      </c>
      <c r="B626" t="s">
        <v>1779</v>
      </c>
      <c r="C626">
        <v>1</v>
      </c>
      <c r="D626" t="s">
        <v>11</v>
      </c>
      <c r="E626" t="s">
        <v>21</v>
      </c>
      <c r="F626" t="s">
        <v>22</v>
      </c>
      <c r="H626" t="s">
        <v>71</v>
      </c>
      <c r="I626" t="s">
        <v>3617</v>
      </c>
      <c r="J626" t="s">
        <v>1778</v>
      </c>
      <c r="K626" t="s">
        <v>868</v>
      </c>
      <c r="L626" t="s">
        <v>3618</v>
      </c>
      <c r="M626" t="s">
        <v>1778</v>
      </c>
      <c r="N626" t="s">
        <v>1779</v>
      </c>
      <c r="Q626" t="s">
        <v>3599</v>
      </c>
      <c r="R626" t="s">
        <v>3599</v>
      </c>
      <c r="S626" t="s">
        <v>3599</v>
      </c>
      <c r="T626">
        <v>1</v>
      </c>
      <c r="U626" t="s">
        <v>868</v>
      </c>
      <c r="V626">
        <v>5</v>
      </c>
      <c r="W626">
        <v>0</v>
      </c>
      <c r="X626">
        <v>0</v>
      </c>
    </row>
    <row r="627" spans="1:24" x14ac:dyDescent="0.3">
      <c r="A627" t="s">
        <v>1780</v>
      </c>
      <c r="B627" t="s">
        <v>1781</v>
      </c>
      <c r="C627">
        <v>1</v>
      </c>
      <c r="D627" t="s">
        <v>11</v>
      </c>
      <c r="E627" t="s">
        <v>21</v>
      </c>
      <c r="F627" t="s">
        <v>22</v>
      </c>
      <c r="H627" t="s">
        <v>71</v>
      </c>
      <c r="I627" t="s">
        <v>3617</v>
      </c>
      <c r="J627" t="s">
        <v>1780</v>
      </c>
      <c r="K627" t="s">
        <v>868</v>
      </c>
      <c r="L627" t="s">
        <v>3618</v>
      </c>
      <c r="M627" t="s">
        <v>1780</v>
      </c>
      <c r="N627" t="s">
        <v>1781</v>
      </c>
      <c r="Q627" t="s">
        <v>3599</v>
      </c>
      <c r="R627" t="s">
        <v>3599</v>
      </c>
      <c r="S627" t="s">
        <v>3599</v>
      </c>
      <c r="T627">
        <v>1</v>
      </c>
      <c r="U627" t="s">
        <v>868</v>
      </c>
      <c r="V627">
        <v>5</v>
      </c>
      <c r="W627">
        <v>0</v>
      </c>
      <c r="X627">
        <v>0</v>
      </c>
    </row>
    <row r="628" spans="1:24" x14ac:dyDescent="0.3">
      <c r="A628" t="s">
        <v>1782</v>
      </c>
      <c r="B628" t="s">
        <v>1783</v>
      </c>
      <c r="C628">
        <v>1</v>
      </c>
      <c r="D628" t="s">
        <v>11</v>
      </c>
      <c r="E628" t="s">
        <v>21</v>
      </c>
      <c r="F628" t="s">
        <v>22</v>
      </c>
      <c r="H628" t="s">
        <v>71</v>
      </c>
      <c r="I628" t="s">
        <v>3617</v>
      </c>
      <c r="J628" t="s">
        <v>1782</v>
      </c>
      <c r="K628" t="s">
        <v>868</v>
      </c>
      <c r="L628" t="s">
        <v>3618</v>
      </c>
      <c r="M628" t="s">
        <v>1782</v>
      </c>
      <c r="N628" t="s">
        <v>1783</v>
      </c>
      <c r="Q628" t="s">
        <v>3599</v>
      </c>
      <c r="R628" t="s">
        <v>3599</v>
      </c>
      <c r="S628" t="s">
        <v>3599</v>
      </c>
      <c r="T628">
        <v>1</v>
      </c>
      <c r="U628" t="s">
        <v>868</v>
      </c>
      <c r="V628">
        <v>5</v>
      </c>
      <c r="W628">
        <v>0</v>
      </c>
      <c r="X628">
        <v>0</v>
      </c>
    </row>
    <row r="629" spans="1:24" x14ac:dyDescent="0.3">
      <c r="A629" t="s">
        <v>1784</v>
      </c>
      <c r="B629" t="s">
        <v>1785</v>
      </c>
      <c r="C629">
        <v>1</v>
      </c>
      <c r="D629" t="s">
        <v>11</v>
      </c>
      <c r="E629" t="s">
        <v>21</v>
      </c>
      <c r="F629" t="s">
        <v>22</v>
      </c>
      <c r="H629" t="s">
        <v>71</v>
      </c>
      <c r="I629" t="s">
        <v>3617</v>
      </c>
      <c r="J629" t="s">
        <v>1784</v>
      </c>
      <c r="K629" t="s">
        <v>868</v>
      </c>
      <c r="L629" t="s">
        <v>3618</v>
      </c>
      <c r="M629" t="s">
        <v>1784</v>
      </c>
      <c r="N629" t="s">
        <v>1785</v>
      </c>
      <c r="Q629" t="s">
        <v>3599</v>
      </c>
      <c r="R629" t="s">
        <v>3599</v>
      </c>
      <c r="S629" t="s">
        <v>3599</v>
      </c>
      <c r="T629">
        <v>1</v>
      </c>
      <c r="U629" t="s">
        <v>868</v>
      </c>
      <c r="V629">
        <v>5</v>
      </c>
      <c r="W629">
        <v>0</v>
      </c>
      <c r="X629">
        <v>0</v>
      </c>
    </row>
    <row r="630" spans="1:24" x14ac:dyDescent="0.3">
      <c r="A630" t="s">
        <v>1786</v>
      </c>
      <c r="B630" t="s">
        <v>1787</v>
      </c>
      <c r="C630">
        <v>1</v>
      </c>
      <c r="D630" t="s">
        <v>11</v>
      </c>
      <c r="E630" t="s">
        <v>21</v>
      </c>
      <c r="F630" t="s">
        <v>22</v>
      </c>
      <c r="H630" t="s">
        <v>71</v>
      </c>
      <c r="I630" t="s">
        <v>3617</v>
      </c>
      <c r="J630" t="s">
        <v>1786</v>
      </c>
      <c r="K630" t="s">
        <v>868</v>
      </c>
      <c r="L630" t="s">
        <v>3618</v>
      </c>
      <c r="M630" t="s">
        <v>1786</v>
      </c>
      <c r="N630" t="s">
        <v>1787</v>
      </c>
      <c r="Q630" t="s">
        <v>3599</v>
      </c>
      <c r="R630" t="s">
        <v>3599</v>
      </c>
      <c r="S630" t="s">
        <v>3599</v>
      </c>
      <c r="T630">
        <v>1</v>
      </c>
      <c r="U630" t="s">
        <v>868</v>
      </c>
      <c r="V630">
        <v>5</v>
      </c>
      <c r="W630">
        <v>0</v>
      </c>
      <c r="X630">
        <v>0</v>
      </c>
    </row>
    <row r="631" spans="1:24" x14ac:dyDescent="0.3">
      <c r="A631" t="s">
        <v>1788</v>
      </c>
      <c r="B631" t="s">
        <v>1789</v>
      </c>
      <c r="C631">
        <v>1</v>
      </c>
      <c r="D631" t="s">
        <v>11</v>
      </c>
      <c r="E631" t="s">
        <v>21</v>
      </c>
      <c r="F631" t="s">
        <v>22</v>
      </c>
      <c r="H631" t="s">
        <v>71</v>
      </c>
      <c r="I631" t="s">
        <v>3617</v>
      </c>
      <c r="J631" t="s">
        <v>1788</v>
      </c>
      <c r="K631" t="s">
        <v>868</v>
      </c>
      <c r="L631" t="s">
        <v>3618</v>
      </c>
      <c r="M631" t="s">
        <v>1788</v>
      </c>
      <c r="N631" t="s">
        <v>1789</v>
      </c>
      <c r="Q631" t="s">
        <v>3599</v>
      </c>
      <c r="R631" t="s">
        <v>3599</v>
      </c>
      <c r="S631" t="s">
        <v>3599</v>
      </c>
      <c r="T631">
        <v>1</v>
      </c>
      <c r="U631" t="s">
        <v>868</v>
      </c>
      <c r="V631">
        <v>5</v>
      </c>
      <c r="W631">
        <v>0</v>
      </c>
      <c r="X631">
        <v>0</v>
      </c>
    </row>
    <row r="632" spans="1:24" x14ac:dyDescent="0.3">
      <c r="A632" t="s">
        <v>1790</v>
      </c>
      <c r="B632" t="s">
        <v>1791</v>
      </c>
      <c r="C632">
        <v>1</v>
      </c>
      <c r="D632" t="s">
        <v>11</v>
      </c>
      <c r="E632" t="s">
        <v>21</v>
      </c>
      <c r="F632" t="s">
        <v>22</v>
      </c>
      <c r="H632" t="s">
        <v>71</v>
      </c>
      <c r="I632" t="s">
        <v>3617</v>
      </c>
      <c r="J632" t="s">
        <v>1790</v>
      </c>
      <c r="K632" t="s">
        <v>868</v>
      </c>
      <c r="L632" t="s">
        <v>3618</v>
      </c>
      <c r="M632" t="s">
        <v>1790</v>
      </c>
      <c r="N632" t="s">
        <v>1791</v>
      </c>
      <c r="Q632" t="s">
        <v>3599</v>
      </c>
      <c r="R632" t="s">
        <v>3599</v>
      </c>
      <c r="S632" t="s">
        <v>3599</v>
      </c>
      <c r="T632">
        <v>1</v>
      </c>
      <c r="U632" t="s">
        <v>868</v>
      </c>
      <c r="V632">
        <v>5</v>
      </c>
      <c r="W632">
        <v>0</v>
      </c>
      <c r="X632">
        <v>0</v>
      </c>
    </row>
    <row r="633" spans="1:24" x14ac:dyDescent="0.3">
      <c r="A633" t="s">
        <v>1792</v>
      </c>
      <c r="B633" t="s">
        <v>1793</v>
      </c>
      <c r="C633">
        <v>1</v>
      </c>
      <c r="D633" t="s">
        <v>11</v>
      </c>
      <c r="E633" t="s">
        <v>21</v>
      </c>
      <c r="F633" t="s">
        <v>22</v>
      </c>
      <c r="H633" t="s">
        <v>71</v>
      </c>
      <c r="I633" t="s">
        <v>3617</v>
      </c>
      <c r="J633" t="s">
        <v>1792</v>
      </c>
      <c r="K633" t="s">
        <v>868</v>
      </c>
      <c r="L633" t="s">
        <v>3618</v>
      </c>
      <c r="M633" t="s">
        <v>1792</v>
      </c>
      <c r="N633" t="s">
        <v>1793</v>
      </c>
      <c r="Q633" t="s">
        <v>3599</v>
      </c>
      <c r="R633" t="s">
        <v>3599</v>
      </c>
      <c r="S633" t="s">
        <v>3599</v>
      </c>
      <c r="T633">
        <v>1</v>
      </c>
      <c r="U633" t="s">
        <v>868</v>
      </c>
      <c r="V633">
        <v>5</v>
      </c>
      <c r="W633">
        <v>0</v>
      </c>
      <c r="X633">
        <v>0</v>
      </c>
    </row>
    <row r="634" spans="1:24" x14ac:dyDescent="0.3">
      <c r="A634" t="s">
        <v>1794</v>
      </c>
      <c r="B634" t="s">
        <v>1795</v>
      </c>
      <c r="C634">
        <v>1</v>
      </c>
      <c r="D634" t="s">
        <v>11</v>
      </c>
      <c r="E634" t="s">
        <v>21</v>
      </c>
      <c r="F634" t="s">
        <v>22</v>
      </c>
      <c r="H634" t="s">
        <v>71</v>
      </c>
      <c r="I634" t="s">
        <v>3617</v>
      </c>
      <c r="J634" t="s">
        <v>1794</v>
      </c>
      <c r="K634" t="s">
        <v>868</v>
      </c>
      <c r="L634" t="s">
        <v>3618</v>
      </c>
      <c r="M634" t="s">
        <v>1794</v>
      </c>
      <c r="N634" t="s">
        <v>1795</v>
      </c>
      <c r="Q634" t="s">
        <v>3599</v>
      </c>
      <c r="R634" t="s">
        <v>3599</v>
      </c>
      <c r="S634" t="s">
        <v>3599</v>
      </c>
      <c r="T634">
        <v>1</v>
      </c>
      <c r="U634" t="s">
        <v>868</v>
      </c>
      <c r="V634">
        <v>5</v>
      </c>
      <c r="W634">
        <v>0</v>
      </c>
      <c r="X634">
        <v>0</v>
      </c>
    </row>
    <row r="635" spans="1:24" x14ac:dyDescent="0.3">
      <c r="A635" t="s">
        <v>1796</v>
      </c>
      <c r="B635" t="s">
        <v>1797</v>
      </c>
      <c r="C635">
        <v>1</v>
      </c>
      <c r="D635" t="s">
        <v>11</v>
      </c>
      <c r="E635" t="s">
        <v>21</v>
      </c>
      <c r="F635" t="s">
        <v>22</v>
      </c>
      <c r="H635" t="s">
        <v>71</v>
      </c>
      <c r="I635" t="s">
        <v>3617</v>
      </c>
      <c r="J635" t="s">
        <v>1796</v>
      </c>
      <c r="K635" t="s">
        <v>868</v>
      </c>
      <c r="L635" t="s">
        <v>3618</v>
      </c>
      <c r="M635" t="s">
        <v>1796</v>
      </c>
      <c r="N635" t="s">
        <v>1797</v>
      </c>
      <c r="Q635" t="s">
        <v>3599</v>
      </c>
      <c r="R635" t="s">
        <v>3599</v>
      </c>
      <c r="S635" t="s">
        <v>3599</v>
      </c>
      <c r="T635">
        <v>1</v>
      </c>
      <c r="U635" t="s">
        <v>868</v>
      </c>
      <c r="V635">
        <v>5</v>
      </c>
      <c r="W635">
        <v>0</v>
      </c>
      <c r="X635">
        <v>0</v>
      </c>
    </row>
    <row r="636" spans="1:24" x14ac:dyDescent="0.3">
      <c r="A636" t="s">
        <v>1798</v>
      </c>
      <c r="B636" t="s">
        <v>1799</v>
      </c>
      <c r="C636">
        <v>1</v>
      </c>
      <c r="D636" t="s">
        <v>11</v>
      </c>
      <c r="E636" t="s">
        <v>21</v>
      </c>
      <c r="F636" t="s">
        <v>22</v>
      </c>
      <c r="H636" t="s">
        <v>71</v>
      </c>
      <c r="I636" t="s">
        <v>3617</v>
      </c>
      <c r="J636" t="s">
        <v>1798</v>
      </c>
      <c r="K636" t="s">
        <v>868</v>
      </c>
      <c r="L636" t="s">
        <v>3618</v>
      </c>
      <c r="M636" t="s">
        <v>1798</v>
      </c>
      <c r="N636" t="s">
        <v>1799</v>
      </c>
      <c r="Q636" t="s">
        <v>3599</v>
      </c>
      <c r="R636" t="s">
        <v>3599</v>
      </c>
      <c r="S636" t="s">
        <v>3599</v>
      </c>
      <c r="T636">
        <v>1</v>
      </c>
      <c r="U636" t="s">
        <v>868</v>
      </c>
      <c r="V636">
        <v>5</v>
      </c>
      <c r="W636">
        <v>0</v>
      </c>
      <c r="X636">
        <v>0</v>
      </c>
    </row>
    <row r="637" spans="1:24" x14ac:dyDescent="0.3">
      <c r="A637" t="s">
        <v>1800</v>
      </c>
      <c r="B637" t="s">
        <v>1801</v>
      </c>
      <c r="C637">
        <v>1</v>
      </c>
      <c r="D637" t="s">
        <v>11</v>
      </c>
      <c r="E637" t="s">
        <v>21</v>
      </c>
      <c r="F637" t="s">
        <v>22</v>
      </c>
      <c r="H637" t="s">
        <v>71</v>
      </c>
      <c r="I637" t="s">
        <v>3617</v>
      </c>
      <c r="J637" t="s">
        <v>1800</v>
      </c>
      <c r="K637" t="s">
        <v>868</v>
      </c>
      <c r="L637" t="s">
        <v>3618</v>
      </c>
      <c r="M637" t="s">
        <v>1800</v>
      </c>
      <c r="N637" t="s">
        <v>1801</v>
      </c>
      <c r="Q637" t="s">
        <v>3599</v>
      </c>
      <c r="R637" t="s">
        <v>3599</v>
      </c>
      <c r="S637" t="s">
        <v>3599</v>
      </c>
      <c r="T637">
        <v>1</v>
      </c>
      <c r="U637" t="s">
        <v>868</v>
      </c>
      <c r="V637">
        <v>5</v>
      </c>
      <c r="W637">
        <v>0</v>
      </c>
      <c r="X637">
        <v>0</v>
      </c>
    </row>
    <row r="638" spans="1:24" x14ac:dyDescent="0.3">
      <c r="A638" t="s">
        <v>1802</v>
      </c>
      <c r="B638" t="s">
        <v>1803</v>
      </c>
      <c r="C638">
        <v>1</v>
      </c>
      <c r="D638" t="s">
        <v>11</v>
      </c>
      <c r="E638" t="s">
        <v>21</v>
      </c>
      <c r="F638" t="s">
        <v>22</v>
      </c>
      <c r="H638" t="s">
        <v>71</v>
      </c>
      <c r="I638" t="s">
        <v>3617</v>
      </c>
      <c r="J638" t="s">
        <v>1802</v>
      </c>
      <c r="K638" t="s">
        <v>868</v>
      </c>
      <c r="L638" t="s">
        <v>3618</v>
      </c>
      <c r="M638" t="s">
        <v>1802</v>
      </c>
      <c r="N638" t="s">
        <v>1803</v>
      </c>
      <c r="Q638" t="s">
        <v>3599</v>
      </c>
      <c r="R638" t="s">
        <v>3599</v>
      </c>
      <c r="S638" t="s">
        <v>3599</v>
      </c>
      <c r="T638">
        <v>1</v>
      </c>
      <c r="U638" t="s">
        <v>868</v>
      </c>
      <c r="V638">
        <v>5</v>
      </c>
      <c r="W638">
        <v>0</v>
      </c>
      <c r="X638">
        <v>0</v>
      </c>
    </row>
    <row r="639" spans="1:24" x14ac:dyDescent="0.3">
      <c r="A639" t="s">
        <v>1804</v>
      </c>
      <c r="B639" t="s">
        <v>1805</v>
      </c>
      <c r="C639">
        <v>1</v>
      </c>
      <c r="D639" t="s">
        <v>11</v>
      </c>
      <c r="E639" t="s">
        <v>21</v>
      </c>
      <c r="F639" t="s">
        <v>22</v>
      </c>
      <c r="H639" t="s">
        <v>71</v>
      </c>
      <c r="I639" t="s">
        <v>3617</v>
      </c>
      <c r="J639" t="s">
        <v>1804</v>
      </c>
      <c r="K639" t="s">
        <v>868</v>
      </c>
      <c r="L639" t="s">
        <v>3618</v>
      </c>
      <c r="M639" t="s">
        <v>1804</v>
      </c>
      <c r="N639" t="s">
        <v>1805</v>
      </c>
      <c r="Q639" t="s">
        <v>3599</v>
      </c>
      <c r="R639" t="s">
        <v>3599</v>
      </c>
      <c r="S639" t="s">
        <v>3599</v>
      </c>
      <c r="T639">
        <v>1</v>
      </c>
      <c r="U639" t="s">
        <v>868</v>
      </c>
      <c r="V639">
        <v>5</v>
      </c>
      <c r="W639">
        <v>0</v>
      </c>
      <c r="X639">
        <v>0</v>
      </c>
    </row>
    <row r="640" spans="1:24" x14ac:dyDescent="0.3">
      <c r="A640" t="s">
        <v>1806</v>
      </c>
      <c r="B640" t="s">
        <v>1807</v>
      </c>
      <c r="C640">
        <v>1</v>
      </c>
      <c r="D640" t="s">
        <v>11</v>
      </c>
      <c r="E640" t="s">
        <v>21</v>
      </c>
      <c r="F640" t="s">
        <v>22</v>
      </c>
      <c r="H640" t="s">
        <v>71</v>
      </c>
      <c r="I640" t="s">
        <v>3617</v>
      </c>
      <c r="J640" t="s">
        <v>1806</v>
      </c>
      <c r="K640" t="s">
        <v>868</v>
      </c>
      <c r="L640" t="s">
        <v>3618</v>
      </c>
      <c r="M640" t="s">
        <v>1806</v>
      </c>
      <c r="N640" t="s">
        <v>1807</v>
      </c>
      <c r="Q640" t="s">
        <v>3599</v>
      </c>
      <c r="R640" t="s">
        <v>3599</v>
      </c>
      <c r="S640" t="s">
        <v>3599</v>
      </c>
      <c r="T640">
        <v>1</v>
      </c>
      <c r="U640" t="s">
        <v>868</v>
      </c>
      <c r="V640">
        <v>5</v>
      </c>
      <c r="W640">
        <v>0</v>
      </c>
      <c r="X640">
        <v>0</v>
      </c>
    </row>
    <row r="641" spans="1:24" x14ac:dyDescent="0.3">
      <c r="A641" t="s">
        <v>1808</v>
      </c>
      <c r="B641" t="s">
        <v>1809</v>
      </c>
      <c r="C641">
        <v>1</v>
      </c>
      <c r="D641" t="s">
        <v>11</v>
      </c>
      <c r="E641" t="s">
        <v>21</v>
      </c>
      <c r="F641" t="s">
        <v>22</v>
      </c>
      <c r="H641" t="s">
        <v>71</v>
      </c>
      <c r="I641" t="s">
        <v>3617</v>
      </c>
      <c r="J641" t="s">
        <v>1808</v>
      </c>
      <c r="K641" t="s">
        <v>868</v>
      </c>
      <c r="L641" t="s">
        <v>3618</v>
      </c>
      <c r="M641" t="s">
        <v>1808</v>
      </c>
      <c r="N641" t="s">
        <v>1809</v>
      </c>
      <c r="Q641" t="s">
        <v>3599</v>
      </c>
      <c r="R641" t="s">
        <v>3599</v>
      </c>
      <c r="S641" t="s">
        <v>3599</v>
      </c>
      <c r="T641">
        <v>1</v>
      </c>
      <c r="U641" t="s">
        <v>868</v>
      </c>
      <c r="V641">
        <v>5</v>
      </c>
      <c r="W641">
        <v>0</v>
      </c>
      <c r="X641">
        <v>0</v>
      </c>
    </row>
    <row r="642" spans="1:24" x14ac:dyDescent="0.3">
      <c r="A642" t="s">
        <v>1810</v>
      </c>
      <c r="B642" t="s">
        <v>1811</v>
      </c>
      <c r="C642">
        <v>1</v>
      </c>
      <c r="D642" t="s">
        <v>11</v>
      </c>
      <c r="E642" t="s">
        <v>21</v>
      </c>
      <c r="F642" t="s">
        <v>22</v>
      </c>
      <c r="H642" t="s">
        <v>71</v>
      </c>
      <c r="I642" t="s">
        <v>3617</v>
      </c>
      <c r="J642" t="s">
        <v>1810</v>
      </c>
      <c r="K642" t="s">
        <v>868</v>
      </c>
      <c r="L642" t="s">
        <v>3618</v>
      </c>
      <c r="M642" t="s">
        <v>1810</v>
      </c>
      <c r="N642" t="s">
        <v>1811</v>
      </c>
      <c r="Q642" t="s">
        <v>3599</v>
      </c>
      <c r="R642" t="s">
        <v>3599</v>
      </c>
      <c r="S642" t="s">
        <v>3599</v>
      </c>
      <c r="T642">
        <v>1</v>
      </c>
      <c r="U642" t="s">
        <v>868</v>
      </c>
      <c r="V642">
        <v>5</v>
      </c>
      <c r="W642">
        <v>0</v>
      </c>
      <c r="X642">
        <v>0</v>
      </c>
    </row>
    <row r="643" spans="1:24" x14ac:dyDescent="0.3">
      <c r="A643" t="s">
        <v>1812</v>
      </c>
      <c r="B643" t="s">
        <v>1813</v>
      </c>
      <c r="C643">
        <v>1</v>
      </c>
      <c r="D643" t="s">
        <v>11</v>
      </c>
      <c r="E643" t="s">
        <v>21</v>
      </c>
      <c r="F643" t="s">
        <v>22</v>
      </c>
      <c r="H643" t="s">
        <v>71</v>
      </c>
      <c r="I643" t="s">
        <v>3617</v>
      </c>
      <c r="J643" t="s">
        <v>1812</v>
      </c>
      <c r="K643" t="s">
        <v>868</v>
      </c>
      <c r="L643" t="s">
        <v>3618</v>
      </c>
      <c r="M643" t="s">
        <v>1812</v>
      </c>
      <c r="N643" t="s">
        <v>1813</v>
      </c>
      <c r="O643" t="s">
        <v>1814</v>
      </c>
      <c r="Q643" t="s">
        <v>3599</v>
      </c>
      <c r="R643" t="s">
        <v>3599</v>
      </c>
      <c r="S643" t="s">
        <v>3599</v>
      </c>
      <c r="T643">
        <v>1</v>
      </c>
      <c r="U643" t="s">
        <v>868</v>
      </c>
      <c r="V643">
        <v>5</v>
      </c>
      <c r="W643">
        <v>0</v>
      </c>
      <c r="X643">
        <v>0</v>
      </c>
    </row>
    <row r="644" spans="1:24" x14ac:dyDescent="0.3">
      <c r="A644" t="s">
        <v>1815</v>
      </c>
      <c r="B644" t="s">
        <v>1816</v>
      </c>
      <c r="C644">
        <v>1</v>
      </c>
      <c r="D644" t="s">
        <v>11</v>
      </c>
      <c r="E644" t="s">
        <v>21</v>
      </c>
      <c r="F644" t="s">
        <v>22</v>
      </c>
      <c r="H644" t="s">
        <v>71</v>
      </c>
      <c r="I644" t="s">
        <v>3617</v>
      </c>
      <c r="J644" t="s">
        <v>1815</v>
      </c>
      <c r="K644" t="s">
        <v>868</v>
      </c>
      <c r="L644" t="s">
        <v>3618</v>
      </c>
      <c r="M644" t="s">
        <v>1815</v>
      </c>
      <c r="N644" t="s">
        <v>1816</v>
      </c>
      <c r="Q644" t="s">
        <v>3599</v>
      </c>
      <c r="R644" t="s">
        <v>3599</v>
      </c>
      <c r="S644" t="s">
        <v>3599</v>
      </c>
      <c r="T644">
        <v>1</v>
      </c>
      <c r="U644" t="s">
        <v>868</v>
      </c>
      <c r="V644">
        <v>5</v>
      </c>
      <c r="W644">
        <v>0</v>
      </c>
      <c r="X644">
        <v>0</v>
      </c>
    </row>
    <row r="645" spans="1:24" x14ac:dyDescent="0.3">
      <c r="A645" t="s">
        <v>1817</v>
      </c>
      <c r="B645" t="s">
        <v>1818</v>
      </c>
      <c r="C645">
        <v>1</v>
      </c>
      <c r="D645" t="s">
        <v>11</v>
      </c>
      <c r="E645" t="s">
        <v>21</v>
      </c>
      <c r="F645" t="s">
        <v>22</v>
      </c>
      <c r="H645" t="s">
        <v>71</v>
      </c>
      <c r="I645" t="s">
        <v>3617</v>
      </c>
      <c r="J645" t="s">
        <v>1817</v>
      </c>
      <c r="K645" t="s">
        <v>868</v>
      </c>
      <c r="L645" t="s">
        <v>3618</v>
      </c>
      <c r="M645" t="s">
        <v>1817</v>
      </c>
      <c r="N645" t="s">
        <v>1818</v>
      </c>
      <c r="Q645" t="s">
        <v>3599</v>
      </c>
      <c r="R645" t="s">
        <v>3599</v>
      </c>
      <c r="S645" t="s">
        <v>3599</v>
      </c>
      <c r="T645">
        <v>1</v>
      </c>
      <c r="U645" t="s">
        <v>868</v>
      </c>
      <c r="V645">
        <v>5</v>
      </c>
      <c r="W645">
        <v>0</v>
      </c>
      <c r="X645">
        <v>0</v>
      </c>
    </row>
    <row r="646" spans="1:24" x14ac:dyDescent="0.3">
      <c r="A646" t="s">
        <v>1819</v>
      </c>
      <c r="B646" t="s">
        <v>1820</v>
      </c>
      <c r="C646">
        <v>1</v>
      </c>
      <c r="D646" t="s">
        <v>11</v>
      </c>
      <c r="E646" t="s">
        <v>21</v>
      </c>
      <c r="F646" t="s">
        <v>22</v>
      </c>
      <c r="H646" t="s">
        <v>71</v>
      </c>
      <c r="I646" t="s">
        <v>3617</v>
      </c>
      <c r="J646" t="s">
        <v>1819</v>
      </c>
      <c r="K646" t="s">
        <v>868</v>
      </c>
      <c r="L646" t="s">
        <v>3618</v>
      </c>
      <c r="M646" t="s">
        <v>1819</v>
      </c>
      <c r="N646" t="s">
        <v>1820</v>
      </c>
      <c r="Q646" t="s">
        <v>3599</v>
      </c>
      <c r="R646" t="s">
        <v>3599</v>
      </c>
      <c r="S646" t="s">
        <v>3599</v>
      </c>
      <c r="T646">
        <v>1</v>
      </c>
      <c r="U646" t="s">
        <v>868</v>
      </c>
      <c r="V646">
        <v>5</v>
      </c>
      <c r="W646">
        <v>0</v>
      </c>
      <c r="X646">
        <v>0</v>
      </c>
    </row>
    <row r="647" spans="1:24" x14ac:dyDescent="0.3">
      <c r="A647" t="s">
        <v>1821</v>
      </c>
      <c r="B647" t="s">
        <v>1822</v>
      </c>
      <c r="C647">
        <v>1</v>
      </c>
      <c r="D647" t="s">
        <v>11</v>
      </c>
      <c r="E647" t="s">
        <v>21</v>
      </c>
      <c r="F647" t="s">
        <v>22</v>
      </c>
      <c r="H647" t="s">
        <v>71</v>
      </c>
      <c r="I647" t="s">
        <v>3617</v>
      </c>
      <c r="J647" t="s">
        <v>1821</v>
      </c>
      <c r="K647" t="s">
        <v>868</v>
      </c>
      <c r="L647" t="s">
        <v>3618</v>
      </c>
      <c r="M647" t="s">
        <v>1821</v>
      </c>
      <c r="N647" t="s">
        <v>1822</v>
      </c>
      <c r="Q647" t="s">
        <v>3599</v>
      </c>
      <c r="R647" t="s">
        <v>3599</v>
      </c>
      <c r="S647" t="s">
        <v>3599</v>
      </c>
      <c r="T647">
        <v>1</v>
      </c>
      <c r="U647" t="s">
        <v>868</v>
      </c>
      <c r="V647">
        <v>5</v>
      </c>
      <c r="W647">
        <v>0</v>
      </c>
      <c r="X647">
        <v>0</v>
      </c>
    </row>
    <row r="648" spans="1:24" x14ac:dyDescent="0.3">
      <c r="A648" t="s">
        <v>1823</v>
      </c>
      <c r="B648" t="s">
        <v>1824</v>
      </c>
      <c r="C648">
        <v>1</v>
      </c>
      <c r="D648" t="s">
        <v>11</v>
      </c>
      <c r="E648" t="s">
        <v>21</v>
      </c>
      <c r="F648" t="s">
        <v>22</v>
      </c>
      <c r="H648" t="s">
        <v>71</v>
      </c>
      <c r="I648" t="s">
        <v>3617</v>
      </c>
      <c r="J648" t="s">
        <v>1823</v>
      </c>
      <c r="K648" t="s">
        <v>868</v>
      </c>
      <c r="L648" t="s">
        <v>3618</v>
      </c>
      <c r="M648" t="s">
        <v>1823</v>
      </c>
      <c r="N648" t="s">
        <v>1824</v>
      </c>
      <c r="Q648" t="s">
        <v>3599</v>
      </c>
      <c r="R648" t="s">
        <v>3599</v>
      </c>
      <c r="S648" t="s">
        <v>3599</v>
      </c>
      <c r="T648">
        <v>1</v>
      </c>
      <c r="U648" t="s">
        <v>868</v>
      </c>
      <c r="V648">
        <v>5</v>
      </c>
      <c r="W648">
        <v>0</v>
      </c>
      <c r="X648">
        <v>0</v>
      </c>
    </row>
    <row r="649" spans="1:24" x14ac:dyDescent="0.3">
      <c r="A649" t="s">
        <v>1825</v>
      </c>
      <c r="B649" t="s">
        <v>1826</v>
      </c>
      <c r="C649">
        <v>1</v>
      </c>
      <c r="D649" t="s">
        <v>11</v>
      </c>
      <c r="E649" t="s">
        <v>21</v>
      </c>
      <c r="F649" t="s">
        <v>22</v>
      </c>
      <c r="H649" t="s">
        <v>71</v>
      </c>
      <c r="I649" t="s">
        <v>3617</v>
      </c>
      <c r="J649" t="s">
        <v>1825</v>
      </c>
      <c r="K649" t="s">
        <v>868</v>
      </c>
      <c r="L649" t="s">
        <v>3618</v>
      </c>
      <c r="M649" t="s">
        <v>1825</v>
      </c>
      <c r="N649" t="s">
        <v>1826</v>
      </c>
      <c r="Q649" t="s">
        <v>3599</v>
      </c>
      <c r="R649" t="s">
        <v>3599</v>
      </c>
      <c r="S649" t="s">
        <v>3599</v>
      </c>
      <c r="T649">
        <v>1</v>
      </c>
      <c r="U649" t="s">
        <v>868</v>
      </c>
      <c r="V649">
        <v>5</v>
      </c>
      <c r="W649">
        <v>0</v>
      </c>
      <c r="X649">
        <v>0</v>
      </c>
    </row>
    <row r="650" spans="1:24" x14ac:dyDescent="0.3">
      <c r="A650" t="s">
        <v>1827</v>
      </c>
      <c r="B650" t="s">
        <v>1828</v>
      </c>
      <c r="C650">
        <v>1</v>
      </c>
      <c r="D650" t="s">
        <v>11</v>
      </c>
      <c r="E650" t="s">
        <v>21</v>
      </c>
      <c r="F650" t="s">
        <v>22</v>
      </c>
      <c r="H650" t="s">
        <v>71</v>
      </c>
      <c r="I650" t="s">
        <v>3617</v>
      </c>
      <c r="J650" t="s">
        <v>1827</v>
      </c>
      <c r="K650" t="s">
        <v>868</v>
      </c>
      <c r="L650" t="s">
        <v>3618</v>
      </c>
      <c r="M650" t="s">
        <v>1827</v>
      </c>
      <c r="N650" t="s">
        <v>1828</v>
      </c>
      <c r="O650" t="s">
        <v>1829</v>
      </c>
      <c r="Q650" t="s">
        <v>3599</v>
      </c>
      <c r="R650" t="s">
        <v>3599</v>
      </c>
      <c r="S650" t="s">
        <v>3599</v>
      </c>
      <c r="T650">
        <v>1</v>
      </c>
      <c r="U650" t="s">
        <v>868</v>
      </c>
      <c r="V650">
        <v>5</v>
      </c>
      <c r="W650">
        <v>0</v>
      </c>
      <c r="X650">
        <v>0</v>
      </c>
    </row>
    <row r="651" spans="1:24" x14ac:dyDescent="0.3">
      <c r="A651" t="s">
        <v>1830</v>
      </c>
      <c r="B651" t="s">
        <v>1831</v>
      </c>
      <c r="C651">
        <v>1</v>
      </c>
      <c r="D651" t="s">
        <v>11</v>
      </c>
      <c r="E651" t="s">
        <v>21</v>
      </c>
      <c r="F651" t="s">
        <v>22</v>
      </c>
      <c r="H651" t="s">
        <v>71</v>
      </c>
      <c r="I651" t="s">
        <v>3617</v>
      </c>
      <c r="J651" t="s">
        <v>1830</v>
      </c>
      <c r="K651" t="s">
        <v>868</v>
      </c>
      <c r="L651" t="s">
        <v>3618</v>
      </c>
      <c r="M651" t="s">
        <v>1830</v>
      </c>
      <c r="N651" t="s">
        <v>1831</v>
      </c>
      <c r="Q651" t="s">
        <v>3599</v>
      </c>
      <c r="R651" t="s">
        <v>3599</v>
      </c>
      <c r="S651" t="s">
        <v>3599</v>
      </c>
      <c r="T651">
        <v>1</v>
      </c>
      <c r="U651" t="s">
        <v>868</v>
      </c>
      <c r="V651">
        <v>5</v>
      </c>
      <c r="W651">
        <v>0</v>
      </c>
      <c r="X651">
        <v>0</v>
      </c>
    </row>
    <row r="652" spans="1:24" x14ac:dyDescent="0.3">
      <c r="A652" t="s">
        <v>1832</v>
      </c>
      <c r="B652" t="s">
        <v>1833</v>
      </c>
      <c r="C652">
        <v>1</v>
      </c>
      <c r="D652" t="s">
        <v>11</v>
      </c>
      <c r="E652" t="s">
        <v>21</v>
      </c>
      <c r="F652" t="s">
        <v>22</v>
      </c>
      <c r="H652" t="s">
        <v>71</v>
      </c>
      <c r="I652" t="s">
        <v>3617</v>
      </c>
      <c r="J652" t="s">
        <v>1832</v>
      </c>
      <c r="K652" t="s">
        <v>868</v>
      </c>
      <c r="L652" t="s">
        <v>3618</v>
      </c>
      <c r="M652" t="s">
        <v>1832</v>
      </c>
      <c r="N652" t="s">
        <v>1833</v>
      </c>
      <c r="Q652" t="s">
        <v>3599</v>
      </c>
      <c r="R652" t="s">
        <v>3599</v>
      </c>
      <c r="S652" t="s">
        <v>3599</v>
      </c>
      <c r="T652">
        <v>1</v>
      </c>
      <c r="U652" t="s">
        <v>868</v>
      </c>
      <c r="V652">
        <v>5</v>
      </c>
      <c r="W652">
        <v>0</v>
      </c>
      <c r="X652">
        <v>0</v>
      </c>
    </row>
    <row r="653" spans="1:24" x14ac:dyDescent="0.3">
      <c r="A653" t="s">
        <v>1834</v>
      </c>
      <c r="B653" t="s">
        <v>1835</v>
      </c>
      <c r="C653">
        <v>1</v>
      </c>
      <c r="D653" t="s">
        <v>11</v>
      </c>
      <c r="E653" t="s">
        <v>21</v>
      </c>
      <c r="F653" t="s">
        <v>22</v>
      </c>
      <c r="H653" t="s">
        <v>71</v>
      </c>
      <c r="I653" t="s">
        <v>3617</v>
      </c>
      <c r="K653" t="s">
        <v>868</v>
      </c>
      <c r="L653" t="s">
        <v>3618</v>
      </c>
      <c r="N653" t="s">
        <v>1835</v>
      </c>
      <c r="Q653" t="s">
        <v>3599</v>
      </c>
      <c r="R653" t="s">
        <v>3599</v>
      </c>
      <c r="S653" t="s">
        <v>3599</v>
      </c>
      <c r="T653">
        <v>1</v>
      </c>
      <c r="U653" t="s">
        <v>868</v>
      </c>
      <c r="V653">
        <v>5</v>
      </c>
      <c r="W653">
        <v>0</v>
      </c>
      <c r="X653">
        <v>0</v>
      </c>
    </row>
    <row r="654" spans="1:24" x14ac:dyDescent="0.3">
      <c r="A654" t="s">
        <v>1836</v>
      </c>
      <c r="B654" t="s">
        <v>1837</v>
      </c>
      <c r="C654">
        <v>1</v>
      </c>
      <c r="D654" t="s">
        <v>11</v>
      </c>
      <c r="E654" t="s">
        <v>21</v>
      </c>
      <c r="F654" t="s">
        <v>22</v>
      </c>
      <c r="H654" t="s">
        <v>71</v>
      </c>
      <c r="I654" t="s">
        <v>3617</v>
      </c>
      <c r="K654" t="s">
        <v>868</v>
      </c>
      <c r="L654" t="s">
        <v>3618</v>
      </c>
      <c r="N654" t="s">
        <v>1837</v>
      </c>
      <c r="Q654" t="s">
        <v>3599</v>
      </c>
      <c r="R654" t="s">
        <v>3599</v>
      </c>
      <c r="S654" t="s">
        <v>3599</v>
      </c>
      <c r="T654">
        <v>1</v>
      </c>
      <c r="U654" t="s">
        <v>868</v>
      </c>
      <c r="V654">
        <v>5</v>
      </c>
      <c r="W654">
        <v>0</v>
      </c>
      <c r="X654">
        <v>0</v>
      </c>
    </row>
    <row r="655" spans="1:24" x14ac:dyDescent="0.3">
      <c r="A655" t="s">
        <v>1838</v>
      </c>
      <c r="B655" t="s">
        <v>1839</v>
      </c>
      <c r="C655">
        <v>1</v>
      </c>
      <c r="D655" t="s">
        <v>11</v>
      </c>
      <c r="E655" t="s">
        <v>21</v>
      </c>
      <c r="F655" t="s">
        <v>22</v>
      </c>
      <c r="H655" t="s">
        <v>71</v>
      </c>
      <c r="I655" t="s">
        <v>3617</v>
      </c>
      <c r="J655" t="s">
        <v>1838</v>
      </c>
      <c r="K655" t="s">
        <v>868</v>
      </c>
      <c r="L655" t="s">
        <v>3618</v>
      </c>
      <c r="M655" t="s">
        <v>1838</v>
      </c>
      <c r="N655" t="s">
        <v>1839</v>
      </c>
      <c r="Q655" t="s">
        <v>3599</v>
      </c>
      <c r="R655" t="s">
        <v>3599</v>
      </c>
      <c r="S655" t="s">
        <v>3599</v>
      </c>
      <c r="T655">
        <v>1</v>
      </c>
      <c r="U655" t="s">
        <v>868</v>
      </c>
      <c r="V655">
        <v>5</v>
      </c>
      <c r="W655">
        <v>0</v>
      </c>
      <c r="X655">
        <v>0</v>
      </c>
    </row>
    <row r="656" spans="1:24" x14ac:dyDescent="0.3">
      <c r="A656" t="s">
        <v>1840</v>
      </c>
      <c r="B656" t="s">
        <v>1841</v>
      </c>
      <c r="C656">
        <v>1</v>
      </c>
      <c r="D656" t="s">
        <v>11</v>
      </c>
      <c r="E656" t="s">
        <v>21</v>
      </c>
      <c r="F656" t="s">
        <v>22</v>
      </c>
      <c r="H656" t="s">
        <v>71</v>
      </c>
      <c r="I656" t="s">
        <v>3617</v>
      </c>
      <c r="J656" t="s">
        <v>1840</v>
      </c>
      <c r="K656" t="s">
        <v>868</v>
      </c>
      <c r="L656" t="s">
        <v>3618</v>
      </c>
      <c r="M656" t="s">
        <v>1840</v>
      </c>
      <c r="N656" t="s">
        <v>1841</v>
      </c>
      <c r="Q656" t="s">
        <v>3599</v>
      </c>
      <c r="R656" t="s">
        <v>3599</v>
      </c>
      <c r="S656" t="s">
        <v>3599</v>
      </c>
      <c r="T656">
        <v>1</v>
      </c>
      <c r="U656" t="s">
        <v>868</v>
      </c>
      <c r="V656">
        <v>5</v>
      </c>
      <c r="W656">
        <v>0</v>
      </c>
      <c r="X656">
        <v>0</v>
      </c>
    </row>
    <row r="657" spans="1:24" x14ac:dyDescent="0.3">
      <c r="A657" t="s">
        <v>1842</v>
      </c>
      <c r="B657" t="s">
        <v>1843</v>
      </c>
      <c r="C657">
        <v>1</v>
      </c>
      <c r="D657" t="s">
        <v>11</v>
      </c>
      <c r="E657" t="s">
        <v>21</v>
      </c>
      <c r="F657" t="s">
        <v>22</v>
      </c>
      <c r="H657" t="s">
        <v>71</v>
      </c>
      <c r="I657" t="s">
        <v>3617</v>
      </c>
      <c r="J657" t="s">
        <v>1842</v>
      </c>
      <c r="K657" t="s">
        <v>868</v>
      </c>
      <c r="L657" t="s">
        <v>3618</v>
      </c>
      <c r="M657" t="s">
        <v>1842</v>
      </c>
      <c r="N657" t="s">
        <v>1843</v>
      </c>
      <c r="Q657" t="s">
        <v>3599</v>
      </c>
      <c r="R657" t="s">
        <v>3599</v>
      </c>
      <c r="S657" t="s">
        <v>3599</v>
      </c>
      <c r="T657">
        <v>1</v>
      </c>
      <c r="U657" t="s">
        <v>868</v>
      </c>
      <c r="V657">
        <v>5</v>
      </c>
      <c r="W657">
        <v>0</v>
      </c>
      <c r="X657">
        <v>0</v>
      </c>
    </row>
    <row r="658" spans="1:24" x14ac:dyDescent="0.3">
      <c r="A658" t="s">
        <v>1844</v>
      </c>
      <c r="B658" t="s">
        <v>1845</v>
      </c>
      <c r="C658">
        <v>1</v>
      </c>
      <c r="D658" t="s">
        <v>11</v>
      </c>
      <c r="E658" t="s">
        <v>21</v>
      </c>
      <c r="F658" t="s">
        <v>22</v>
      </c>
      <c r="H658" t="s">
        <v>71</v>
      </c>
      <c r="I658" t="s">
        <v>3617</v>
      </c>
      <c r="J658" t="s">
        <v>1844</v>
      </c>
      <c r="K658" t="s">
        <v>868</v>
      </c>
      <c r="L658" t="s">
        <v>3618</v>
      </c>
      <c r="M658" t="s">
        <v>1844</v>
      </c>
      <c r="N658" t="s">
        <v>1845</v>
      </c>
      <c r="Q658" t="s">
        <v>3599</v>
      </c>
      <c r="R658" t="s">
        <v>3599</v>
      </c>
      <c r="S658" t="s">
        <v>3599</v>
      </c>
      <c r="T658">
        <v>1</v>
      </c>
      <c r="U658" t="s">
        <v>868</v>
      </c>
      <c r="V658">
        <v>5</v>
      </c>
      <c r="W658">
        <v>0</v>
      </c>
      <c r="X658">
        <v>0</v>
      </c>
    </row>
    <row r="659" spans="1:24" x14ac:dyDescent="0.3">
      <c r="A659" t="s">
        <v>1846</v>
      </c>
      <c r="B659" t="s">
        <v>1847</v>
      </c>
      <c r="C659">
        <v>1</v>
      </c>
      <c r="D659" t="s">
        <v>11</v>
      </c>
      <c r="E659" t="s">
        <v>21</v>
      </c>
      <c r="F659" t="s">
        <v>22</v>
      </c>
      <c r="H659" t="s">
        <v>71</v>
      </c>
      <c r="I659" t="s">
        <v>3617</v>
      </c>
      <c r="J659" t="s">
        <v>1846</v>
      </c>
      <c r="K659" t="s">
        <v>868</v>
      </c>
      <c r="L659" t="s">
        <v>3618</v>
      </c>
      <c r="M659" t="s">
        <v>1846</v>
      </c>
      <c r="N659" t="s">
        <v>1847</v>
      </c>
      <c r="O659" t="s">
        <v>1848</v>
      </c>
      <c r="Q659" t="s">
        <v>3599</v>
      </c>
      <c r="R659" t="s">
        <v>3599</v>
      </c>
      <c r="S659" t="s">
        <v>3599</v>
      </c>
      <c r="T659">
        <v>1</v>
      </c>
      <c r="U659" t="s">
        <v>868</v>
      </c>
      <c r="V659">
        <v>5</v>
      </c>
      <c r="W659">
        <v>0</v>
      </c>
      <c r="X659">
        <v>0</v>
      </c>
    </row>
    <row r="660" spans="1:24" x14ac:dyDescent="0.3">
      <c r="A660" t="s">
        <v>1849</v>
      </c>
      <c r="B660" t="s">
        <v>1850</v>
      </c>
      <c r="C660">
        <v>1</v>
      </c>
      <c r="D660" t="s">
        <v>11</v>
      </c>
      <c r="E660" t="s">
        <v>21</v>
      </c>
      <c r="F660" t="s">
        <v>22</v>
      </c>
      <c r="H660" t="s">
        <v>71</v>
      </c>
      <c r="I660" t="s">
        <v>3617</v>
      </c>
      <c r="J660" t="s">
        <v>1849</v>
      </c>
      <c r="K660" t="s">
        <v>868</v>
      </c>
      <c r="L660" t="s">
        <v>3618</v>
      </c>
      <c r="M660" t="s">
        <v>1849</v>
      </c>
      <c r="N660" t="s">
        <v>1850</v>
      </c>
      <c r="Q660" t="s">
        <v>3599</v>
      </c>
      <c r="R660" t="s">
        <v>3599</v>
      </c>
      <c r="S660" t="s">
        <v>3599</v>
      </c>
      <c r="T660">
        <v>1</v>
      </c>
      <c r="U660" t="s">
        <v>868</v>
      </c>
      <c r="V660">
        <v>5</v>
      </c>
      <c r="W660">
        <v>0</v>
      </c>
      <c r="X660">
        <v>0</v>
      </c>
    </row>
    <row r="661" spans="1:24" x14ac:dyDescent="0.3">
      <c r="A661" t="s">
        <v>1851</v>
      </c>
      <c r="B661" t="s">
        <v>1852</v>
      </c>
      <c r="C661">
        <v>1</v>
      </c>
      <c r="D661" t="s">
        <v>11</v>
      </c>
      <c r="E661" t="s">
        <v>21</v>
      </c>
      <c r="F661" t="s">
        <v>22</v>
      </c>
      <c r="H661" t="s">
        <v>71</v>
      </c>
      <c r="I661" t="s">
        <v>3617</v>
      </c>
      <c r="J661" t="s">
        <v>1851</v>
      </c>
      <c r="K661" t="s">
        <v>868</v>
      </c>
      <c r="L661" t="s">
        <v>3618</v>
      </c>
      <c r="M661" t="s">
        <v>1851</v>
      </c>
      <c r="N661" t="s">
        <v>1852</v>
      </c>
      <c r="Q661" t="s">
        <v>3599</v>
      </c>
      <c r="R661" t="s">
        <v>3599</v>
      </c>
      <c r="S661" t="s">
        <v>3599</v>
      </c>
      <c r="T661">
        <v>1</v>
      </c>
      <c r="U661" t="s">
        <v>868</v>
      </c>
      <c r="V661">
        <v>5</v>
      </c>
      <c r="W661">
        <v>0</v>
      </c>
      <c r="X661">
        <v>0</v>
      </c>
    </row>
    <row r="662" spans="1:24" x14ac:dyDescent="0.3">
      <c r="A662" t="s">
        <v>1853</v>
      </c>
      <c r="B662" t="s">
        <v>1854</v>
      </c>
      <c r="C662">
        <v>1</v>
      </c>
      <c r="D662" t="s">
        <v>11</v>
      </c>
      <c r="E662" t="s">
        <v>21</v>
      </c>
      <c r="F662" t="s">
        <v>22</v>
      </c>
      <c r="H662" t="s">
        <v>71</v>
      </c>
      <c r="I662" t="s">
        <v>3617</v>
      </c>
      <c r="J662" t="s">
        <v>1853</v>
      </c>
      <c r="K662" t="s">
        <v>868</v>
      </c>
      <c r="L662" t="s">
        <v>3618</v>
      </c>
      <c r="M662" t="s">
        <v>1853</v>
      </c>
      <c r="N662" t="s">
        <v>1854</v>
      </c>
      <c r="Q662" t="s">
        <v>3599</v>
      </c>
      <c r="R662" t="s">
        <v>3599</v>
      </c>
      <c r="S662" t="s">
        <v>3599</v>
      </c>
      <c r="T662">
        <v>1</v>
      </c>
      <c r="U662" t="s">
        <v>868</v>
      </c>
      <c r="V662">
        <v>5</v>
      </c>
      <c r="W662">
        <v>0</v>
      </c>
      <c r="X662">
        <v>0</v>
      </c>
    </row>
    <row r="663" spans="1:24" x14ac:dyDescent="0.3">
      <c r="A663" t="s">
        <v>1855</v>
      </c>
      <c r="B663" t="s">
        <v>1856</v>
      </c>
      <c r="C663">
        <v>1</v>
      </c>
      <c r="D663" t="s">
        <v>11</v>
      </c>
      <c r="E663" t="s">
        <v>21</v>
      </c>
      <c r="F663" t="s">
        <v>22</v>
      </c>
      <c r="H663" t="s">
        <v>71</v>
      </c>
      <c r="I663" t="s">
        <v>3617</v>
      </c>
      <c r="J663" t="s">
        <v>1855</v>
      </c>
      <c r="K663" t="s">
        <v>868</v>
      </c>
      <c r="L663" t="s">
        <v>3618</v>
      </c>
      <c r="M663" t="s">
        <v>1855</v>
      </c>
      <c r="N663" t="s">
        <v>1856</v>
      </c>
      <c r="Q663" t="s">
        <v>3599</v>
      </c>
      <c r="R663" t="s">
        <v>3599</v>
      </c>
      <c r="S663" t="s">
        <v>3599</v>
      </c>
      <c r="T663">
        <v>1</v>
      </c>
      <c r="U663" t="s">
        <v>868</v>
      </c>
      <c r="V663">
        <v>5</v>
      </c>
      <c r="W663">
        <v>0</v>
      </c>
      <c r="X663">
        <v>0</v>
      </c>
    </row>
    <row r="664" spans="1:24" x14ac:dyDescent="0.3">
      <c r="A664" t="s">
        <v>1857</v>
      </c>
      <c r="B664" t="s">
        <v>1858</v>
      </c>
      <c r="C664">
        <v>1</v>
      </c>
      <c r="D664" t="s">
        <v>11</v>
      </c>
      <c r="E664" t="s">
        <v>21</v>
      </c>
      <c r="F664" t="s">
        <v>22</v>
      </c>
      <c r="H664" t="s">
        <v>71</v>
      </c>
      <c r="I664" t="s">
        <v>3617</v>
      </c>
      <c r="J664" t="s">
        <v>1857</v>
      </c>
      <c r="K664" t="s">
        <v>868</v>
      </c>
      <c r="L664" t="s">
        <v>3618</v>
      </c>
      <c r="M664" t="s">
        <v>1857</v>
      </c>
      <c r="N664" t="s">
        <v>1858</v>
      </c>
      <c r="Q664" t="s">
        <v>3599</v>
      </c>
      <c r="R664" t="s">
        <v>3599</v>
      </c>
      <c r="S664" t="s">
        <v>3599</v>
      </c>
      <c r="T664">
        <v>1</v>
      </c>
      <c r="U664" t="s">
        <v>868</v>
      </c>
      <c r="V664">
        <v>5</v>
      </c>
      <c r="W664">
        <v>0</v>
      </c>
      <c r="X664">
        <v>0</v>
      </c>
    </row>
    <row r="665" spans="1:24" x14ac:dyDescent="0.3">
      <c r="A665" t="s">
        <v>1859</v>
      </c>
      <c r="B665" t="s">
        <v>1860</v>
      </c>
      <c r="C665">
        <v>1</v>
      </c>
      <c r="D665" t="s">
        <v>11</v>
      </c>
      <c r="E665" t="s">
        <v>21</v>
      </c>
      <c r="F665" t="s">
        <v>22</v>
      </c>
      <c r="H665" t="s">
        <v>71</v>
      </c>
      <c r="I665" t="s">
        <v>3617</v>
      </c>
      <c r="J665" t="s">
        <v>1859</v>
      </c>
      <c r="K665" t="s">
        <v>868</v>
      </c>
      <c r="L665" t="s">
        <v>3618</v>
      </c>
      <c r="M665" t="s">
        <v>1859</v>
      </c>
      <c r="N665" t="s">
        <v>1860</v>
      </c>
      <c r="Q665" t="s">
        <v>3599</v>
      </c>
      <c r="R665" t="s">
        <v>3599</v>
      </c>
      <c r="S665" t="s">
        <v>3599</v>
      </c>
      <c r="T665">
        <v>1</v>
      </c>
      <c r="U665" t="s">
        <v>868</v>
      </c>
      <c r="V665">
        <v>5</v>
      </c>
      <c r="W665">
        <v>0</v>
      </c>
      <c r="X665">
        <v>0</v>
      </c>
    </row>
    <row r="666" spans="1:24" x14ac:dyDescent="0.3">
      <c r="A666" t="s">
        <v>1861</v>
      </c>
      <c r="B666" t="s">
        <v>1862</v>
      </c>
      <c r="C666">
        <v>1</v>
      </c>
      <c r="D666" t="s">
        <v>11</v>
      </c>
      <c r="E666" t="s">
        <v>21</v>
      </c>
      <c r="F666" t="s">
        <v>22</v>
      </c>
      <c r="H666" t="s">
        <v>71</v>
      </c>
      <c r="I666" t="s">
        <v>3617</v>
      </c>
      <c r="J666" t="s">
        <v>1861</v>
      </c>
      <c r="K666" t="s">
        <v>868</v>
      </c>
      <c r="L666" t="s">
        <v>3618</v>
      </c>
      <c r="M666" t="s">
        <v>1861</v>
      </c>
      <c r="N666" t="s">
        <v>1862</v>
      </c>
      <c r="Q666" t="s">
        <v>3599</v>
      </c>
      <c r="R666" t="s">
        <v>3599</v>
      </c>
      <c r="S666" t="s">
        <v>3599</v>
      </c>
      <c r="T666">
        <v>1</v>
      </c>
      <c r="U666" t="s">
        <v>868</v>
      </c>
      <c r="V666">
        <v>5</v>
      </c>
      <c r="W666">
        <v>0</v>
      </c>
      <c r="X666">
        <v>0</v>
      </c>
    </row>
    <row r="667" spans="1:24" x14ac:dyDescent="0.3">
      <c r="A667" t="s">
        <v>1863</v>
      </c>
      <c r="B667" t="s">
        <v>1864</v>
      </c>
      <c r="C667">
        <v>1</v>
      </c>
      <c r="D667" t="s">
        <v>11</v>
      </c>
      <c r="E667" t="s">
        <v>21</v>
      </c>
      <c r="F667" t="s">
        <v>22</v>
      </c>
      <c r="H667" t="s">
        <v>71</v>
      </c>
      <c r="I667" t="s">
        <v>3617</v>
      </c>
      <c r="J667" t="s">
        <v>1863</v>
      </c>
      <c r="K667" t="s">
        <v>868</v>
      </c>
      <c r="L667" t="s">
        <v>3618</v>
      </c>
      <c r="M667" t="s">
        <v>1863</v>
      </c>
      <c r="N667" t="s">
        <v>1864</v>
      </c>
      <c r="Q667" t="s">
        <v>3599</v>
      </c>
      <c r="R667" t="s">
        <v>3599</v>
      </c>
      <c r="S667" t="s">
        <v>3599</v>
      </c>
      <c r="T667">
        <v>1</v>
      </c>
      <c r="U667" t="s">
        <v>868</v>
      </c>
      <c r="V667">
        <v>5</v>
      </c>
      <c r="W667">
        <v>0</v>
      </c>
      <c r="X667">
        <v>0</v>
      </c>
    </row>
    <row r="668" spans="1:24" x14ac:dyDescent="0.3">
      <c r="A668" t="s">
        <v>1865</v>
      </c>
      <c r="B668" t="s">
        <v>1866</v>
      </c>
      <c r="C668">
        <v>1</v>
      </c>
      <c r="D668" t="s">
        <v>11</v>
      </c>
      <c r="E668" t="s">
        <v>21</v>
      </c>
      <c r="F668" t="s">
        <v>22</v>
      </c>
      <c r="H668" t="s">
        <v>71</v>
      </c>
      <c r="I668" t="s">
        <v>3617</v>
      </c>
      <c r="J668" t="s">
        <v>1865</v>
      </c>
      <c r="K668" t="s">
        <v>868</v>
      </c>
      <c r="L668" t="s">
        <v>3618</v>
      </c>
      <c r="M668" t="s">
        <v>1865</v>
      </c>
      <c r="N668" t="s">
        <v>1866</v>
      </c>
      <c r="Q668" t="s">
        <v>3599</v>
      </c>
      <c r="R668" t="s">
        <v>3599</v>
      </c>
      <c r="S668" t="s">
        <v>3599</v>
      </c>
      <c r="T668">
        <v>1</v>
      </c>
      <c r="U668" t="s">
        <v>868</v>
      </c>
      <c r="V668">
        <v>5</v>
      </c>
      <c r="W668">
        <v>0</v>
      </c>
      <c r="X668">
        <v>0</v>
      </c>
    </row>
    <row r="669" spans="1:24" x14ac:dyDescent="0.3">
      <c r="A669" t="s">
        <v>1867</v>
      </c>
      <c r="B669" t="s">
        <v>1868</v>
      </c>
      <c r="C669">
        <v>1</v>
      </c>
      <c r="D669" t="s">
        <v>11</v>
      </c>
      <c r="E669" t="s">
        <v>21</v>
      </c>
      <c r="F669" t="s">
        <v>22</v>
      </c>
      <c r="H669" t="s">
        <v>71</v>
      </c>
      <c r="I669" t="s">
        <v>3617</v>
      </c>
      <c r="J669" t="s">
        <v>1867</v>
      </c>
      <c r="K669" t="s">
        <v>868</v>
      </c>
      <c r="L669" t="s">
        <v>3618</v>
      </c>
      <c r="M669" t="s">
        <v>1867</v>
      </c>
      <c r="N669" t="s">
        <v>1868</v>
      </c>
      <c r="Q669" t="s">
        <v>3599</v>
      </c>
      <c r="R669" t="s">
        <v>3599</v>
      </c>
      <c r="S669" t="s">
        <v>3599</v>
      </c>
      <c r="T669">
        <v>1</v>
      </c>
      <c r="U669" t="s">
        <v>868</v>
      </c>
      <c r="V669">
        <v>5</v>
      </c>
      <c r="W669">
        <v>0</v>
      </c>
      <c r="X669">
        <v>0</v>
      </c>
    </row>
    <row r="670" spans="1:24" x14ac:dyDescent="0.3">
      <c r="A670" t="s">
        <v>1869</v>
      </c>
      <c r="B670" t="s">
        <v>1870</v>
      </c>
      <c r="C670">
        <v>1</v>
      </c>
      <c r="D670" t="s">
        <v>11</v>
      </c>
      <c r="E670" t="s">
        <v>21</v>
      </c>
      <c r="F670" t="s">
        <v>22</v>
      </c>
      <c r="H670" t="s">
        <v>71</v>
      </c>
      <c r="I670" t="s">
        <v>3617</v>
      </c>
      <c r="J670" t="s">
        <v>1869</v>
      </c>
      <c r="K670" t="s">
        <v>868</v>
      </c>
      <c r="L670" t="s">
        <v>3618</v>
      </c>
      <c r="M670" t="s">
        <v>1869</v>
      </c>
      <c r="N670" t="s">
        <v>1870</v>
      </c>
      <c r="Q670" t="s">
        <v>3599</v>
      </c>
      <c r="R670" t="s">
        <v>3599</v>
      </c>
      <c r="S670" t="s">
        <v>3599</v>
      </c>
      <c r="T670">
        <v>1</v>
      </c>
      <c r="U670" t="s">
        <v>868</v>
      </c>
      <c r="V670">
        <v>5</v>
      </c>
      <c r="W670">
        <v>0</v>
      </c>
      <c r="X670">
        <v>0</v>
      </c>
    </row>
    <row r="671" spans="1:24" x14ac:dyDescent="0.3">
      <c r="A671" t="s">
        <v>1871</v>
      </c>
      <c r="B671" t="s">
        <v>1872</v>
      </c>
      <c r="C671">
        <v>1</v>
      </c>
      <c r="D671" t="s">
        <v>11</v>
      </c>
      <c r="E671" t="s">
        <v>21</v>
      </c>
      <c r="F671" t="s">
        <v>22</v>
      </c>
      <c r="H671" t="s">
        <v>71</v>
      </c>
      <c r="I671" t="s">
        <v>3617</v>
      </c>
      <c r="J671" t="s">
        <v>1871</v>
      </c>
      <c r="K671" t="s">
        <v>868</v>
      </c>
      <c r="L671" t="s">
        <v>3618</v>
      </c>
      <c r="M671" t="s">
        <v>1871</v>
      </c>
      <c r="N671" t="s">
        <v>1872</v>
      </c>
      <c r="Q671" t="s">
        <v>3599</v>
      </c>
      <c r="R671" t="s">
        <v>3599</v>
      </c>
      <c r="S671" t="s">
        <v>3599</v>
      </c>
      <c r="T671">
        <v>1</v>
      </c>
      <c r="U671" t="s">
        <v>868</v>
      </c>
      <c r="V671">
        <v>5</v>
      </c>
      <c r="W671">
        <v>0</v>
      </c>
      <c r="X671">
        <v>0</v>
      </c>
    </row>
    <row r="672" spans="1:24" x14ac:dyDescent="0.3">
      <c r="A672" t="s">
        <v>1873</v>
      </c>
      <c r="B672" t="s">
        <v>1874</v>
      </c>
      <c r="C672">
        <v>1</v>
      </c>
      <c r="D672" t="s">
        <v>11</v>
      </c>
      <c r="E672" t="s">
        <v>21</v>
      </c>
      <c r="F672" t="s">
        <v>22</v>
      </c>
      <c r="H672" t="s">
        <v>71</v>
      </c>
      <c r="I672" t="s">
        <v>3617</v>
      </c>
      <c r="J672" t="s">
        <v>1873</v>
      </c>
      <c r="K672" t="s">
        <v>868</v>
      </c>
      <c r="L672" t="s">
        <v>3618</v>
      </c>
      <c r="M672" t="s">
        <v>1873</v>
      </c>
      <c r="N672" t="s">
        <v>1874</v>
      </c>
      <c r="Q672" t="s">
        <v>3599</v>
      </c>
      <c r="R672" t="s">
        <v>3599</v>
      </c>
      <c r="S672" t="s">
        <v>3599</v>
      </c>
      <c r="T672">
        <v>1</v>
      </c>
      <c r="U672" t="s">
        <v>868</v>
      </c>
      <c r="V672">
        <v>5</v>
      </c>
      <c r="W672">
        <v>0</v>
      </c>
      <c r="X672">
        <v>0</v>
      </c>
    </row>
    <row r="673" spans="1:24" x14ac:dyDescent="0.3">
      <c r="A673" t="s">
        <v>1875</v>
      </c>
      <c r="B673" t="s">
        <v>1876</v>
      </c>
      <c r="C673">
        <v>1</v>
      </c>
      <c r="D673" t="s">
        <v>11</v>
      </c>
      <c r="E673" t="s">
        <v>21</v>
      </c>
      <c r="F673" t="s">
        <v>22</v>
      </c>
      <c r="H673" t="s">
        <v>71</v>
      </c>
      <c r="I673" t="s">
        <v>3617</v>
      </c>
      <c r="J673" t="s">
        <v>1875</v>
      </c>
      <c r="K673" t="s">
        <v>868</v>
      </c>
      <c r="L673" t="s">
        <v>3618</v>
      </c>
      <c r="M673" t="s">
        <v>1875</v>
      </c>
      <c r="N673" t="s">
        <v>1876</v>
      </c>
      <c r="Q673" t="s">
        <v>3599</v>
      </c>
      <c r="R673" t="s">
        <v>3599</v>
      </c>
      <c r="S673" t="s">
        <v>3599</v>
      </c>
      <c r="T673">
        <v>1</v>
      </c>
      <c r="U673" t="s">
        <v>868</v>
      </c>
      <c r="V673">
        <v>5</v>
      </c>
      <c r="W673">
        <v>0</v>
      </c>
      <c r="X673">
        <v>0</v>
      </c>
    </row>
    <row r="674" spans="1:24" x14ac:dyDescent="0.3">
      <c r="A674" t="s">
        <v>1877</v>
      </c>
      <c r="B674" t="s">
        <v>1878</v>
      </c>
      <c r="C674">
        <v>1</v>
      </c>
      <c r="D674" t="s">
        <v>11</v>
      </c>
      <c r="E674" t="s">
        <v>21</v>
      </c>
      <c r="F674" t="s">
        <v>22</v>
      </c>
      <c r="H674" t="s">
        <v>71</v>
      </c>
      <c r="I674" t="s">
        <v>3617</v>
      </c>
      <c r="J674" t="s">
        <v>1877</v>
      </c>
      <c r="K674" t="s">
        <v>868</v>
      </c>
      <c r="L674" t="s">
        <v>3618</v>
      </c>
      <c r="M674" t="s">
        <v>1877</v>
      </c>
      <c r="N674" t="s">
        <v>1878</v>
      </c>
      <c r="Q674" t="s">
        <v>3599</v>
      </c>
      <c r="R674" t="s">
        <v>3599</v>
      </c>
      <c r="S674" t="s">
        <v>3599</v>
      </c>
      <c r="T674">
        <v>1</v>
      </c>
      <c r="U674" t="s">
        <v>868</v>
      </c>
      <c r="V674">
        <v>5</v>
      </c>
      <c r="W674">
        <v>0</v>
      </c>
      <c r="X674">
        <v>0</v>
      </c>
    </row>
    <row r="675" spans="1:24" x14ac:dyDescent="0.3">
      <c r="A675" t="s">
        <v>1879</v>
      </c>
      <c r="B675" t="s">
        <v>1880</v>
      </c>
      <c r="C675">
        <v>1</v>
      </c>
      <c r="D675" t="s">
        <v>11</v>
      </c>
      <c r="E675" t="s">
        <v>21</v>
      </c>
      <c r="F675" t="s">
        <v>22</v>
      </c>
      <c r="H675" t="s">
        <v>71</v>
      </c>
      <c r="I675" t="s">
        <v>3617</v>
      </c>
      <c r="J675" t="s">
        <v>1879</v>
      </c>
      <c r="K675" t="s">
        <v>868</v>
      </c>
      <c r="L675" t="s">
        <v>3618</v>
      </c>
      <c r="M675" t="s">
        <v>1879</v>
      </c>
      <c r="N675" t="s">
        <v>1880</v>
      </c>
      <c r="Q675" t="s">
        <v>3599</v>
      </c>
      <c r="R675" t="s">
        <v>3599</v>
      </c>
      <c r="S675" t="s">
        <v>3599</v>
      </c>
      <c r="T675">
        <v>1</v>
      </c>
      <c r="U675" t="s">
        <v>868</v>
      </c>
      <c r="V675">
        <v>5</v>
      </c>
      <c r="W675">
        <v>0</v>
      </c>
      <c r="X675">
        <v>0</v>
      </c>
    </row>
    <row r="676" spans="1:24" x14ac:dyDescent="0.3">
      <c r="A676" t="s">
        <v>1881</v>
      </c>
      <c r="B676" t="s">
        <v>1882</v>
      </c>
      <c r="C676">
        <v>1</v>
      </c>
      <c r="D676" t="s">
        <v>11</v>
      </c>
      <c r="E676" t="s">
        <v>21</v>
      </c>
      <c r="F676" t="s">
        <v>22</v>
      </c>
      <c r="H676" t="s">
        <v>71</v>
      </c>
      <c r="I676" t="s">
        <v>3617</v>
      </c>
      <c r="J676" t="s">
        <v>1881</v>
      </c>
      <c r="K676" t="s">
        <v>868</v>
      </c>
      <c r="L676" t="s">
        <v>3618</v>
      </c>
      <c r="M676" t="s">
        <v>1881</v>
      </c>
      <c r="N676" t="s">
        <v>1882</v>
      </c>
      <c r="Q676" t="s">
        <v>3599</v>
      </c>
      <c r="R676" t="s">
        <v>3599</v>
      </c>
      <c r="S676" t="s">
        <v>3599</v>
      </c>
      <c r="T676">
        <v>1</v>
      </c>
      <c r="U676" t="s">
        <v>868</v>
      </c>
      <c r="V676">
        <v>5</v>
      </c>
      <c r="W676">
        <v>0</v>
      </c>
      <c r="X676">
        <v>0</v>
      </c>
    </row>
    <row r="677" spans="1:24" x14ac:dyDescent="0.3">
      <c r="A677" t="s">
        <v>1883</v>
      </c>
      <c r="B677" t="s">
        <v>1884</v>
      </c>
      <c r="C677">
        <v>1</v>
      </c>
      <c r="D677" t="s">
        <v>11</v>
      </c>
      <c r="E677" t="s">
        <v>21</v>
      </c>
      <c r="F677" t="s">
        <v>22</v>
      </c>
      <c r="H677" t="s">
        <v>71</v>
      </c>
      <c r="I677" t="s">
        <v>3617</v>
      </c>
      <c r="J677" t="s">
        <v>1883</v>
      </c>
      <c r="K677" t="s">
        <v>868</v>
      </c>
      <c r="L677" t="s">
        <v>3618</v>
      </c>
      <c r="M677" t="s">
        <v>1883</v>
      </c>
      <c r="N677" t="s">
        <v>1884</v>
      </c>
      <c r="Q677" t="s">
        <v>3599</v>
      </c>
      <c r="R677" t="s">
        <v>3599</v>
      </c>
      <c r="S677" t="s">
        <v>3599</v>
      </c>
      <c r="T677">
        <v>1</v>
      </c>
      <c r="U677" t="s">
        <v>868</v>
      </c>
      <c r="V677">
        <v>5</v>
      </c>
      <c r="W677">
        <v>0</v>
      </c>
      <c r="X677">
        <v>0</v>
      </c>
    </row>
    <row r="678" spans="1:24" x14ac:dyDescent="0.3">
      <c r="A678" t="s">
        <v>1885</v>
      </c>
      <c r="B678" t="s">
        <v>1886</v>
      </c>
      <c r="C678">
        <v>1</v>
      </c>
      <c r="D678" t="s">
        <v>11</v>
      </c>
      <c r="E678" t="s">
        <v>21</v>
      </c>
      <c r="F678" t="s">
        <v>22</v>
      </c>
      <c r="H678" t="s">
        <v>71</v>
      </c>
      <c r="I678" t="s">
        <v>3617</v>
      </c>
      <c r="J678" t="s">
        <v>1885</v>
      </c>
      <c r="K678" t="s">
        <v>868</v>
      </c>
      <c r="L678" t="s">
        <v>3618</v>
      </c>
      <c r="M678" t="s">
        <v>1885</v>
      </c>
      <c r="N678" t="s">
        <v>1886</v>
      </c>
      <c r="Q678" t="s">
        <v>3599</v>
      </c>
      <c r="R678" t="s">
        <v>3599</v>
      </c>
      <c r="S678" t="s">
        <v>3599</v>
      </c>
      <c r="T678">
        <v>1</v>
      </c>
      <c r="U678" t="s">
        <v>868</v>
      </c>
      <c r="V678">
        <v>5</v>
      </c>
      <c r="W678">
        <v>0</v>
      </c>
      <c r="X678">
        <v>0</v>
      </c>
    </row>
    <row r="679" spans="1:24" x14ac:dyDescent="0.3">
      <c r="A679" t="s">
        <v>1887</v>
      </c>
      <c r="B679" t="s">
        <v>1888</v>
      </c>
      <c r="C679">
        <v>1</v>
      </c>
      <c r="D679" t="s">
        <v>11</v>
      </c>
      <c r="E679" t="s">
        <v>21</v>
      </c>
      <c r="F679" t="s">
        <v>22</v>
      </c>
      <c r="H679" t="s">
        <v>71</v>
      </c>
      <c r="I679" t="s">
        <v>3617</v>
      </c>
      <c r="J679" t="s">
        <v>1887</v>
      </c>
      <c r="K679" t="s">
        <v>868</v>
      </c>
      <c r="L679" t="s">
        <v>3618</v>
      </c>
      <c r="M679" t="s">
        <v>1887</v>
      </c>
      <c r="N679" t="s">
        <v>1888</v>
      </c>
      <c r="Q679" t="s">
        <v>3599</v>
      </c>
      <c r="R679" t="s">
        <v>3599</v>
      </c>
      <c r="S679" t="s">
        <v>3599</v>
      </c>
      <c r="T679">
        <v>1</v>
      </c>
      <c r="U679" t="s">
        <v>868</v>
      </c>
      <c r="V679">
        <v>5</v>
      </c>
      <c r="W679">
        <v>0</v>
      </c>
      <c r="X679">
        <v>0</v>
      </c>
    </row>
    <row r="680" spans="1:24" x14ac:dyDescent="0.3">
      <c r="A680" t="s">
        <v>1889</v>
      </c>
      <c r="B680" t="s">
        <v>1890</v>
      </c>
      <c r="C680">
        <v>1</v>
      </c>
      <c r="D680" t="s">
        <v>11</v>
      </c>
      <c r="E680" t="s">
        <v>21</v>
      </c>
      <c r="F680" t="s">
        <v>22</v>
      </c>
      <c r="H680" t="s">
        <v>71</v>
      </c>
      <c r="I680" t="s">
        <v>3617</v>
      </c>
      <c r="J680" t="s">
        <v>1889</v>
      </c>
      <c r="K680" t="s">
        <v>868</v>
      </c>
      <c r="L680" t="s">
        <v>3618</v>
      </c>
      <c r="M680" t="s">
        <v>1889</v>
      </c>
      <c r="N680" t="s">
        <v>1890</v>
      </c>
      <c r="Q680" t="s">
        <v>3599</v>
      </c>
      <c r="R680" t="s">
        <v>3599</v>
      </c>
      <c r="S680" t="s">
        <v>3599</v>
      </c>
      <c r="T680">
        <v>1</v>
      </c>
      <c r="U680" t="s">
        <v>868</v>
      </c>
      <c r="V680">
        <v>5</v>
      </c>
      <c r="W680">
        <v>0</v>
      </c>
      <c r="X680">
        <v>0</v>
      </c>
    </row>
    <row r="681" spans="1:24" x14ac:dyDescent="0.3">
      <c r="A681" t="s">
        <v>1891</v>
      </c>
      <c r="B681" t="s">
        <v>1892</v>
      </c>
      <c r="C681">
        <v>1</v>
      </c>
      <c r="D681" t="s">
        <v>11</v>
      </c>
      <c r="E681" t="s">
        <v>21</v>
      </c>
      <c r="F681" t="s">
        <v>22</v>
      </c>
      <c r="H681" t="s">
        <v>71</v>
      </c>
      <c r="I681" t="s">
        <v>3617</v>
      </c>
      <c r="J681" t="s">
        <v>1891</v>
      </c>
      <c r="K681" t="s">
        <v>868</v>
      </c>
      <c r="L681" t="s">
        <v>3618</v>
      </c>
      <c r="M681" t="s">
        <v>1891</v>
      </c>
      <c r="N681" t="s">
        <v>1892</v>
      </c>
      <c r="O681" t="s">
        <v>1893</v>
      </c>
      <c r="Q681" t="s">
        <v>3599</v>
      </c>
      <c r="R681" t="s">
        <v>3599</v>
      </c>
      <c r="S681" t="s">
        <v>3599</v>
      </c>
      <c r="T681">
        <v>1</v>
      </c>
      <c r="U681" t="s">
        <v>868</v>
      </c>
      <c r="V681">
        <v>5</v>
      </c>
      <c r="W681">
        <v>0</v>
      </c>
      <c r="X681">
        <v>0</v>
      </c>
    </row>
    <row r="682" spans="1:24" x14ac:dyDescent="0.3">
      <c r="A682" t="s">
        <v>1894</v>
      </c>
      <c r="B682" t="s">
        <v>1895</v>
      </c>
      <c r="C682">
        <v>1</v>
      </c>
      <c r="D682" t="s">
        <v>11</v>
      </c>
      <c r="E682" t="s">
        <v>21</v>
      </c>
      <c r="F682" t="s">
        <v>22</v>
      </c>
      <c r="H682" t="s">
        <v>71</v>
      </c>
      <c r="I682" t="s">
        <v>3617</v>
      </c>
      <c r="J682" t="s">
        <v>1894</v>
      </c>
      <c r="K682" t="s">
        <v>868</v>
      </c>
      <c r="L682" t="s">
        <v>3618</v>
      </c>
      <c r="M682" t="s">
        <v>1894</v>
      </c>
      <c r="N682" t="s">
        <v>1895</v>
      </c>
      <c r="Q682" t="s">
        <v>3599</v>
      </c>
      <c r="R682" t="s">
        <v>3599</v>
      </c>
      <c r="S682" t="s">
        <v>3599</v>
      </c>
      <c r="T682">
        <v>1</v>
      </c>
      <c r="U682" t="s">
        <v>868</v>
      </c>
      <c r="V682">
        <v>5</v>
      </c>
      <c r="W682">
        <v>0</v>
      </c>
      <c r="X682">
        <v>0</v>
      </c>
    </row>
    <row r="683" spans="1:24" x14ac:dyDescent="0.3">
      <c r="A683" t="s">
        <v>1896</v>
      </c>
      <c r="B683" t="s">
        <v>1897</v>
      </c>
      <c r="C683">
        <v>1</v>
      </c>
      <c r="D683" t="s">
        <v>11</v>
      </c>
      <c r="E683" t="s">
        <v>21</v>
      </c>
      <c r="F683" t="s">
        <v>22</v>
      </c>
      <c r="H683" t="s">
        <v>71</v>
      </c>
      <c r="I683" t="s">
        <v>3617</v>
      </c>
      <c r="J683" t="s">
        <v>1896</v>
      </c>
      <c r="K683" t="s">
        <v>868</v>
      </c>
      <c r="L683" t="s">
        <v>3618</v>
      </c>
      <c r="M683" t="s">
        <v>1896</v>
      </c>
      <c r="N683" t="s">
        <v>1897</v>
      </c>
      <c r="O683" t="s">
        <v>1898</v>
      </c>
      <c r="Q683" t="s">
        <v>3599</v>
      </c>
      <c r="R683" t="s">
        <v>3599</v>
      </c>
      <c r="S683" t="s">
        <v>3599</v>
      </c>
      <c r="T683">
        <v>1</v>
      </c>
      <c r="U683" t="s">
        <v>868</v>
      </c>
      <c r="V683">
        <v>5</v>
      </c>
      <c r="W683">
        <v>0</v>
      </c>
      <c r="X683">
        <v>0</v>
      </c>
    </row>
    <row r="684" spans="1:24" x14ac:dyDescent="0.3">
      <c r="A684" t="s">
        <v>1899</v>
      </c>
      <c r="B684" t="s">
        <v>1900</v>
      </c>
      <c r="C684">
        <v>1</v>
      </c>
      <c r="D684" t="s">
        <v>11</v>
      </c>
      <c r="E684" t="s">
        <v>21</v>
      </c>
      <c r="F684" t="s">
        <v>22</v>
      </c>
      <c r="H684" t="s">
        <v>71</v>
      </c>
      <c r="I684" t="s">
        <v>3617</v>
      </c>
      <c r="J684" t="s">
        <v>1899</v>
      </c>
      <c r="K684" t="s">
        <v>868</v>
      </c>
      <c r="L684" t="s">
        <v>3618</v>
      </c>
      <c r="M684" t="s">
        <v>1899</v>
      </c>
      <c r="N684" t="s">
        <v>1900</v>
      </c>
      <c r="Q684" t="s">
        <v>3599</v>
      </c>
      <c r="R684" t="s">
        <v>3599</v>
      </c>
      <c r="S684" t="s">
        <v>3599</v>
      </c>
      <c r="T684">
        <v>1</v>
      </c>
      <c r="U684" t="s">
        <v>868</v>
      </c>
      <c r="V684">
        <v>5</v>
      </c>
      <c r="W684">
        <v>0</v>
      </c>
      <c r="X684">
        <v>0</v>
      </c>
    </row>
    <row r="685" spans="1:24" x14ac:dyDescent="0.3">
      <c r="A685" t="s">
        <v>1901</v>
      </c>
      <c r="B685" t="s">
        <v>1902</v>
      </c>
      <c r="C685">
        <v>1</v>
      </c>
      <c r="D685" t="s">
        <v>11</v>
      </c>
      <c r="E685" t="s">
        <v>21</v>
      </c>
      <c r="F685" t="s">
        <v>22</v>
      </c>
      <c r="H685" t="s">
        <v>71</v>
      </c>
      <c r="I685" t="s">
        <v>3617</v>
      </c>
      <c r="J685" t="s">
        <v>1901</v>
      </c>
      <c r="K685" t="s">
        <v>868</v>
      </c>
      <c r="L685" t="s">
        <v>3618</v>
      </c>
      <c r="M685" t="s">
        <v>1901</v>
      </c>
      <c r="N685" t="s">
        <v>1902</v>
      </c>
      <c r="Q685" t="s">
        <v>3599</v>
      </c>
      <c r="R685" t="s">
        <v>3599</v>
      </c>
      <c r="S685" t="s">
        <v>3599</v>
      </c>
      <c r="T685">
        <v>1</v>
      </c>
      <c r="U685" t="s">
        <v>868</v>
      </c>
      <c r="V685">
        <v>5</v>
      </c>
      <c r="W685">
        <v>0</v>
      </c>
      <c r="X685">
        <v>0</v>
      </c>
    </row>
    <row r="686" spans="1:24" x14ac:dyDescent="0.3">
      <c r="A686" t="s">
        <v>1903</v>
      </c>
      <c r="B686" t="s">
        <v>1904</v>
      </c>
      <c r="C686">
        <v>1</v>
      </c>
      <c r="D686" t="s">
        <v>11</v>
      </c>
      <c r="E686" t="s">
        <v>21</v>
      </c>
      <c r="F686" t="s">
        <v>22</v>
      </c>
      <c r="H686" t="s">
        <v>71</v>
      </c>
      <c r="I686" t="s">
        <v>3617</v>
      </c>
      <c r="J686" t="s">
        <v>1903</v>
      </c>
      <c r="K686" t="s">
        <v>868</v>
      </c>
      <c r="L686" t="s">
        <v>3618</v>
      </c>
      <c r="M686" t="s">
        <v>1903</v>
      </c>
      <c r="N686" t="s">
        <v>1904</v>
      </c>
      <c r="Q686" t="s">
        <v>3599</v>
      </c>
      <c r="R686" t="s">
        <v>3599</v>
      </c>
      <c r="S686" t="s">
        <v>3599</v>
      </c>
      <c r="T686">
        <v>1</v>
      </c>
      <c r="U686" t="s">
        <v>868</v>
      </c>
      <c r="V686">
        <v>5</v>
      </c>
      <c r="W686">
        <v>0</v>
      </c>
      <c r="X686">
        <v>0</v>
      </c>
    </row>
    <row r="687" spans="1:24" x14ac:dyDescent="0.3">
      <c r="A687" t="s">
        <v>1905</v>
      </c>
      <c r="B687" t="s">
        <v>1906</v>
      </c>
      <c r="C687">
        <v>1</v>
      </c>
      <c r="D687" t="s">
        <v>11</v>
      </c>
      <c r="E687" t="s">
        <v>21</v>
      </c>
      <c r="F687" t="s">
        <v>22</v>
      </c>
      <c r="H687" t="s">
        <v>71</v>
      </c>
      <c r="I687" t="s">
        <v>3617</v>
      </c>
      <c r="J687" t="s">
        <v>1905</v>
      </c>
      <c r="K687" t="s">
        <v>868</v>
      </c>
      <c r="L687" t="s">
        <v>3618</v>
      </c>
      <c r="M687" t="s">
        <v>1905</v>
      </c>
      <c r="N687" t="s">
        <v>1906</v>
      </c>
      <c r="Q687" t="s">
        <v>3599</v>
      </c>
      <c r="R687" t="s">
        <v>3599</v>
      </c>
      <c r="S687" t="s">
        <v>3599</v>
      </c>
      <c r="T687">
        <v>1</v>
      </c>
      <c r="U687" t="s">
        <v>868</v>
      </c>
      <c r="V687">
        <v>5</v>
      </c>
      <c r="W687">
        <v>0</v>
      </c>
      <c r="X687">
        <v>0</v>
      </c>
    </row>
    <row r="688" spans="1:24" x14ac:dyDescent="0.3">
      <c r="A688" t="s">
        <v>1907</v>
      </c>
      <c r="B688" t="s">
        <v>1908</v>
      </c>
      <c r="C688">
        <v>1</v>
      </c>
      <c r="D688" t="s">
        <v>11</v>
      </c>
      <c r="E688" t="s">
        <v>21</v>
      </c>
      <c r="F688" t="s">
        <v>22</v>
      </c>
      <c r="H688" t="s">
        <v>71</v>
      </c>
      <c r="I688" t="s">
        <v>3617</v>
      </c>
      <c r="J688" t="s">
        <v>1907</v>
      </c>
      <c r="K688" t="s">
        <v>868</v>
      </c>
      <c r="L688" t="s">
        <v>3618</v>
      </c>
      <c r="M688" t="s">
        <v>1907</v>
      </c>
      <c r="N688" t="s">
        <v>1908</v>
      </c>
      <c r="Q688" t="s">
        <v>3599</v>
      </c>
      <c r="R688" t="s">
        <v>3599</v>
      </c>
      <c r="S688" t="s">
        <v>3599</v>
      </c>
      <c r="T688">
        <v>1</v>
      </c>
      <c r="U688" t="s">
        <v>868</v>
      </c>
      <c r="V688">
        <v>5</v>
      </c>
      <c r="W688">
        <v>0</v>
      </c>
      <c r="X688">
        <v>0</v>
      </c>
    </row>
    <row r="689" spans="1:24" x14ac:dyDescent="0.3">
      <c r="A689" t="s">
        <v>1909</v>
      </c>
      <c r="B689" t="s">
        <v>1910</v>
      </c>
      <c r="C689">
        <v>1</v>
      </c>
      <c r="D689" t="s">
        <v>11</v>
      </c>
      <c r="E689" t="s">
        <v>21</v>
      </c>
      <c r="F689" t="s">
        <v>22</v>
      </c>
      <c r="H689" t="s">
        <v>71</v>
      </c>
      <c r="I689" t="s">
        <v>3617</v>
      </c>
      <c r="J689" t="s">
        <v>1909</v>
      </c>
      <c r="K689" t="s">
        <v>868</v>
      </c>
      <c r="L689" t="s">
        <v>3618</v>
      </c>
      <c r="M689" t="s">
        <v>1909</v>
      </c>
      <c r="N689" t="s">
        <v>1910</v>
      </c>
      <c r="Q689" t="s">
        <v>3599</v>
      </c>
      <c r="R689" t="s">
        <v>3599</v>
      </c>
      <c r="S689" t="s">
        <v>3599</v>
      </c>
      <c r="T689">
        <v>1</v>
      </c>
      <c r="U689" t="s">
        <v>868</v>
      </c>
      <c r="V689">
        <v>5</v>
      </c>
      <c r="W689">
        <v>0</v>
      </c>
      <c r="X689">
        <v>0</v>
      </c>
    </row>
    <row r="690" spans="1:24" x14ac:dyDescent="0.3">
      <c r="A690" t="s">
        <v>1911</v>
      </c>
      <c r="B690" t="s">
        <v>1912</v>
      </c>
      <c r="C690">
        <v>1</v>
      </c>
      <c r="D690" t="s">
        <v>11</v>
      </c>
      <c r="E690" t="s">
        <v>21</v>
      </c>
      <c r="F690" t="s">
        <v>22</v>
      </c>
      <c r="H690" t="s">
        <v>71</v>
      </c>
      <c r="I690" t="s">
        <v>3617</v>
      </c>
      <c r="J690" t="s">
        <v>1911</v>
      </c>
      <c r="K690" t="s">
        <v>868</v>
      </c>
      <c r="L690" t="s">
        <v>3618</v>
      </c>
      <c r="M690" t="s">
        <v>1911</v>
      </c>
      <c r="N690" t="s">
        <v>1912</v>
      </c>
      <c r="Q690" t="s">
        <v>3599</v>
      </c>
      <c r="R690" t="s">
        <v>3599</v>
      </c>
      <c r="S690" t="s">
        <v>3599</v>
      </c>
      <c r="T690">
        <v>1</v>
      </c>
      <c r="U690" t="s">
        <v>868</v>
      </c>
      <c r="V690">
        <v>5</v>
      </c>
      <c r="W690">
        <v>0</v>
      </c>
      <c r="X690">
        <v>0</v>
      </c>
    </row>
    <row r="691" spans="1:24" x14ac:dyDescent="0.3">
      <c r="A691" t="s">
        <v>1913</v>
      </c>
      <c r="B691" t="s">
        <v>1914</v>
      </c>
      <c r="C691">
        <v>1</v>
      </c>
      <c r="D691" t="s">
        <v>11</v>
      </c>
      <c r="E691" t="s">
        <v>21</v>
      </c>
      <c r="F691" t="s">
        <v>22</v>
      </c>
      <c r="H691" t="s">
        <v>71</v>
      </c>
      <c r="I691" t="s">
        <v>3617</v>
      </c>
      <c r="J691" t="s">
        <v>1913</v>
      </c>
      <c r="K691" t="s">
        <v>868</v>
      </c>
      <c r="L691" t="s">
        <v>3618</v>
      </c>
      <c r="M691" t="s">
        <v>1913</v>
      </c>
      <c r="N691" t="s">
        <v>1914</v>
      </c>
      <c r="Q691" t="s">
        <v>3599</v>
      </c>
      <c r="R691" t="s">
        <v>3599</v>
      </c>
      <c r="S691" t="s">
        <v>3599</v>
      </c>
      <c r="T691">
        <v>1</v>
      </c>
      <c r="U691" t="s">
        <v>868</v>
      </c>
      <c r="V691">
        <v>5</v>
      </c>
      <c r="W691">
        <v>0</v>
      </c>
      <c r="X691">
        <v>0</v>
      </c>
    </row>
    <row r="692" spans="1:24" x14ac:dyDescent="0.3">
      <c r="A692" t="s">
        <v>1915</v>
      </c>
      <c r="B692" t="s">
        <v>1916</v>
      </c>
      <c r="C692">
        <v>1</v>
      </c>
      <c r="D692" t="s">
        <v>11</v>
      </c>
      <c r="E692" t="s">
        <v>21</v>
      </c>
      <c r="F692" t="s">
        <v>22</v>
      </c>
      <c r="H692" t="s">
        <v>71</v>
      </c>
      <c r="I692" t="s">
        <v>3617</v>
      </c>
      <c r="J692" t="s">
        <v>1915</v>
      </c>
      <c r="K692" t="s">
        <v>868</v>
      </c>
      <c r="L692" t="s">
        <v>3618</v>
      </c>
      <c r="M692" t="s">
        <v>1915</v>
      </c>
      <c r="N692" t="s">
        <v>1916</v>
      </c>
      <c r="Q692" t="s">
        <v>3599</v>
      </c>
      <c r="R692" t="s">
        <v>3599</v>
      </c>
      <c r="S692" t="s">
        <v>3599</v>
      </c>
      <c r="T692">
        <v>1</v>
      </c>
      <c r="U692" t="s">
        <v>868</v>
      </c>
      <c r="V692">
        <v>5</v>
      </c>
      <c r="W692">
        <v>0</v>
      </c>
      <c r="X692">
        <v>0</v>
      </c>
    </row>
    <row r="693" spans="1:24" x14ac:dyDescent="0.3">
      <c r="A693" t="s">
        <v>1917</v>
      </c>
      <c r="B693" t="s">
        <v>1918</v>
      </c>
      <c r="C693">
        <v>1</v>
      </c>
      <c r="D693" t="s">
        <v>11</v>
      </c>
      <c r="E693" t="s">
        <v>21</v>
      </c>
      <c r="F693" t="s">
        <v>22</v>
      </c>
      <c r="H693" t="s">
        <v>71</v>
      </c>
      <c r="I693" t="s">
        <v>3617</v>
      </c>
      <c r="J693" t="s">
        <v>1917</v>
      </c>
      <c r="K693" t="s">
        <v>868</v>
      </c>
      <c r="L693" t="s">
        <v>3618</v>
      </c>
      <c r="M693" t="s">
        <v>1917</v>
      </c>
      <c r="N693" t="s">
        <v>1918</v>
      </c>
      <c r="Q693" t="s">
        <v>3599</v>
      </c>
      <c r="R693" t="s">
        <v>3599</v>
      </c>
      <c r="S693" t="s">
        <v>3599</v>
      </c>
      <c r="T693">
        <v>1</v>
      </c>
      <c r="U693" t="s">
        <v>868</v>
      </c>
      <c r="V693">
        <v>5</v>
      </c>
      <c r="W693">
        <v>0</v>
      </c>
      <c r="X693">
        <v>0</v>
      </c>
    </row>
    <row r="694" spans="1:24" x14ac:dyDescent="0.3">
      <c r="A694" t="s">
        <v>1919</v>
      </c>
      <c r="B694" t="s">
        <v>1920</v>
      </c>
      <c r="C694">
        <v>1</v>
      </c>
      <c r="D694" t="s">
        <v>11</v>
      </c>
      <c r="E694" t="s">
        <v>21</v>
      </c>
      <c r="F694" t="s">
        <v>22</v>
      </c>
      <c r="H694" t="s">
        <v>71</v>
      </c>
      <c r="I694" t="s">
        <v>3617</v>
      </c>
      <c r="J694" t="s">
        <v>1919</v>
      </c>
      <c r="K694" t="s">
        <v>868</v>
      </c>
      <c r="L694" t="s">
        <v>3618</v>
      </c>
      <c r="M694" t="s">
        <v>1919</v>
      </c>
      <c r="N694" t="s">
        <v>1920</v>
      </c>
      <c r="Q694" t="s">
        <v>3599</v>
      </c>
      <c r="R694" t="s">
        <v>3599</v>
      </c>
      <c r="S694" t="s">
        <v>3599</v>
      </c>
      <c r="T694">
        <v>1</v>
      </c>
      <c r="U694" t="s">
        <v>868</v>
      </c>
      <c r="V694">
        <v>5</v>
      </c>
      <c r="W694">
        <v>0</v>
      </c>
      <c r="X694">
        <v>0</v>
      </c>
    </row>
    <row r="695" spans="1:24" x14ac:dyDescent="0.3">
      <c r="A695" t="s">
        <v>1921</v>
      </c>
      <c r="B695" t="s">
        <v>1922</v>
      </c>
      <c r="C695">
        <v>1</v>
      </c>
      <c r="D695" t="s">
        <v>11</v>
      </c>
      <c r="E695" t="s">
        <v>21</v>
      </c>
      <c r="F695" t="s">
        <v>22</v>
      </c>
      <c r="H695" t="s">
        <v>71</v>
      </c>
      <c r="I695" t="s">
        <v>3617</v>
      </c>
      <c r="J695" t="s">
        <v>1921</v>
      </c>
      <c r="K695" t="s">
        <v>868</v>
      </c>
      <c r="L695" t="s">
        <v>3618</v>
      </c>
      <c r="M695" t="s">
        <v>1921</v>
      </c>
      <c r="N695" t="s">
        <v>1922</v>
      </c>
      <c r="Q695" t="s">
        <v>3599</v>
      </c>
      <c r="R695" t="s">
        <v>3599</v>
      </c>
      <c r="S695" t="s">
        <v>3599</v>
      </c>
      <c r="T695">
        <v>1</v>
      </c>
      <c r="U695" t="s">
        <v>868</v>
      </c>
      <c r="V695">
        <v>5</v>
      </c>
      <c r="W695">
        <v>0</v>
      </c>
      <c r="X695">
        <v>0</v>
      </c>
    </row>
    <row r="696" spans="1:24" x14ac:dyDescent="0.3">
      <c r="A696" t="s">
        <v>1923</v>
      </c>
      <c r="B696" t="s">
        <v>1924</v>
      </c>
      <c r="C696">
        <v>1</v>
      </c>
      <c r="D696" t="s">
        <v>11</v>
      </c>
      <c r="E696" t="s">
        <v>21</v>
      </c>
      <c r="F696" t="s">
        <v>22</v>
      </c>
      <c r="H696" t="s">
        <v>71</v>
      </c>
      <c r="I696" t="s">
        <v>3617</v>
      </c>
      <c r="J696" t="s">
        <v>1923</v>
      </c>
      <c r="K696" t="s">
        <v>868</v>
      </c>
      <c r="L696" t="s">
        <v>3618</v>
      </c>
      <c r="M696" t="s">
        <v>1923</v>
      </c>
      <c r="N696" t="s">
        <v>1924</v>
      </c>
      <c r="O696" t="s">
        <v>1925</v>
      </c>
      <c r="Q696" t="s">
        <v>3599</v>
      </c>
      <c r="R696" t="s">
        <v>3599</v>
      </c>
      <c r="S696" t="s">
        <v>3599</v>
      </c>
      <c r="T696">
        <v>1</v>
      </c>
      <c r="U696" t="s">
        <v>868</v>
      </c>
      <c r="V696">
        <v>5</v>
      </c>
      <c r="W696">
        <v>0</v>
      </c>
      <c r="X696">
        <v>0</v>
      </c>
    </row>
    <row r="697" spans="1:24" x14ac:dyDescent="0.3">
      <c r="A697" t="s">
        <v>1926</v>
      </c>
      <c r="B697" t="s">
        <v>1927</v>
      </c>
      <c r="C697">
        <v>1</v>
      </c>
      <c r="D697" t="s">
        <v>11</v>
      </c>
      <c r="E697" t="s">
        <v>21</v>
      </c>
      <c r="F697" t="s">
        <v>22</v>
      </c>
      <c r="H697" t="s">
        <v>71</v>
      </c>
      <c r="I697" t="s">
        <v>3617</v>
      </c>
      <c r="J697" t="s">
        <v>1926</v>
      </c>
      <c r="K697" t="s">
        <v>868</v>
      </c>
      <c r="L697" t="s">
        <v>3618</v>
      </c>
      <c r="M697" t="s">
        <v>1926</v>
      </c>
      <c r="N697" t="s">
        <v>1927</v>
      </c>
      <c r="Q697" t="s">
        <v>3599</v>
      </c>
      <c r="R697" t="s">
        <v>3599</v>
      </c>
      <c r="S697" t="s">
        <v>3599</v>
      </c>
      <c r="T697">
        <v>1</v>
      </c>
      <c r="U697" t="s">
        <v>868</v>
      </c>
      <c r="V697">
        <v>5</v>
      </c>
      <c r="W697">
        <v>0</v>
      </c>
      <c r="X697">
        <v>0</v>
      </c>
    </row>
    <row r="698" spans="1:24" x14ac:dyDescent="0.3">
      <c r="A698" t="s">
        <v>1928</v>
      </c>
      <c r="B698" t="s">
        <v>1929</v>
      </c>
      <c r="C698">
        <v>1</v>
      </c>
      <c r="D698" t="s">
        <v>11</v>
      </c>
      <c r="E698" t="s">
        <v>21</v>
      </c>
      <c r="F698" t="s">
        <v>22</v>
      </c>
      <c r="H698" t="s">
        <v>71</v>
      </c>
      <c r="I698" t="s">
        <v>3617</v>
      </c>
      <c r="J698" t="s">
        <v>1928</v>
      </c>
      <c r="K698" t="s">
        <v>868</v>
      </c>
      <c r="L698" t="s">
        <v>3618</v>
      </c>
      <c r="M698" t="s">
        <v>1928</v>
      </c>
      <c r="N698" t="s">
        <v>1929</v>
      </c>
      <c r="Q698" t="s">
        <v>3599</v>
      </c>
      <c r="R698" t="s">
        <v>3599</v>
      </c>
      <c r="S698" t="s">
        <v>3599</v>
      </c>
      <c r="T698">
        <v>1</v>
      </c>
      <c r="U698" t="s">
        <v>868</v>
      </c>
      <c r="V698">
        <v>5</v>
      </c>
      <c r="W698">
        <v>0</v>
      </c>
      <c r="X698">
        <v>0</v>
      </c>
    </row>
    <row r="699" spans="1:24" x14ac:dyDescent="0.3">
      <c r="A699" t="s">
        <v>1930</v>
      </c>
      <c r="B699" t="s">
        <v>1931</v>
      </c>
      <c r="C699">
        <v>1</v>
      </c>
      <c r="D699" t="s">
        <v>11</v>
      </c>
      <c r="E699" t="s">
        <v>21</v>
      </c>
      <c r="F699" t="s">
        <v>22</v>
      </c>
      <c r="H699" t="s">
        <v>71</v>
      </c>
      <c r="I699" t="s">
        <v>3617</v>
      </c>
      <c r="J699" t="s">
        <v>1930</v>
      </c>
      <c r="K699" t="s">
        <v>868</v>
      </c>
      <c r="L699" t="s">
        <v>3618</v>
      </c>
      <c r="M699" t="s">
        <v>1930</v>
      </c>
      <c r="N699" t="s">
        <v>1931</v>
      </c>
      <c r="Q699" t="s">
        <v>3599</v>
      </c>
      <c r="R699" t="s">
        <v>3599</v>
      </c>
      <c r="S699" t="s">
        <v>3599</v>
      </c>
      <c r="T699">
        <v>1</v>
      </c>
      <c r="U699" t="s">
        <v>868</v>
      </c>
      <c r="V699">
        <v>5</v>
      </c>
      <c r="W699">
        <v>0</v>
      </c>
      <c r="X699">
        <v>0</v>
      </c>
    </row>
    <row r="700" spans="1:24" x14ac:dyDescent="0.3">
      <c r="A700" t="s">
        <v>1932</v>
      </c>
      <c r="B700" t="s">
        <v>1933</v>
      </c>
      <c r="C700">
        <v>1</v>
      </c>
      <c r="D700" t="s">
        <v>11</v>
      </c>
      <c r="E700" t="s">
        <v>21</v>
      </c>
      <c r="F700" t="s">
        <v>22</v>
      </c>
      <c r="H700" t="s">
        <v>71</v>
      </c>
      <c r="I700" t="s">
        <v>3617</v>
      </c>
      <c r="J700" t="s">
        <v>1932</v>
      </c>
      <c r="K700" t="s">
        <v>868</v>
      </c>
      <c r="L700" t="s">
        <v>3618</v>
      </c>
      <c r="M700" t="s">
        <v>1932</v>
      </c>
      <c r="N700" t="s">
        <v>1933</v>
      </c>
      <c r="Q700" t="s">
        <v>3599</v>
      </c>
      <c r="R700" t="s">
        <v>3599</v>
      </c>
      <c r="S700" t="s">
        <v>3599</v>
      </c>
      <c r="T700">
        <v>1</v>
      </c>
      <c r="U700" t="s">
        <v>868</v>
      </c>
      <c r="V700">
        <v>5</v>
      </c>
      <c r="W700">
        <v>0</v>
      </c>
      <c r="X700">
        <v>0</v>
      </c>
    </row>
    <row r="701" spans="1:24" x14ac:dyDescent="0.3">
      <c r="A701" t="s">
        <v>1934</v>
      </c>
      <c r="B701" t="s">
        <v>1935</v>
      </c>
      <c r="C701">
        <v>1</v>
      </c>
      <c r="D701" t="s">
        <v>11</v>
      </c>
      <c r="E701" t="s">
        <v>21</v>
      </c>
      <c r="F701" t="s">
        <v>22</v>
      </c>
      <c r="H701" t="s">
        <v>71</v>
      </c>
      <c r="I701" t="s">
        <v>3617</v>
      </c>
      <c r="J701" t="s">
        <v>1934</v>
      </c>
      <c r="K701" t="s">
        <v>868</v>
      </c>
      <c r="L701" t="s">
        <v>3618</v>
      </c>
      <c r="M701" t="s">
        <v>1934</v>
      </c>
      <c r="N701" t="s">
        <v>1935</v>
      </c>
      <c r="Q701" t="s">
        <v>3599</v>
      </c>
      <c r="R701" t="s">
        <v>3599</v>
      </c>
      <c r="S701" t="s">
        <v>3599</v>
      </c>
      <c r="T701">
        <v>1</v>
      </c>
      <c r="U701" t="s">
        <v>868</v>
      </c>
      <c r="V701">
        <v>5</v>
      </c>
      <c r="W701">
        <v>0</v>
      </c>
      <c r="X701">
        <v>0</v>
      </c>
    </row>
    <row r="702" spans="1:24" x14ac:dyDescent="0.3">
      <c r="A702" t="s">
        <v>1936</v>
      </c>
      <c r="B702" t="s">
        <v>1937</v>
      </c>
      <c r="C702">
        <v>1</v>
      </c>
      <c r="D702" t="s">
        <v>11</v>
      </c>
      <c r="E702" t="s">
        <v>21</v>
      </c>
      <c r="F702" t="s">
        <v>22</v>
      </c>
      <c r="H702" t="s">
        <v>71</v>
      </c>
      <c r="I702" t="s">
        <v>3617</v>
      </c>
      <c r="J702" t="s">
        <v>1936</v>
      </c>
      <c r="K702" t="s">
        <v>868</v>
      </c>
      <c r="L702" t="s">
        <v>3618</v>
      </c>
      <c r="M702" t="s">
        <v>1936</v>
      </c>
      <c r="N702" t="s">
        <v>1937</v>
      </c>
      <c r="Q702" t="s">
        <v>3599</v>
      </c>
      <c r="R702" t="s">
        <v>3599</v>
      </c>
      <c r="S702" t="s">
        <v>3599</v>
      </c>
      <c r="T702">
        <v>1</v>
      </c>
      <c r="U702" t="s">
        <v>868</v>
      </c>
      <c r="V702">
        <v>5</v>
      </c>
      <c r="W702">
        <v>0</v>
      </c>
      <c r="X702">
        <v>0</v>
      </c>
    </row>
    <row r="703" spans="1:24" x14ac:dyDescent="0.3">
      <c r="A703" t="s">
        <v>1938</v>
      </c>
      <c r="B703" t="s">
        <v>1939</v>
      </c>
      <c r="C703">
        <v>1</v>
      </c>
      <c r="D703" t="s">
        <v>11</v>
      </c>
      <c r="E703" t="s">
        <v>21</v>
      </c>
      <c r="F703" t="s">
        <v>22</v>
      </c>
      <c r="H703" t="s">
        <v>71</v>
      </c>
      <c r="I703" t="s">
        <v>3617</v>
      </c>
      <c r="J703" t="s">
        <v>1938</v>
      </c>
      <c r="K703" t="s">
        <v>868</v>
      </c>
      <c r="L703" t="s">
        <v>3618</v>
      </c>
      <c r="M703" t="s">
        <v>1938</v>
      </c>
      <c r="N703" t="s">
        <v>1939</v>
      </c>
      <c r="Q703" t="s">
        <v>3599</v>
      </c>
      <c r="R703" t="s">
        <v>3599</v>
      </c>
      <c r="S703" t="s">
        <v>3599</v>
      </c>
      <c r="T703">
        <v>1</v>
      </c>
      <c r="U703" t="s">
        <v>868</v>
      </c>
      <c r="V703">
        <v>5</v>
      </c>
      <c r="W703">
        <v>0</v>
      </c>
      <c r="X703">
        <v>0</v>
      </c>
    </row>
    <row r="704" spans="1:24" x14ac:dyDescent="0.3">
      <c r="A704" t="s">
        <v>1267</v>
      </c>
      <c r="B704" t="s">
        <v>1268</v>
      </c>
      <c r="C704">
        <v>1</v>
      </c>
      <c r="D704" t="s">
        <v>11</v>
      </c>
      <c r="E704" t="s">
        <v>21</v>
      </c>
      <c r="F704" t="s">
        <v>22</v>
      </c>
      <c r="H704" t="s">
        <v>71</v>
      </c>
      <c r="I704" t="s">
        <v>3617</v>
      </c>
      <c r="J704" t="s">
        <v>1267</v>
      </c>
      <c r="K704" t="s">
        <v>868</v>
      </c>
      <c r="L704" t="s">
        <v>3618</v>
      </c>
      <c r="M704" t="s">
        <v>1267</v>
      </c>
      <c r="N704" t="s">
        <v>1268</v>
      </c>
      <c r="Q704" t="s">
        <v>3599</v>
      </c>
      <c r="R704" t="s">
        <v>3599</v>
      </c>
      <c r="S704" t="s">
        <v>3599</v>
      </c>
      <c r="T704">
        <v>1</v>
      </c>
      <c r="U704" t="s">
        <v>868</v>
      </c>
      <c r="V704">
        <v>5</v>
      </c>
      <c r="W704">
        <v>0</v>
      </c>
      <c r="X704">
        <v>0</v>
      </c>
    </row>
    <row r="705" spans="1:24" x14ac:dyDescent="0.3">
      <c r="A705" t="s">
        <v>1940</v>
      </c>
      <c r="B705" t="s">
        <v>1941</v>
      </c>
      <c r="C705">
        <v>1</v>
      </c>
      <c r="D705" t="s">
        <v>11</v>
      </c>
      <c r="E705" t="s">
        <v>21</v>
      </c>
      <c r="F705" t="s">
        <v>22</v>
      </c>
      <c r="H705" t="s">
        <v>71</v>
      </c>
      <c r="I705" t="s">
        <v>3617</v>
      </c>
      <c r="J705" t="s">
        <v>1940</v>
      </c>
      <c r="K705" t="s">
        <v>868</v>
      </c>
      <c r="L705" t="s">
        <v>3618</v>
      </c>
      <c r="M705" t="s">
        <v>1940</v>
      </c>
      <c r="N705" t="s">
        <v>1941</v>
      </c>
      <c r="Q705" t="s">
        <v>3599</v>
      </c>
      <c r="R705" t="s">
        <v>3599</v>
      </c>
      <c r="S705" t="s">
        <v>3599</v>
      </c>
      <c r="T705">
        <v>1</v>
      </c>
      <c r="U705" t="s">
        <v>868</v>
      </c>
      <c r="V705">
        <v>5</v>
      </c>
      <c r="W705">
        <v>0</v>
      </c>
      <c r="X705">
        <v>0</v>
      </c>
    </row>
    <row r="706" spans="1:24" x14ac:dyDescent="0.3">
      <c r="A706" t="s">
        <v>1942</v>
      </c>
      <c r="B706" t="s">
        <v>1943</v>
      </c>
      <c r="C706">
        <v>1</v>
      </c>
      <c r="D706" t="s">
        <v>11</v>
      </c>
      <c r="E706" t="s">
        <v>21</v>
      </c>
      <c r="F706" t="s">
        <v>22</v>
      </c>
      <c r="H706" t="s">
        <v>71</v>
      </c>
      <c r="I706" t="s">
        <v>3617</v>
      </c>
      <c r="J706" t="s">
        <v>1942</v>
      </c>
      <c r="K706" t="s">
        <v>868</v>
      </c>
      <c r="L706" t="s">
        <v>3618</v>
      </c>
      <c r="M706" t="s">
        <v>1942</v>
      </c>
      <c r="N706" t="s">
        <v>1943</v>
      </c>
      <c r="Q706" t="s">
        <v>3599</v>
      </c>
      <c r="R706" t="s">
        <v>3599</v>
      </c>
      <c r="S706" t="s">
        <v>3599</v>
      </c>
      <c r="T706">
        <v>1</v>
      </c>
      <c r="U706" t="s">
        <v>868</v>
      </c>
      <c r="V706">
        <v>5</v>
      </c>
      <c r="W706">
        <v>0</v>
      </c>
      <c r="X706">
        <v>0</v>
      </c>
    </row>
    <row r="707" spans="1:24" x14ac:dyDescent="0.3">
      <c r="A707" t="s">
        <v>1944</v>
      </c>
      <c r="B707" t="s">
        <v>1945</v>
      </c>
      <c r="C707">
        <v>1</v>
      </c>
      <c r="D707" t="s">
        <v>11</v>
      </c>
      <c r="E707" t="s">
        <v>21</v>
      </c>
      <c r="F707" t="s">
        <v>22</v>
      </c>
      <c r="H707" t="s">
        <v>71</v>
      </c>
      <c r="I707" t="s">
        <v>3617</v>
      </c>
      <c r="J707" t="s">
        <v>1944</v>
      </c>
      <c r="K707" t="s">
        <v>868</v>
      </c>
      <c r="L707" t="s">
        <v>3618</v>
      </c>
      <c r="M707" t="s">
        <v>1944</v>
      </c>
      <c r="N707" t="s">
        <v>1945</v>
      </c>
      <c r="Q707" t="s">
        <v>3599</v>
      </c>
      <c r="R707" t="s">
        <v>3599</v>
      </c>
      <c r="S707" t="s">
        <v>3599</v>
      </c>
      <c r="T707">
        <v>1</v>
      </c>
      <c r="U707" t="s">
        <v>868</v>
      </c>
      <c r="V707">
        <v>5</v>
      </c>
      <c r="W707">
        <v>0</v>
      </c>
      <c r="X707">
        <v>0</v>
      </c>
    </row>
    <row r="708" spans="1:24" x14ac:dyDescent="0.3">
      <c r="A708" t="s">
        <v>1946</v>
      </c>
      <c r="B708" t="s">
        <v>1947</v>
      </c>
      <c r="C708">
        <v>1</v>
      </c>
      <c r="D708" t="s">
        <v>11</v>
      </c>
      <c r="E708" t="s">
        <v>21</v>
      </c>
      <c r="F708" t="s">
        <v>22</v>
      </c>
      <c r="H708" t="s">
        <v>71</v>
      </c>
      <c r="I708" t="s">
        <v>3617</v>
      </c>
      <c r="J708" t="s">
        <v>1946</v>
      </c>
      <c r="K708" t="s">
        <v>868</v>
      </c>
      <c r="L708" t="s">
        <v>3618</v>
      </c>
      <c r="M708" t="s">
        <v>1946</v>
      </c>
      <c r="N708" t="s">
        <v>1947</v>
      </c>
      <c r="Q708" t="s">
        <v>3599</v>
      </c>
      <c r="R708" t="s">
        <v>3599</v>
      </c>
      <c r="S708" t="s">
        <v>3599</v>
      </c>
      <c r="T708">
        <v>1</v>
      </c>
      <c r="U708" t="s">
        <v>868</v>
      </c>
      <c r="V708">
        <v>5</v>
      </c>
      <c r="W708">
        <v>0</v>
      </c>
      <c r="X708">
        <v>0</v>
      </c>
    </row>
    <row r="709" spans="1:24" x14ac:dyDescent="0.3">
      <c r="A709" t="s">
        <v>1948</v>
      </c>
      <c r="B709" t="s">
        <v>1949</v>
      </c>
      <c r="C709">
        <v>1</v>
      </c>
      <c r="D709" t="s">
        <v>11</v>
      </c>
      <c r="E709" t="s">
        <v>21</v>
      </c>
      <c r="F709" t="s">
        <v>22</v>
      </c>
      <c r="H709" t="s">
        <v>71</v>
      </c>
      <c r="I709" t="s">
        <v>3617</v>
      </c>
      <c r="J709" t="s">
        <v>1948</v>
      </c>
      <c r="K709" t="s">
        <v>868</v>
      </c>
      <c r="L709" t="s">
        <v>3618</v>
      </c>
      <c r="M709" t="s">
        <v>1948</v>
      </c>
      <c r="N709" t="s">
        <v>1949</v>
      </c>
      <c r="Q709" t="s">
        <v>3599</v>
      </c>
      <c r="R709" t="s">
        <v>3599</v>
      </c>
      <c r="S709" t="s">
        <v>3599</v>
      </c>
      <c r="T709">
        <v>1</v>
      </c>
      <c r="U709" t="s">
        <v>868</v>
      </c>
      <c r="V709">
        <v>5</v>
      </c>
      <c r="W709">
        <v>0</v>
      </c>
      <c r="X709">
        <v>0</v>
      </c>
    </row>
    <row r="710" spans="1:24" x14ac:dyDescent="0.3">
      <c r="A710" t="s">
        <v>1950</v>
      </c>
      <c r="B710" t="s">
        <v>1951</v>
      </c>
      <c r="C710">
        <v>1</v>
      </c>
      <c r="D710" t="s">
        <v>11</v>
      </c>
      <c r="E710" t="s">
        <v>21</v>
      </c>
      <c r="F710" t="s">
        <v>22</v>
      </c>
      <c r="H710" t="s">
        <v>71</v>
      </c>
      <c r="I710" t="s">
        <v>3617</v>
      </c>
      <c r="J710" t="s">
        <v>1950</v>
      </c>
      <c r="K710" t="s">
        <v>868</v>
      </c>
      <c r="L710" t="s">
        <v>3618</v>
      </c>
      <c r="M710" t="s">
        <v>1950</v>
      </c>
      <c r="N710" t="s">
        <v>1951</v>
      </c>
      <c r="Q710" t="s">
        <v>3599</v>
      </c>
      <c r="R710" t="s">
        <v>3599</v>
      </c>
      <c r="S710" t="s">
        <v>3599</v>
      </c>
      <c r="T710">
        <v>1</v>
      </c>
      <c r="U710" t="s">
        <v>868</v>
      </c>
      <c r="V710">
        <v>5</v>
      </c>
      <c r="W710">
        <v>0</v>
      </c>
      <c r="X710">
        <v>0</v>
      </c>
    </row>
    <row r="711" spans="1:24" x14ac:dyDescent="0.3">
      <c r="A711" t="s">
        <v>1952</v>
      </c>
      <c r="B711" t="s">
        <v>1953</v>
      </c>
      <c r="C711">
        <v>1</v>
      </c>
      <c r="D711" t="s">
        <v>11</v>
      </c>
      <c r="E711" t="s">
        <v>21</v>
      </c>
      <c r="F711" t="s">
        <v>22</v>
      </c>
      <c r="H711" t="s">
        <v>71</v>
      </c>
      <c r="I711" t="s">
        <v>3617</v>
      </c>
      <c r="J711" t="s">
        <v>1952</v>
      </c>
      <c r="K711" t="s">
        <v>868</v>
      </c>
      <c r="L711" t="s">
        <v>3618</v>
      </c>
      <c r="M711" t="s">
        <v>1952</v>
      </c>
      <c r="N711" t="s">
        <v>1953</v>
      </c>
      <c r="Q711" t="s">
        <v>3599</v>
      </c>
      <c r="R711" t="s">
        <v>3599</v>
      </c>
      <c r="S711" t="s">
        <v>3599</v>
      </c>
      <c r="T711">
        <v>1</v>
      </c>
      <c r="U711" t="s">
        <v>868</v>
      </c>
      <c r="V711">
        <v>5</v>
      </c>
      <c r="W711">
        <v>0</v>
      </c>
      <c r="X711">
        <v>0</v>
      </c>
    </row>
    <row r="712" spans="1:24" x14ac:dyDescent="0.3">
      <c r="A712" t="s">
        <v>1954</v>
      </c>
      <c r="B712" t="s">
        <v>1955</v>
      </c>
      <c r="C712">
        <v>1</v>
      </c>
      <c r="D712" t="s">
        <v>11</v>
      </c>
      <c r="E712" t="s">
        <v>21</v>
      </c>
      <c r="F712" t="s">
        <v>22</v>
      </c>
      <c r="H712" t="s">
        <v>71</v>
      </c>
      <c r="I712" t="s">
        <v>3617</v>
      </c>
      <c r="J712" t="s">
        <v>1954</v>
      </c>
      <c r="K712" t="s">
        <v>868</v>
      </c>
      <c r="L712" t="s">
        <v>3618</v>
      </c>
      <c r="M712" t="s">
        <v>1954</v>
      </c>
      <c r="N712" t="s">
        <v>1955</v>
      </c>
      <c r="Q712" t="s">
        <v>3599</v>
      </c>
      <c r="R712" t="s">
        <v>3599</v>
      </c>
      <c r="S712" t="s">
        <v>3599</v>
      </c>
      <c r="T712">
        <v>1</v>
      </c>
      <c r="U712" t="s">
        <v>868</v>
      </c>
      <c r="V712">
        <v>5</v>
      </c>
      <c r="W712">
        <v>0</v>
      </c>
      <c r="X712">
        <v>0</v>
      </c>
    </row>
    <row r="713" spans="1:24" x14ac:dyDescent="0.3">
      <c r="A713" t="s">
        <v>1956</v>
      </c>
      <c r="B713" t="s">
        <v>1957</v>
      </c>
      <c r="C713">
        <v>1</v>
      </c>
      <c r="D713" t="s">
        <v>11</v>
      </c>
      <c r="E713" t="s">
        <v>21</v>
      </c>
      <c r="F713" t="s">
        <v>22</v>
      </c>
      <c r="H713" t="s">
        <v>71</v>
      </c>
      <c r="I713" t="s">
        <v>3617</v>
      </c>
      <c r="J713" t="s">
        <v>1956</v>
      </c>
      <c r="K713" t="s">
        <v>868</v>
      </c>
      <c r="L713" t="s">
        <v>3618</v>
      </c>
      <c r="M713" t="s">
        <v>1956</v>
      </c>
      <c r="N713" t="s">
        <v>1957</v>
      </c>
      <c r="O713" t="s">
        <v>1958</v>
      </c>
      <c r="Q713" t="s">
        <v>3599</v>
      </c>
      <c r="R713" t="s">
        <v>3599</v>
      </c>
      <c r="S713" t="s">
        <v>3599</v>
      </c>
      <c r="T713">
        <v>1</v>
      </c>
      <c r="U713" t="s">
        <v>868</v>
      </c>
      <c r="V713">
        <v>5</v>
      </c>
      <c r="W713">
        <v>0</v>
      </c>
      <c r="X713">
        <v>0</v>
      </c>
    </row>
    <row r="714" spans="1:24" x14ac:dyDescent="0.3">
      <c r="A714" t="s">
        <v>1959</v>
      </c>
      <c r="B714" t="s">
        <v>1960</v>
      </c>
      <c r="C714">
        <v>1</v>
      </c>
      <c r="D714" t="s">
        <v>11</v>
      </c>
      <c r="E714" t="s">
        <v>21</v>
      </c>
      <c r="F714" t="s">
        <v>22</v>
      </c>
      <c r="H714" t="s">
        <v>71</v>
      </c>
      <c r="I714" t="s">
        <v>3617</v>
      </c>
      <c r="J714" t="s">
        <v>1959</v>
      </c>
      <c r="K714" t="s">
        <v>868</v>
      </c>
      <c r="L714" t="s">
        <v>3618</v>
      </c>
      <c r="M714" t="s">
        <v>1959</v>
      </c>
      <c r="N714" t="s">
        <v>1960</v>
      </c>
      <c r="Q714" t="s">
        <v>3599</v>
      </c>
      <c r="R714" t="s">
        <v>3599</v>
      </c>
      <c r="S714" t="s">
        <v>3599</v>
      </c>
      <c r="T714">
        <v>1</v>
      </c>
      <c r="U714" t="s">
        <v>868</v>
      </c>
      <c r="V714">
        <v>5</v>
      </c>
      <c r="W714">
        <v>0</v>
      </c>
      <c r="X714">
        <v>0</v>
      </c>
    </row>
    <row r="715" spans="1:24" x14ac:dyDescent="0.3">
      <c r="A715" t="s">
        <v>1961</v>
      </c>
      <c r="B715" t="s">
        <v>1962</v>
      </c>
      <c r="C715">
        <v>1</v>
      </c>
      <c r="D715" t="s">
        <v>11</v>
      </c>
      <c r="E715" t="s">
        <v>21</v>
      </c>
      <c r="F715" t="s">
        <v>22</v>
      </c>
      <c r="H715" t="s">
        <v>71</v>
      </c>
      <c r="I715" t="s">
        <v>3617</v>
      </c>
      <c r="J715" t="s">
        <v>1961</v>
      </c>
      <c r="K715" t="s">
        <v>868</v>
      </c>
      <c r="L715" t="s">
        <v>3618</v>
      </c>
      <c r="M715" t="s">
        <v>1961</v>
      </c>
      <c r="N715" t="s">
        <v>1962</v>
      </c>
      <c r="Q715" t="s">
        <v>3599</v>
      </c>
      <c r="R715" t="s">
        <v>3599</v>
      </c>
      <c r="S715" t="s">
        <v>3599</v>
      </c>
      <c r="T715">
        <v>1</v>
      </c>
      <c r="U715" t="s">
        <v>868</v>
      </c>
      <c r="V715">
        <v>5</v>
      </c>
      <c r="W715">
        <v>0</v>
      </c>
      <c r="X715">
        <v>0</v>
      </c>
    </row>
    <row r="716" spans="1:24" x14ac:dyDescent="0.3">
      <c r="A716" t="s">
        <v>1963</v>
      </c>
      <c r="B716" t="s">
        <v>1964</v>
      </c>
      <c r="C716">
        <v>1</v>
      </c>
      <c r="D716" t="s">
        <v>11</v>
      </c>
      <c r="E716" t="s">
        <v>21</v>
      </c>
      <c r="F716" t="s">
        <v>22</v>
      </c>
      <c r="H716" t="s">
        <v>71</v>
      </c>
      <c r="I716" t="s">
        <v>3617</v>
      </c>
      <c r="J716" t="s">
        <v>1963</v>
      </c>
      <c r="K716" t="s">
        <v>868</v>
      </c>
      <c r="L716" t="s">
        <v>3618</v>
      </c>
      <c r="M716" t="s">
        <v>1963</v>
      </c>
      <c r="N716" t="s">
        <v>1964</v>
      </c>
      <c r="Q716" t="s">
        <v>3599</v>
      </c>
      <c r="R716" t="s">
        <v>3599</v>
      </c>
      <c r="S716" t="s">
        <v>3599</v>
      </c>
      <c r="T716">
        <v>1</v>
      </c>
      <c r="U716" t="s">
        <v>868</v>
      </c>
      <c r="V716">
        <v>5</v>
      </c>
      <c r="W716">
        <v>0</v>
      </c>
      <c r="X716">
        <v>0</v>
      </c>
    </row>
    <row r="717" spans="1:24" x14ac:dyDescent="0.3">
      <c r="A717" t="s">
        <v>1965</v>
      </c>
      <c r="B717" t="s">
        <v>1966</v>
      </c>
      <c r="C717">
        <v>1</v>
      </c>
      <c r="D717" t="s">
        <v>11</v>
      </c>
      <c r="E717" t="s">
        <v>21</v>
      </c>
      <c r="F717" t="s">
        <v>22</v>
      </c>
      <c r="H717" t="s">
        <v>71</v>
      </c>
      <c r="I717" t="s">
        <v>3617</v>
      </c>
      <c r="J717" t="s">
        <v>1965</v>
      </c>
      <c r="K717" t="s">
        <v>868</v>
      </c>
      <c r="L717" t="s">
        <v>3618</v>
      </c>
      <c r="M717" t="s">
        <v>1965</v>
      </c>
      <c r="N717" t="s">
        <v>1966</v>
      </c>
      <c r="Q717" t="s">
        <v>3599</v>
      </c>
      <c r="R717" t="s">
        <v>3599</v>
      </c>
      <c r="S717" t="s">
        <v>3599</v>
      </c>
      <c r="T717">
        <v>1</v>
      </c>
      <c r="U717" t="s">
        <v>868</v>
      </c>
      <c r="V717">
        <v>5</v>
      </c>
      <c r="W717">
        <v>0</v>
      </c>
      <c r="X717">
        <v>0</v>
      </c>
    </row>
    <row r="718" spans="1:24" x14ac:dyDescent="0.3">
      <c r="A718" t="s">
        <v>1967</v>
      </c>
      <c r="B718" t="s">
        <v>1968</v>
      </c>
      <c r="C718">
        <v>1</v>
      </c>
      <c r="D718" t="s">
        <v>11</v>
      </c>
      <c r="E718" t="s">
        <v>21</v>
      </c>
      <c r="F718" t="s">
        <v>22</v>
      </c>
      <c r="H718" t="s">
        <v>71</v>
      </c>
      <c r="I718" t="s">
        <v>3617</v>
      </c>
      <c r="J718" t="s">
        <v>1967</v>
      </c>
      <c r="K718" t="s">
        <v>868</v>
      </c>
      <c r="L718" t="s">
        <v>3618</v>
      </c>
      <c r="M718" t="s">
        <v>1967</v>
      </c>
      <c r="N718" t="s">
        <v>1968</v>
      </c>
      <c r="Q718" t="s">
        <v>3599</v>
      </c>
      <c r="R718" t="s">
        <v>3599</v>
      </c>
      <c r="S718" t="s">
        <v>3599</v>
      </c>
      <c r="T718">
        <v>1</v>
      </c>
      <c r="U718" t="s">
        <v>868</v>
      </c>
      <c r="V718">
        <v>5</v>
      </c>
      <c r="W718">
        <v>0</v>
      </c>
      <c r="X718">
        <v>0</v>
      </c>
    </row>
    <row r="719" spans="1:24" x14ac:dyDescent="0.3">
      <c r="A719" t="s">
        <v>1969</v>
      </c>
      <c r="B719" t="s">
        <v>1970</v>
      </c>
      <c r="C719">
        <v>1</v>
      </c>
      <c r="D719" t="s">
        <v>11</v>
      </c>
      <c r="E719" t="s">
        <v>21</v>
      </c>
      <c r="F719" t="s">
        <v>22</v>
      </c>
      <c r="H719" t="s">
        <v>71</v>
      </c>
      <c r="I719" t="s">
        <v>3617</v>
      </c>
      <c r="J719" t="s">
        <v>1969</v>
      </c>
      <c r="K719" t="s">
        <v>868</v>
      </c>
      <c r="L719" t="s">
        <v>3618</v>
      </c>
      <c r="M719" t="s">
        <v>1969</v>
      </c>
      <c r="N719" t="s">
        <v>1970</v>
      </c>
      <c r="Q719" t="s">
        <v>3599</v>
      </c>
      <c r="R719" t="s">
        <v>3599</v>
      </c>
      <c r="S719" t="s">
        <v>3599</v>
      </c>
      <c r="T719">
        <v>1</v>
      </c>
      <c r="U719" t="s">
        <v>868</v>
      </c>
      <c r="V719">
        <v>5</v>
      </c>
      <c r="W719">
        <v>0</v>
      </c>
      <c r="X719">
        <v>0</v>
      </c>
    </row>
    <row r="720" spans="1:24" x14ac:dyDescent="0.3">
      <c r="A720" t="s">
        <v>1971</v>
      </c>
      <c r="B720" t="s">
        <v>1972</v>
      </c>
      <c r="C720">
        <v>1</v>
      </c>
      <c r="D720" t="s">
        <v>11</v>
      </c>
      <c r="E720" t="s">
        <v>21</v>
      </c>
      <c r="F720" t="s">
        <v>22</v>
      </c>
      <c r="H720" t="s">
        <v>71</v>
      </c>
      <c r="I720" t="s">
        <v>3617</v>
      </c>
      <c r="J720" t="s">
        <v>1971</v>
      </c>
      <c r="K720" t="s">
        <v>868</v>
      </c>
      <c r="L720" t="s">
        <v>3618</v>
      </c>
      <c r="M720" t="s">
        <v>1971</v>
      </c>
      <c r="N720" t="s">
        <v>1972</v>
      </c>
      <c r="Q720" t="s">
        <v>3599</v>
      </c>
      <c r="R720" t="s">
        <v>3599</v>
      </c>
      <c r="S720" t="s">
        <v>3599</v>
      </c>
      <c r="T720">
        <v>1</v>
      </c>
      <c r="U720" t="s">
        <v>868</v>
      </c>
      <c r="V720">
        <v>5</v>
      </c>
      <c r="W720">
        <v>0</v>
      </c>
      <c r="X720">
        <v>0</v>
      </c>
    </row>
    <row r="721" spans="1:24" x14ac:dyDescent="0.3">
      <c r="A721" t="s">
        <v>1973</v>
      </c>
      <c r="B721" t="s">
        <v>1974</v>
      </c>
      <c r="C721">
        <v>1</v>
      </c>
      <c r="D721" t="s">
        <v>11</v>
      </c>
      <c r="E721" t="s">
        <v>21</v>
      </c>
      <c r="F721" t="s">
        <v>22</v>
      </c>
      <c r="H721" t="s">
        <v>71</v>
      </c>
      <c r="I721" t="s">
        <v>3617</v>
      </c>
      <c r="J721" t="s">
        <v>1973</v>
      </c>
      <c r="K721" t="s">
        <v>868</v>
      </c>
      <c r="L721" t="s">
        <v>3618</v>
      </c>
      <c r="M721" t="s">
        <v>1973</v>
      </c>
      <c r="N721" t="s">
        <v>1974</v>
      </c>
      <c r="Q721" t="s">
        <v>3599</v>
      </c>
      <c r="R721" t="s">
        <v>3599</v>
      </c>
      <c r="S721" t="s">
        <v>3599</v>
      </c>
      <c r="T721">
        <v>1</v>
      </c>
      <c r="U721" t="s">
        <v>868</v>
      </c>
      <c r="V721">
        <v>5</v>
      </c>
      <c r="W721">
        <v>0</v>
      </c>
      <c r="X721">
        <v>0</v>
      </c>
    </row>
    <row r="722" spans="1:24" x14ac:dyDescent="0.3">
      <c r="A722" t="s">
        <v>1975</v>
      </c>
      <c r="B722" t="s">
        <v>1976</v>
      </c>
      <c r="C722">
        <v>1</v>
      </c>
      <c r="D722" t="s">
        <v>11</v>
      </c>
      <c r="E722" t="s">
        <v>21</v>
      </c>
      <c r="F722" t="s">
        <v>22</v>
      </c>
      <c r="H722" t="s">
        <v>71</v>
      </c>
      <c r="I722" t="s">
        <v>3617</v>
      </c>
      <c r="J722" t="s">
        <v>1975</v>
      </c>
      <c r="K722" t="s">
        <v>868</v>
      </c>
      <c r="L722" t="s">
        <v>3618</v>
      </c>
      <c r="M722" t="s">
        <v>1975</v>
      </c>
      <c r="N722" t="s">
        <v>1976</v>
      </c>
      <c r="Q722" t="s">
        <v>3599</v>
      </c>
      <c r="R722" t="s">
        <v>3599</v>
      </c>
      <c r="S722" t="s">
        <v>3599</v>
      </c>
      <c r="T722">
        <v>1</v>
      </c>
      <c r="U722" t="s">
        <v>868</v>
      </c>
      <c r="V722">
        <v>5</v>
      </c>
      <c r="W722">
        <v>0</v>
      </c>
      <c r="X722">
        <v>0</v>
      </c>
    </row>
    <row r="723" spans="1:24" x14ac:dyDescent="0.3">
      <c r="A723" t="s">
        <v>1977</v>
      </c>
      <c r="B723" t="s">
        <v>1978</v>
      </c>
      <c r="C723">
        <v>1</v>
      </c>
      <c r="D723" t="s">
        <v>11</v>
      </c>
      <c r="E723" t="s">
        <v>21</v>
      </c>
      <c r="F723" t="s">
        <v>22</v>
      </c>
      <c r="H723" t="s">
        <v>71</v>
      </c>
      <c r="I723" t="s">
        <v>3617</v>
      </c>
      <c r="J723" t="s">
        <v>1977</v>
      </c>
      <c r="K723" t="s">
        <v>868</v>
      </c>
      <c r="L723" t="s">
        <v>3618</v>
      </c>
      <c r="M723" t="s">
        <v>1977</v>
      </c>
      <c r="N723" t="s">
        <v>1978</v>
      </c>
      <c r="O723" t="s">
        <v>1979</v>
      </c>
      <c r="Q723" t="s">
        <v>3599</v>
      </c>
      <c r="R723" t="s">
        <v>3599</v>
      </c>
      <c r="S723" t="s">
        <v>3599</v>
      </c>
      <c r="T723">
        <v>1</v>
      </c>
      <c r="U723" t="s">
        <v>868</v>
      </c>
      <c r="V723">
        <v>5</v>
      </c>
      <c r="W723">
        <v>0</v>
      </c>
      <c r="X723">
        <v>0</v>
      </c>
    </row>
    <row r="724" spans="1:24" x14ac:dyDescent="0.3">
      <c r="A724" t="s">
        <v>1980</v>
      </c>
      <c r="B724" t="s">
        <v>1981</v>
      </c>
      <c r="C724">
        <v>1</v>
      </c>
      <c r="D724" t="s">
        <v>11</v>
      </c>
      <c r="E724" t="s">
        <v>21</v>
      </c>
      <c r="F724" t="s">
        <v>22</v>
      </c>
      <c r="H724" t="s">
        <v>71</v>
      </c>
      <c r="I724" t="s">
        <v>3617</v>
      </c>
      <c r="J724" t="s">
        <v>1980</v>
      </c>
      <c r="K724" t="s">
        <v>868</v>
      </c>
      <c r="L724" t="s">
        <v>3618</v>
      </c>
      <c r="M724" t="s">
        <v>1980</v>
      </c>
      <c r="N724" t="s">
        <v>1981</v>
      </c>
      <c r="Q724" t="s">
        <v>3599</v>
      </c>
      <c r="R724" t="s">
        <v>3599</v>
      </c>
      <c r="S724" t="s">
        <v>3599</v>
      </c>
      <c r="T724">
        <v>1</v>
      </c>
      <c r="U724" t="s">
        <v>868</v>
      </c>
      <c r="V724">
        <v>5</v>
      </c>
      <c r="W724">
        <v>0</v>
      </c>
      <c r="X724">
        <v>0</v>
      </c>
    </row>
    <row r="725" spans="1:24" x14ac:dyDescent="0.3">
      <c r="A725" t="s">
        <v>1982</v>
      </c>
      <c r="B725" t="s">
        <v>1983</v>
      </c>
      <c r="C725">
        <v>1</v>
      </c>
      <c r="D725" t="s">
        <v>11</v>
      </c>
      <c r="E725" t="s">
        <v>21</v>
      </c>
      <c r="F725" t="s">
        <v>22</v>
      </c>
      <c r="H725" t="s">
        <v>71</v>
      </c>
      <c r="I725" t="s">
        <v>3617</v>
      </c>
      <c r="J725" t="s">
        <v>1982</v>
      </c>
      <c r="K725" t="s">
        <v>868</v>
      </c>
      <c r="L725" t="s">
        <v>3618</v>
      </c>
      <c r="M725" t="s">
        <v>1982</v>
      </c>
      <c r="N725" t="s">
        <v>1983</v>
      </c>
      <c r="Q725" t="s">
        <v>3599</v>
      </c>
      <c r="R725" t="s">
        <v>3599</v>
      </c>
      <c r="S725" t="s">
        <v>3599</v>
      </c>
      <c r="T725">
        <v>1</v>
      </c>
      <c r="U725" t="s">
        <v>868</v>
      </c>
      <c r="V725">
        <v>5</v>
      </c>
      <c r="W725">
        <v>0</v>
      </c>
      <c r="X725">
        <v>0</v>
      </c>
    </row>
    <row r="726" spans="1:24" x14ac:dyDescent="0.3">
      <c r="A726" t="s">
        <v>1984</v>
      </c>
      <c r="B726" t="s">
        <v>1985</v>
      </c>
      <c r="C726">
        <v>1</v>
      </c>
      <c r="D726" t="s">
        <v>11</v>
      </c>
      <c r="E726" t="s">
        <v>21</v>
      </c>
      <c r="F726" t="s">
        <v>22</v>
      </c>
      <c r="H726" t="s">
        <v>71</v>
      </c>
      <c r="I726" t="s">
        <v>3617</v>
      </c>
      <c r="J726" t="s">
        <v>1984</v>
      </c>
      <c r="K726" t="s">
        <v>868</v>
      </c>
      <c r="L726" t="s">
        <v>3618</v>
      </c>
      <c r="M726" t="s">
        <v>1984</v>
      </c>
      <c r="N726" t="s">
        <v>1985</v>
      </c>
      <c r="Q726" t="s">
        <v>3599</v>
      </c>
      <c r="R726" t="s">
        <v>3599</v>
      </c>
      <c r="S726" t="s">
        <v>3599</v>
      </c>
      <c r="T726">
        <v>1</v>
      </c>
      <c r="U726" t="s">
        <v>868</v>
      </c>
      <c r="V726">
        <v>5</v>
      </c>
      <c r="W726">
        <v>0</v>
      </c>
      <c r="X726">
        <v>0</v>
      </c>
    </row>
    <row r="727" spans="1:24" x14ac:dyDescent="0.3">
      <c r="A727" t="s">
        <v>1986</v>
      </c>
      <c r="B727" t="s">
        <v>1987</v>
      </c>
      <c r="C727">
        <v>1</v>
      </c>
      <c r="D727" t="s">
        <v>11</v>
      </c>
      <c r="E727" t="s">
        <v>21</v>
      </c>
      <c r="F727" t="s">
        <v>22</v>
      </c>
      <c r="H727" t="s">
        <v>71</v>
      </c>
      <c r="I727" t="s">
        <v>3617</v>
      </c>
      <c r="J727" t="s">
        <v>1986</v>
      </c>
      <c r="K727" t="s">
        <v>868</v>
      </c>
      <c r="L727" t="s">
        <v>3618</v>
      </c>
      <c r="M727" t="s">
        <v>1986</v>
      </c>
      <c r="N727" t="s">
        <v>1987</v>
      </c>
      <c r="Q727" t="s">
        <v>3599</v>
      </c>
      <c r="R727" t="s">
        <v>3599</v>
      </c>
      <c r="S727" t="s">
        <v>3599</v>
      </c>
      <c r="T727">
        <v>1</v>
      </c>
      <c r="U727" t="s">
        <v>868</v>
      </c>
      <c r="V727">
        <v>5</v>
      </c>
      <c r="W727">
        <v>0</v>
      </c>
      <c r="X727">
        <v>0</v>
      </c>
    </row>
    <row r="728" spans="1:24" x14ac:dyDescent="0.3">
      <c r="A728" t="s">
        <v>1988</v>
      </c>
      <c r="B728" t="s">
        <v>1989</v>
      </c>
      <c r="C728">
        <v>1</v>
      </c>
      <c r="D728" t="s">
        <v>11</v>
      </c>
      <c r="E728" t="s">
        <v>21</v>
      </c>
      <c r="F728" t="s">
        <v>22</v>
      </c>
      <c r="H728" t="s">
        <v>71</v>
      </c>
      <c r="I728" t="s">
        <v>3617</v>
      </c>
      <c r="J728" t="s">
        <v>1988</v>
      </c>
      <c r="K728" t="s">
        <v>868</v>
      </c>
      <c r="L728" t="s">
        <v>3618</v>
      </c>
      <c r="M728" t="s">
        <v>1988</v>
      </c>
      <c r="N728" t="s">
        <v>1989</v>
      </c>
      <c r="Q728" t="s">
        <v>3599</v>
      </c>
      <c r="R728" t="s">
        <v>3599</v>
      </c>
      <c r="S728" t="s">
        <v>3599</v>
      </c>
      <c r="T728">
        <v>1</v>
      </c>
      <c r="U728" t="s">
        <v>868</v>
      </c>
      <c r="V728">
        <v>5</v>
      </c>
      <c r="W728">
        <v>0</v>
      </c>
      <c r="X728">
        <v>0</v>
      </c>
    </row>
    <row r="729" spans="1:24" x14ac:dyDescent="0.3">
      <c r="A729" t="s">
        <v>1990</v>
      </c>
      <c r="B729" t="s">
        <v>1991</v>
      </c>
      <c r="C729">
        <v>1</v>
      </c>
      <c r="D729" t="s">
        <v>11</v>
      </c>
      <c r="E729" t="s">
        <v>21</v>
      </c>
      <c r="F729" t="s">
        <v>22</v>
      </c>
      <c r="H729" t="s">
        <v>71</v>
      </c>
      <c r="I729" t="s">
        <v>3617</v>
      </c>
      <c r="J729" t="s">
        <v>1990</v>
      </c>
      <c r="K729" t="s">
        <v>868</v>
      </c>
      <c r="L729" t="s">
        <v>3618</v>
      </c>
      <c r="M729" t="s">
        <v>1990</v>
      </c>
      <c r="N729" t="s">
        <v>1991</v>
      </c>
      <c r="Q729" t="s">
        <v>3599</v>
      </c>
      <c r="R729" t="s">
        <v>3599</v>
      </c>
      <c r="S729" t="s">
        <v>3599</v>
      </c>
      <c r="T729">
        <v>1</v>
      </c>
      <c r="U729" t="s">
        <v>868</v>
      </c>
      <c r="V729">
        <v>5</v>
      </c>
      <c r="W729">
        <v>0</v>
      </c>
      <c r="X729">
        <v>0</v>
      </c>
    </row>
    <row r="730" spans="1:24" x14ac:dyDescent="0.3">
      <c r="A730" t="s">
        <v>1992</v>
      </c>
      <c r="B730" t="s">
        <v>1993</v>
      </c>
      <c r="C730">
        <v>1</v>
      </c>
      <c r="D730" t="s">
        <v>11</v>
      </c>
      <c r="E730" t="s">
        <v>21</v>
      </c>
      <c r="F730" t="s">
        <v>22</v>
      </c>
      <c r="H730" t="s">
        <v>71</v>
      </c>
      <c r="I730" t="s">
        <v>3617</v>
      </c>
      <c r="J730" t="s">
        <v>1992</v>
      </c>
      <c r="K730" t="s">
        <v>868</v>
      </c>
      <c r="L730" t="s">
        <v>3618</v>
      </c>
      <c r="M730" t="s">
        <v>1992</v>
      </c>
      <c r="N730" t="s">
        <v>1993</v>
      </c>
      <c r="Q730" t="s">
        <v>3599</v>
      </c>
      <c r="R730" t="s">
        <v>3599</v>
      </c>
      <c r="S730" t="s">
        <v>3599</v>
      </c>
      <c r="T730">
        <v>1</v>
      </c>
      <c r="U730" t="s">
        <v>868</v>
      </c>
      <c r="V730">
        <v>5</v>
      </c>
      <c r="W730">
        <v>0</v>
      </c>
      <c r="X730">
        <v>0</v>
      </c>
    </row>
    <row r="731" spans="1:24" x14ac:dyDescent="0.3">
      <c r="A731" t="s">
        <v>1994</v>
      </c>
      <c r="B731" t="s">
        <v>1995</v>
      </c>
      <c r="C731">
        <v>1</v>
      </c>
      <c r="D731" t="s">
        <v>11</v>
      </c>
      <c r="E731" t="s">
        <v>21</v>
      </c>
      <c r="F731" t="s">
        <v>22</v>
      </c>
      <c r="H731" t="s">
        <v>71</v>
      </c>
      <c r="I731" t="s">
        <v>3617</v>
      </c>
      <c r="J731" t="s">
        <v>1994</v>
      </c>
      <c r="K731" t="s">
        <v>868</v>
      </c>
      <c r="L731" t="s">
        <v>3618</v>
      </c>
      <c r="M731" t="s">
        <v>1994</v>
      </c>
      <c r="N731" t="s">
        <v>1995</v>
      </c>
      <c r="Q731" t="s">
        <v>3599</v>
      </c>
      <c r="R731" t="s">
        <v>3599</v>
      </c>
      <c r="S731" t="s">
        <v>3599</v>
      </c>
      <c r="T731">
        <v>1</v>
      </c>
      <c r="U731" t="s">
        <v>868</v>
      </c>
      <c r="V731">
        <v>5</v>
      </c>
      <c r="W731">
        <v>0</v>
      </c>
      <c r="X731">
        <v>0</v>
      </c>
    </row>
    <row r="732" spans="1:24" x14ac:dyDescent="0.3">
      <c r="A732" t="s">
        <v>1996</v>
      </c>
      <c r="B732" t="s">
        <v>1997</v>
      </c>
      <c r="C732">
        <v>1</v>
      </c>
      <c r="D732" t="s">
        <v>11</v>
      </c>
      <c r="E732" t="s">
        <v>21</v>
      </c>
      <c r="F732" t="s">
        <v>22</v>
      </c>
      <c r="H732" t="s">
        <v>71</v>
      </c>
      <c r="I732" t="s">
        <v>3617</v>
      </c>
      <c r="J732" t="s">
        <v>1996</v>
      </c>
      <c r="K732" t="s">
        <v>868</v>
      </c>
      <c r="L732" t="s">
        <v>3618</v>
      </c>
      <c r="M732" t="s">
        <v>1996</v>
      </c>
      <c r="N732" t="s">
        <v>1997</v>
      </c>
      <c r="Q732" t="s">
        <v>3599</v>
      </c>
      <c r="R732" t="s">
        <v>3599</v>
      </c>
      <c r="S732" t="s">
        <v>3599</v>
      </c>
      <c r="T732">
        <v>1</v>
      </c>
      <c r="U732" t="s">
        <v>868</v>
      </c>
      <c r="V732">
        <v>5</v>
      </c>
      <c r="W732">
        <v>0</v>
      </c>
      <c r="X732">
        <v>0</v>
      </c>
    </row>
    <row r="733" spans="1:24" x14ac:dyDescent="0.3">
      <c r="A733" t="s">
        <v>1998</v>
      </c>
      <c r="B733" t="s">
        <v>1999</v>
      </c>
      <c r="C733">
        <v>1</v>
      </c>
      <c r="D733" t="s">
        <v>11</v>
      </c>
      <c r="E733" t="s">
        <v>21</v>
      </c>
      <c r="F733" t="s">
        <v>22</v>
      </c>
      <c r="H733" t="s">
        <v>71</v>
      </c>
      <c r="I733" t="s">
        <v>3617</v>
      </c>
      <c r="J733" t="s">
        <v>1998</v>
      </c>
      <c r="K733" t="s">
        <v>868</v>
      </c>
      <c r="L733" t="s">
        <v>3618</v>
      </c>
      <c r="M733" t="s">
        <v>1998</v>
      </c>
      <c r="N733" t="s">
        <v>1999</v>
      </c>
      <c r="O733" t="s">
        <v>2001</v>
      </c>
      <c r="P733" t="s">
        <v>2000</v>
      </c>
      <c r="Q733" t="s">
        <v>3599</v>
      </c>
      <c r="R733" t="s">
        <v>3599</v>
      </c>
      <c r="S733" t="s">
        <v>3599</v>
      </c>
      <c r="T733">
        <v>1</v>
      </c>
      <c r="U733" t="s">
        <v>868</v>
      </c>
      <c r="V733">
        <v>5</v>
      </c>
      <c r="W733">
        <v>0</v>
      </c>
      <c r="X733">
        <v>0</v>
      </c>
    </row>
    <row r="734" spans="1:24" x14ac:dyDescent="0.3">
      <c r="A734" t="s">
        <v>2002</v>
      </c>
      <c r="B734" t="s">
        <v>2003</v>
      </c>
      <c r="C734">
        <v>1</v>
      </c>
      <c r="D734" t="s">
        <v>11</v>
      </c>
      <c r="E734" t="s">
        <v>21</v>
      </c>
      <c r="F734" t="s">
        <v>22</v>
      </c>
      <c r="H734" t="s">
        <v>71</v>
      </c>
      <c r="I734" t="s">
        <v>3617</v>
      </c>
      <c r="J734" t="s">
        <v>2002</v>
      </c>
      <c r="K734" t="s">
        <v>868</v>
      </c>
      <c r="L734" t="s">
        <v>3618</v>
      </c>
      <c r="M734" t="s">
        <v>2002</v>
      </c>
      <c r="N734" t="s">
        <v>2003</v>
      </c>
      <c r="Q734" t="s">
        <v>3599</v>
      </c>
      <c r="R734" t="s">
        <v>3599</v>
      </c>
      <c r="S734" t="s">
        <v>3599</v>
      </c>
      <c r="T734">
        <v>1</v>
      </c>
      <c r="U734" t="s">
        <v>868</v>
      </c>
      <c r="V734">
        <v>5</v>
      </c>
      <c r="W734">
        <v>0</v>
      </c>
      <c r="X734">
        <v>0</v>
      </c>
    </row>
    <row r="735" spans="1:24" x14ac:dyDescent="0.3">
      <c r="A735" t="s">
        <v>2004</v>
      </c>
      <c r="B735" t="s">
        <v>2005</v>
      </c>
      <c r="C735">
        <v>1</v>
      </c>
      <c r="D735" t="s">
        <v>11</v>
      </c>
      <c r="E735" t="s">
        <v>21</v>
      </c>
      <c r="F735" t="s">
        <v>22</v>
      </c>
      <c r="H735" t="s">
        <v>71</v>
      </c>
      <c r="I735" t="s">
        <v>3617</v>
      </c>
      <c r="J735" t="s">
        <v>2004</v>
      </c>
      <c r="K735" t="s">
        <v>868</v>
      </c>
      <c r="L735" t="s">
        <v>3618</v>
      </c>
      <c r="M735" t="s">
        <v>2004</v>
      </c>
      <c r="N735" t="s">
        <v>2005</v>
      </c>
      <c r="Q735" t="s">
        <v>3599</v>
      </c>
      <c r="R735" t="s">
        <v>3599</v>
      </c>
      <c r="S735" t="s">
        <v>3599</v>
      </c>
      <c r="T735">
        <v>1</v>
      </c>
      <c r="U735" t="s">
        <v>868</v>
      </c>
      <c r="V735">
        <v>5</v>
      </c>
      <c r="W735">
        <v>0</v>
      </c>
      <c r="X735">
        <v>0</v>
      </c>
    </row>
    <row r="736" spans="1:24" x14ac:dyDescent="0.3">
      <c r="A736" t="s">
        <v>1243</v>
      </c>
      <c r="B736" t="s">
        <v>1244</v>
      </c>
      <c r="C736">
        <v>1</v>
      </c>
      <c r="D736" t="s">
        <v>11</v>
      </c>
      <c r="E736" t="s">
        <v>21</v>
      </c>
      <c r="F736" t="s">
        <v>22</v>
      </c>
      <c r="H736" t="s">
        <v>71</v>
      </c>
      <c r="I736" t="s">
        <v>3617</v>
      </c>
      <c r="J736" t="s">
        <v>1243</v>
      </c>
      <c r="K736" t="s">
        <v>868</v>
      </c>
      <c r="L736" t="s">
        <v>3618</v>
      </c>
      <c r="M736" t="s">
        <v>1243</v>
      </c>
      <c r="N736" t="s">
        <v>1244</v>
      </c>
      <c r="Q736" t="s">
        <v>3599</v>
      </c>
      <c r="R736" t="s">
        <v>3599</v>
      </c>
      <c r="S736" t="s">
        <v>3599</v>
      </c>
      <c r="T736">
        <v>1</v>
      </c>
      <c r="U736" t="s">
        <v>868</v>
      </c>
      <c r="V736">
        <v>5</v>
      </c>
      <c r="W736">
        <v>0</v>
      </c>
      <c r="X736">
        <v>0</v>
      </c>
    </row>
    <row r="737" spans="1:24" x14ac:dyDescent="0.3">
      <c r="A737" t="s">
        <v>2006</v>
      </c>
      <c r="B737" t="s">
        <v>2007</v>
      </c>
      <c r="C737">
        <v>1</v>
      </c>
      <c r="D737" t="s">
        <v>11</v>
      </c>
      <c r="E737" t="s">
        <v>21</v>
      </c>
      <c r="F737" t="s">
        <v>22</v>
      </c>
      <c r="H737" t="s">
        <v>71</v>
      </c>
      <c r="I737" t="s">
        <v>3617</v>
      </c>
      <c r="J737" t="s">
        <v>2006</v>
      </c>
      <c r="K737" t="s">
        <v>868</v>
      </c>
      <c r="L737" t="s">
        <v>3618</v>
      </c>
      <c r="M737" t="s">
        <v>2006</v>
      </c>
      <c r="N737" t="s">
        <v>2007</v>
      </c>
      <c r="Q737" t="s">
        <v>3599</v>
      </c>
      <c r="R737" t="s">
        <v>3599</v>
      </c>
      <c r="S737" t="s">
        <v>3599</v>
      </c>
      <c r="T737">
        <v>1</v>
      </c>
      <c r="U737" t="s">
        <v>868</v>
      </c>
      <c r="V737">
        <v>5</v>
      </c>
      <c r="W737">
        <v>0</v>
      </c>
      <c r="X737">
        <v>0</v>
      </c>
    </row>
    <row r="738" spans="1:24" x14ac:dyDescent="0.3">
      <c r="A738" t="s">
        <v>2008</v>
      </c>
      <c r="B738" t="s">
        <v>2009</v>
      </c>
      <c r="C738">
        <v>1</v>
      </c>
      <c r="D738" t="s">
        <v>11</v>
      </c>
      <c r="E738" t="s">
        <v>21</v>
      </c>
      <c r="F738" t="s">
        <v>22</v>
      </c>
      <c r="H738" t="s">
        <v>71</v>
      </c>
      <c r="I738" t="s">
        <v>3617</v>
      </c>
      <c r="J738" t="s">
        <v>2008</v>
      </c>
      <c r="K738" t="s">
        <v>868</v>
      </c>
      <c r="L738" t="s">
        <v>3618</v>
      </c>
      <c r="M738" t="s">
        <v>2008</v>
      </c>
      <c r="N738" t="s">
        <v>2009</v>
      </c>
      <c r="Q738" t="s">
        <v>3599</v>
      </c>
      <c r="R738" t="s">
        <v>3599</v>
      </c>
      <c r="S738" t="s">
        <v>3599</v>
      </c>
      <c r="T738">
        <v>1</v>
      </c>
      <c r="U738" t="s">
        <v>868</v>
      </c>
      <c r="V738">
        <v>5</v>
      </c>
      <c r="W738">
        <v>0</v>
      </c>
      <c r="X738">
        <v>0</v>
      </c>
    </row>
    <row r="739" spans="1:24" x14ac:dyDescent="0.3">
      <c r="A739" t="s">
        <v>2010</v>
      </c>
      <c r="B739" t="s">
        <v>2011</v>
      </c>
      <c r="C739">
        <v>1</v>
      </c>
      <c r="D739" t="s">
        <v>11</v>
      </c>
      <c r="E739" t="s">
        <v>21</v>
      </c>
      <c r="F739" t="s">
        <v>22</v>
      </c>
      <c r="H739" t="s">
        <v>71</v>
      </c>
      <c r="I739" t="s">
        <v>3617</v>
      </c>
      <c r="J739" t="s">
        <v>2010</v>
      </c>
      <c r="K739" t="s">
        <v>868</v>
      </c>
      <c r="L739" t="s">
        <v>3618</v>
      </c>
      <c r="M739" t="s">
        <v>2010</v>
      </c>
      <c r="N739" t="s">
        <v>2011</v>
      </c>
      <c r="Q739" t="s">
        <v>3599</v>
      </c>
      <c r="R739" t="s">
        <v>3599</v>
      </c>
      <c r="S739" t="s">
        <v>3599</v>
      </c>
      <c r="T739">
        <v>1</v>
      </c>
      <c r="U739" t="s">
        <v>868</v>
      </c>
      <c r="V739">
        <v>5</v>
      </c>
      <c r="W739">
        <v>0</v>
      </c>
      <c r="X739">
        <v>0</v>
      </c>
    </row>
    <row r="740" spans="1:24" x14ac:dyDescent="0.3">
      <c r="A740" t="s">
        <v>2012</v>
      </c>
      <c r="B740" t="s">
        <v>2013</v>
      </c>
      <c r="C740">
        <v>1</v>
      </c>
      <c r="D740" t="s">
        <v>11</v>
      </c>
      <c r="E740" t="s">
        <v>21</v>
      </c>
      <c r="F740" t="s">
        <v>22</v>
      </c>
      <c r="H740" t="s">
        <v>71</v>
      </c>
      <c r="I740" t="s">
        <v>3617</v>
      </c>
      <c r="J740" t="s">
        <v>2012</v>
      </c>
      <c r="K740" t="s">
        <v>868</v>
      </c>
      <c r="L740" t="s">
        <v>3618</v>
      </c>
      <c r="M740" t="s">
        <v>2012</v>
      </c>
      <c r="N740" t="s">
        <v>2013</v>
      </c>
      <c r="Q740" t="s">
        <v>3599</v>
      </c>
      <c r="R740" t="s">
        <v>3599</v>
      </c>
      <c r="S740" t="s">
        <v>3599</v>
      </c>
      <c r="T740">
        <v>1</v>
      </c>
      <c r="U740" t="s">
        <v>868</v>
      </c>
      <c r="V740">
        <v>5</v>
      </c>
      <c r="W740">
        <v>0</v>
      </c>
      <c r="X740">
        <v>0</v>
      </c>
    </row>
    <row r="741" spans="1:24" x14ac:dyDescent="0.3">
      <c r="A741" t="s">
        <v>2014</v>
      </c>
      <c r="B741" t="s">
        <v>2015</v>
      </c>
      <c r="C741">
        <v>1</v>
      </c>
      <c r="D741" t="s">
        <v>11</v>
      </c>
      <c r="E741" t="s">
        <v>21</v>
      </c>
      <c r="F741" t="s">
        <v>22</v>
      </c>
      <c r="H741" t="s">
        <v>71</v>
      </c>
      <c r="I741" t="s">
        <v>3617</v>
      </c>
      <c r="J741" t="s">
        <v>2014</v>
      </c>
      <c r="K741" t="s">
        <v>868</v>
      </c>
      <c r="L741" t="s">
        <v>3618</v>
      </c>
      <c r="M741" t="s">
        <v>2014</v>
      </c>
      <c r="N741" t="s">
        <v>2015</v>
      </c>
      <c r="Q741" t="s">
        <v>3599</v>
      </c>
      <c r="R741" t="s">
        <v>3599</v>
      </c>
      <c r="S741" t="s">
        <v>3599</v>
      </c>
      <c r="T741">
        <v>1</v>
      </c>
      <c r="U741" t="s">
        <v>868</v>
      </c>
      <c r="V741">
        <v>5</v>
      </c>
      <c r="W741">
        <v>0</v>
      </c>
      <c r="X741">
        <v>0</v>
      </c>
    </row>
    <row r="742" spans="1:24" x14ac:dyDescent="0.3">
      <c r="A742" t="s">
        <v>2016</v>
      </c>
      <c r="B742" t="s">
        <v>2017</v>
      </c>
      <c r="C742">
        <v>1</v>
      </c>
      <c r="D742" t="s">
        <v>11</v>
      </c>
      <c r="E742" t="s">
        <v>21</v>
      </c>
      <c r="F742" t="s">
        <v>22</v>
      </c>
      <c r="H742" t="s">
        <v>71</v>
      </c>
      <c r="I742" t="s">
        <v>3617</v>
      </c>
      <c r="K742" t="s">
        <v>868</v>
      </c>
      <c r="L742" t="s">
        <v>3618</v>
      </c>
      <c r="N742" t="s">
        <v>2017</v>
      </c>
      <c r="Q742" t="s">
        <v>3599</v>
      </c>
      <c r="R742" t="s">
        <v>3599</v>
      </c>
      <c r="S742" t="s">
        <v>3599</v>
      </c>
      <c r="T742">
        <v>1</v>
      </c>
      <c r="U742" t="s">
        <v>868</v>
      </c>
      <c r="V742">
        <v>5</v>
      </c>
      <c r="W742">
        <v>0</v>
      </c>
      <c r="X742">
        <v>0</v>
      </c>
    </row>
    <row r="743" spans="1:24" x14ac:dyDescent="0.3">
      <c r="A743" t="s">
        <v>2018</v>
      </c>
      <c r="B743" t="s">
        <v>2019</v>
      </c>
      <c r="C743">
        <v>1</v>
      </c>
      <c r="D743" t="s">
        <v>11</v>
      </c>
      <c r="E743" t="s">
        <v>21</v>
      </c>
      <c r="F743" t="s">
        <v>22</v>
      </c>
      <c r="H743" t="s">
        <v>71</v>
      </c>
      <c r="I743" t="s">
        <v>3617</v>
      </c>
      <c r="J743" t="s">
        <v>2018</v>
      </c>
      <c r="K743" t="s">
        <v>868</v>
      </c>
      <c r="L743" t="s">
        <v>3618</v>
      </c>
      <c r="M743" t="s">
        <v>2018</v>
      </c>
      <c r="N743" t="s">
        <v>2019</v>
      </c>
      <c r="Q743" t="s">
        <v>3599</v>
      </c>
      <c r="R743" t="s">
        <v>3599</v>
      </c>
      <c r="S743" t="s">
        <v>3599</v>
      </c>
      <c r="T743">
        <v>1</v>
      </c>
      <c r="U743" t="s">
        <v>868</v>
      </c>
      <c r="V743">
        <v>5</v>
      </c>
      <c r="W743">
        <v>0</v>
      </c>
      <c r="X743">
        <v>0</v>
      </c>
    </row>
    <row r="744" spans="1:24" x14ac:dyDescent="0.3">
      <c r="A744" t="s">
        <v>2020</v>
      </c>
      <c r="B744" t="s">
        <v>2021</v>
      </c>
      <c r="C744">
        <v>1</v>
      </c>
      <c r="D744" t="s">
        <v>11</v>
      </c>
      <c r="E744" t="s">
        <v>21</v>
      </c>
      <c r="F744" t="s">
        <v>22</v>
      </c>
      <c r="H744" t="s">
        <v>71</v>
      </c>
      <c r="I744" t="s">
        <v>3617</v>
      </c>
      <c r="J744" t="s">
        <v>2020</v>
      </c>
      <c r="K744" t="s">
        <v>868</v>
      </c>
      <c r="L744" t="s">
        <v>3618</v>
      </c>
      <c r="M744" t="s">
        <v>2020</v>
      </c>
      <c r="N744" t="s">
        <v>2021</v>
      </c>
      <c r="Q744" t="s">
        <v>3599</v>
      </c>
      <c r="R744" t="s">
        <v>3599</v>
      </c>
      <c r="S744" t="s">
        <v>3599</v>
      </c>
      <c r="T744">
        <v>1</v>
      </c>
      <c r="U744" t="s">
        <v>868</v>
      </c>
      <c r="V744">
        <v>5</v>
      </c>
      <c r="W744">
        <v>0</v>
      </c>
      <c r="X744">
        <v>0</v>
      </c>
    </row>
    <row r="745" spans="1:24" x14ac:dyDescent="0.3">
      <c r="A745" t="s">
        <v>2022</v>
      </c>
      <c r="B745" t="s">
        <v>2023</v>
      </c>
      <c r="C745">
        <v>1</v>
      </c>
      <c r="D745" t="s">
        <v>11</v>
      </c>
      <c r="E745" t="s">
        <v>21</v>
      </c>
      <c r="F745" t="s">
        <v>22</v>
      </c>
      <c r="H745" t="s">
        <v>71</v>
      </c>
      <c r="I745" t="s">
        <v>3617</v>
      </c>
      <c r="J745" t="s">
        <v>2022</v>
      </c>
      <c r="K745" t="s">
        <v>868</v>
      </c>
      <c r="L745" t="s">
        <v>3618</v>
      </c>
      <c r="M745" t="s">
        <v>2022</v>
      </c>
      <c r="N745" t="s">
        <v>2023</v>
      </c>
      <c r="Q745" t="s">
        <v>3599</v>
      </c>
      <c r="R745" t="s">
        <v>3599</v>
      </c>
      <c r="S745" t="s">
        <v>3599</v>
      </c>
      <c r="T745">
        <v>1</v>
      </c>
      <c r="U745" t="s">
        <v>868</v>
      </c>
      <c r="V745">
        <v>5</v>
      </c>
      <c r="W745">
        <v>0</v>
      </c>
      <c r="X745">
        <v>0</v>
      </c>
    </row>
    <row r="746" spans="1:24" x14ac:dyDescent="0.3">
      <c r="A746" t="s">
        <v>2024</v>
      </c>
      <c r="B746" t="s">
        <v>2025</v>
      </c>
      <c r="C746">
        <v>1</v>
      </c>
      <c r="D746" t="s">
        <v>11</v>
      </c>
      <c r="E746" t="s">
        <v>21</v>
      </c>
      <c r="F746" t="s">
        <v>22</v>
      </c>
      <c r="H746" t="s">
        <v>71</v>
      </c>
      <c r="I746" t="s">
        <v>3617</v>
      </c>
      <c r="J746" t="s">
        <v>2024</v>
      </c>
      <c r="K746" t="s">
        <v>868</v>
      </c>
      <c r="L746" t="s">
        <v>3618</v>
      </c>
      <c r="M746" t="s">
        <v>2024</v>
      </c>
      <c r="N746" t="s">
        <v>2025</v>
      </c>
      <c r="Q746" t="s">
        <v>3599</v>
      </c>
      <c r="R746" t="s">
        <v>3599</v>
      </c>
      <c r="S746" t="s">
        <v>3599</v>
      </c>
      <c r="T746">
        <v>1</v>
      </c>
      <c r="U746" t="s">
        <v>868</v>
      </c>
      <c r="V746">
        <v>5</v>
      </c>
      <c r="W746">
        <v>0</v>
      </c>
      <c r="X746">
        <v>0</v>
      </c>
    </row>
    <row r="747" spans="1:24" x14ac:dyDescent="0.3">
      <c r="A747" t="s">
        <v>2026</v>
      </c>
      <c r="B747" t="s">
        <v>2027</v>
      </c>
      <c r="C747">
        <v>1</v>
      </c>
      <c r="D747" t="s">
        <v>11</v>
      </c>
      <c r="E747" t="s">
        <v>21</v>
      </c>
      <c r="F747" t="s">
        <v>22</v>
      </c>
      <c r="H747" t="s">
        <v>71</v>
      </c>
      <c r="I747" t="s">
        <v>3617</v>
      </c>
      <c r="J747" t="s">
        <v>2026</v>
      </c>
      <c r="K747" t="s">
        <v>868</v>
      </c>
      <c r="L747" t="s">
        <v>3618</v>
      </c>
      <c r="M747" t="s">
        <v>2026</v>
      </c>
      <c r="N747" t="s">
        <v>2027</v>
      </c>
      <c r="Q747" t="s">
        <v>3599</v>
      </c>
      <c r="R747" t="s">
        <v>3599</v>
      </c>
      <c r="S747" t="s">
        <v>3599</v>
      </c>
      <c r="T747">
        <v>1</v>
      </c>
      <c r="U747" t="s">
        <v>868</v>
      </c>
      <c r="V747">
        <v>5</v>
      </c>
      <c r="W747">
        <v>0</v>
      </c>
      <c r="X747">
        <v>0</v>
      </c>
    </row>
    <row r="748" spans="1:24" x14ac:dyDescent="0.3">
      <c r="A748" t="s">
        <v>2028</v>
      </c>
      <c r="B748" t="s">
        <v>2029</v>
      </c>
      <c r="C748">
        <v>1</v>
      </c>
      <c r="D748" t="s">
        <v>11</v>
      </c>
      <c r="E748" t="s">
        <v>21</v>
      </c>
      <c r="F748" t="s">
        <v>22</v>
      </c>
      <c r="H748" t="s">
        <v>71</v>
      </c>
      <c r="I748" t="s">
        <v>3617</v>
      </c>
      <c r="J748" t="s">
        <v>2028</v>
      </c>
      <c r="K748" t="s">
        <v>868</v>
      </c>
      <c r="L748" t="s">
        <v>3618</v>
      </c>
      <c r="M748" t="s">
        <v>2028</v>
      </c>
      <c r="N748" t="s">
        <v>2029</v>
      </c>
      <c r="Q748" t="s">
        <v>3599</v>
      </c>
      <c r="R748" t="s">
        <v>3599</v>
      </c>
      <c r="S748" t="s">
        <v>3599</v>
      </c>
      <c r="T748">
        <v>1</v>
      </c>
      <c r="U748" t="s">
        <v>868</v>
      </c>
      <c r="V748">
        <v>5</v>
      </c>
      <c r="W748">
        <v>0</v>
      </c>
      <c r="X748">
        <v>0</v>
      </c>
    </row>
    <row r="749" spans="1:24" x14ac:dyDescent="0.3">
      <c r="A749" t="s">
        <v>2030</v>
      </c>
      <c r="B749" t="s">
        <v>2031</v>
      </c>
      <c r="C749">
        <v>1</v>
      </c>
      <c r="D749" t="s">
        <v>11</v>
      </c>
      <c r="E749" t="s">
        <v>21</v>
      </c>
      <c r="F749" t="s">
        <v>22</v>
      </c>
      <c r="H749" t="s">
        <v>71</v>
      </c>
      <c r="I749" t="s">
        <v>3617</v>
      </c>
      <c r="J749" t="s">
        <v>2030</v>
      </c>
      <c r="K749" t="s">
        <v>868</v>
      </c>
      <c r="L749" t="s">
        <v>3618</v>
      </c>
      <c r="M749" t="s">
        <v>2030</v>
      </c>
      <c r="N749" t="s">
        <v>2031</v>
      </c>
      <c r="Q749" t="s">
        <v>3599</v>
      </c>
      <c r="R749" t="s">
        <v>3599</v>
      </c>
      <c r="S749" t="s">
        <v>3599</v>
      </c>
      <c r="T749">
        <v>1</v>
      </c>
      <c r="U749" t="s">
        <v>868</v>
      </c>
      <c r="V749">
        <v>5</v>
      </c>
      <c r="W749">
        <v>0</v>
      </c>
      <c r="X749">
        <v>0</v>
      </c>
    </row>
    <row r="750" spans="1:24" x14ac:dyDescent="0.3">
      <c r="A750" t="s">
        <v>2032</v>
      </c>
      <c r="B750" t="s">
        <v>2033</v>
      </c>
      <c r="C750">
        <v>1</v>
      </c>
      <c r="D750" t="s">
        <v>11</v>
      </c>
      <c r="E750" t="s">
        <v>21</v>
      </c>
      <c r="F750" t="s">
        <v>22</v>
      </c>
      <c r="H750" t="s">
        <v>71</v>
      </c>
      <c r="I750" t="s">
        <v>3617</v>
      </c>
      <c r="J750" t="s">
        <v>2032</v>
      </c>
      <c r="K750" t="s">
        <v>868</v>
      </c>
      <c r="L750" t="s">
        <v>3618</v>
      </c>
      <c r="M750" t="s">
        <v>2032</v>
      </c>
      <c r="N750" t="s">
        <v>2033</v>
      </c>
      <c r="Q750" t="s">
        <v>3599</v>
      </c>
      <c r="R750" t="s">
        <v>3599</v>
      </c>
      <c r="S750" t="s">
        <v>3599</v>
      </c>
      <c r="T750">
        <v>1</v>
      </c>
      <c r="U750" t="s">
        <v>868</v>
      </c>
      <c r="V750">
        <v>5</v>
      </c>
      <c r="W750">
        <v>0</v>
      </c>
      <c r="X750">
        <v>0</v>
      </c>
    </row>
    <row r="751" spans="1:24" x14ac:dyDescent="0.3">
      <c r="A751" t="s">
        <v>2034</v>
      </c>
      <c r="B751" t="s">
        <v>2035</v>
      </c>
      <c r="C751">
        <v>1</v>
      </c>
      <c r="D751" t="s">
        <v>11</v>
      </c>
      <c r="E751" t="s">
        <v>21</v>
      </c>
      <c r="F751" t="s">
        <v>22</v>
      </c>
      <c r="H751" t="s">
        <v>71</v>
      </c>
      <c r="I751" t="s">
        <v>3617</v>
      </c>
      <c r="J751" t="s">
        <v>2034</v>
      </c>
      <c r="K751" t="s">
        <v>868</v>
      </c>
      <c r="L751" t="s">
        <v>3618</v>
      </c>
      <c r="M751" t="s">
        <v>2034</v>
      </c>
      <c r="N751" t="s">
        <v>2035</v>
      </c>
      <c r="Q751" t="s">
        <v>3599</v>
      </c>
      <c r="R751" t="s">
        <v>3599</v>
      </c>
      <c r="S751" t="s">
        <v>3599</v>
      </c>
      <c r="T751">
        <v>1</v>
      </c>
      <c r="U751" t="s">
        <v>868</v>
      </c>
      <c r="V751">
        <v>5</v>
      </c>
      <c r="W751">
        <v>0</v>
      </c>
      <c r="X751">
        <v>0</v>
      </c>
    </row>
    <row r="752" spans="1:24" x14ac:dyDescent="0.3">
      <c r="A752" t="s">
        <v>2036</v>
      </c>
      <c r="B752" t="s">
        <v>2037</v>
      </c>
      <c r="C752">
        <v>1</v>
      </c>
      <c r="D752" t="s">
        <v>11</v>
      </c>
      <c r="E752" t="s">
        <v>21</v>
      </c>
      <c r="F752" t="s">
        <v>22</v>
      </c>
      <c r="H752" t="s">
        <v>71</v>
      </c>
      <c r="I752" t="s">
        <v>3617</v>
      </c>
      <c r="J752" t="s">
        <v>2036</v>
      </c>
      <c r="K752" t="s">
        <v>868</v>
      </c>
      <c r="L752" t="s">
        <v>3618</v>
      </c>
      <c r="M752" t="s">
        <v>2036</v>
      </c>
      <c r="N752" t="s">
        <v>2037</v>
      </c>
      <c r="Q752" t="s">
        <v>3599</v>
      </c>
      <c r="R752" t="s">
        <v>3599</v>
      </c>
      <c r="S752" t="s">
        <v>3599</v>
      </c>
      <c r="T752">
        <v>1</v>
      </c>
      <c r="U752" t="s">
        <v>868</v>
      </c>
      <c r="V752">
        <v>5</v>
      </c>
      <c r="W752">
        <v>0</v>
      </c>
      <c r="X752">
        <v>0</v>
      </c>
    </row>
    <row r="753" spans="1:24" x14ac:dyDescent="0.3">
      <c r="A753" t="s">
        <v>2038</v>
      </c>
      <c r="B753" t="s">
        <v>2039</v>
      </c>
      <c r="C753">
        <v>1</v>
      </c>
      <c r="D753" t="s">
        <v>11</v>
      </c>
      <c r="E753" t="s">
        <v>21</v>
      </c>
      <c r="F753" t="s">
        <v>22</v>
      </c>
      <c r="H753" t="s">
        <v>71</v>
      </c>
      <c r="I753" t="s">
        <v>3617</v>
      </c>
      <c r="J753" t="s">
        <v>2038</v>
      </c>
      <c r="K753" t="s">
        <v>868</v>
      </c>
      <c r="L753" t="s">
        <v>3618</v>
      </c>
      <c r="M753" t="s">
        <v>2038</v>
      </c>
      <c r="N753" t="s">
        <v>2039</v>
      </c>
      <c r="Q753" t="s">
        <v>3599</v>
      </c>
      <c r="R753" t="s">
        <v>3599</v>
      </c>
      <c r="S753" t="s">
        <v>3599</v>
      </c>
      <c r="T753">
        <v>1</v>
      </c>
      <c r="U753" t="s">
        <v>868</v>
      </c>
      <c r="V753">
        <v>5</v>
      </c>
      <c r="W753">
        <v>0</v>
      </c>
      <c r="X753">
        <v>0</v>
      </c>
    </row>
    <row r="754" spans="1:24" x14ac:dyDescent="0.3">
      <c r="A754" t="s">
        <v>2040</v>
      </c>
      <c r="B754" t="s">
        <v>2041</v>
      </c>
      <c r="C754">
        <v>1</v>
      </c>
      <c r="D754" t="s">
        <v>11</v>
      </c>
      <c r="E754" t="s">
        <v>21</v>
      </c>
      <c r="F754" t="s">
        <v>22</v>
      </c>
      <c r="H754" t="s">
        <v>71</v>
      </c>
      <c r="I754" t="s">
        <v>3617</v>
      </c>
      <c r="J754" t="s">
        <v>2040</v>
      </c>
      <c r="K754" t="s">
        <v>868</v>
      </c>
      <c r="L754" t="s">
        <v>3618</v>
      </c>
      <c r="M754" t="s">
        <v>2040</v>
      </c>
      <c r="N754" t="s">
        <v>2041</v>
      </c>
      <c r="Q754" t="s">
        <v>3599</v>
      </c>
      <c r="R754" t="s">
        <v>3599</v>
      </c>
      <c r="S754" t="s">
        <v>3599</v>
      </c>
      <c r="T754">
        <v>1</v>
      </c>
      <c r="U754" t="s">
        <v>868</v>
      </c>
      <c r="V754">
        <v>5</v>
      </c>
      <c r="W754">
        <v>0</v>
      </c>
      <c r="X754">
        <v>0</v>
      </c>
    </row>
    <row r="755" spans="1:24" x14ac:dyDescent="0.3">
      <c r="A755" t="s">
        <v>2042</v>
      </c>
      <c r="B755" t="s">
        <v>2043</v>
      </c>
      <c r="C755">
        <v>1</v>
      </c>
      <c r="D755" t="s">
        <v>11</v>
      </c>
      <c r="E755" t="s">
        <v>21</v>
      </c>
      <c r="F755" t="s">
        <v>22</v>
      </c>
      <c r="H755" t="s">
        <v>71</v>
      </c>
      <c r="I755" t="s">
        <v>3617</v>
      </c>
      <c r="J755" t="s">
        <v>2042</v>
      </c>
      <c r="K755" t="s">
        <v>868</v>
      </c>
      <c r="L755" t="s">
        <v>3618</v>
      </c>
      <c r="M755" t="s">
        <v>2042</v>
      </c>
      <c r="N755" t="s">
        <v>2043</v>
      </c>
      <c r="Q755" t="s">
        <v>3599</v>
      </c>
      <c r="R755" t="s">
        <v>3599</v>
      </c>
      <c r="S755" t="s">
        <v>3599</v>
      </c>
      <c r="T755">
        <v>1</v>
      </c>
      <c r="U755" t="s">
        <v>868</v>
      </c>
      <c r="V755">
        <v>5</v>
      </c>
      <c r="W755">
        <v>0</v>
      </c>
      <c r="X755">
        <v>0</v>
      </c>
    </row>
    <row r="756" spans="1:24" x14ac:dyDescent="0.3">
      <c r="A756" t="s">
        <v>2044</v>
      </c>
      <c r="B756" t="s">
        <v>2045</v>
      </c>
      <c r="C756">
        <v>1</v>
      </c>
      <c r="D756" t="s">
        <v>11</v>
      </c>
      <c r="E756" t="s">
        <v>21</v>
      </c>
      <c r="F756" t="s">
        <v>22</v>
      </c>
      <c r="H756" t="s">
        <v>71</v>
      </c>
      <c r="I756" t="s">
        <v>3617</v>
      </c>
      <c r="J756" t="s">
        <v>2044</v>
      </c>
      <c r="K756" t="s">
        <v>868</v>
      </c>
      <c r="L756" t="s">
        <v>3618</v>
      </c>
      <c r="M756" t="s">
        <v>2044</v>
      </c>
      <c r="N756" t="s">
        <v>2045</v>
      </c>
      <c r="Q756" t="s">
        <v>3599</v>
      </c>
      <c r="R756" t="s">
        <v>3599</v>
      </c>
      <c r="S756" t="s">
        <v>3599</v>
      </c>
      <c r="T756">
        <v>1</v>
      </c>
      <c r="U756" t="s">
        <v>868</v>
      </c>
      <c r="V756">
        <v>5</v>
      </c>
      <c r="W756">
        <v>0</v>
      </c>
      <c r="X756">
        <v>0</v>
      </c>
    </row>
    <row r="757" spans="1:24" x14ac:dyDescent="0.3">
      <c r="A757" t="s">
        <v>2046</v>
      </c>
      <c r="B757" t="s">
        <v>2047</v>
      </c>
      <c r="C757">
        <v>1</v>
      </c>
      <c r="D757" t="s">
        <v>11</v>
      </c>
      <c r="E757" t="s">
        <v>21</v>
      </c>
      <c r="F757" t="s">
        <v>22</v>
      </c>
      <c r="H757" t="s">
        <v>71</v>
      </c>
      <c r="I757" t="s">
        <v>3617</v>
      </c>
      <c r="J757" t="s">
        <v>2046</v>
      </c>
      <c r="K757" t="s">
        <v>868</v>
      </c>
      <c r="L757" t="s">
        <v>3618</v>
      </c>
      <c r="M757" t="s">
        <v>2046</v>
      </c>
      <c r="N757" t="s">
        <v>2047</v>
      </c>
      <c r="Q757" t="s">
        <v>3599</v>
      </c>
      <c r="R757" t="s">
        <v>3599</v>
      </c>
      <c r="S757" t="s">
        <v>3599</v>
      </c>
      <c r="T757">
        <v>1</v>
      </c>
      <c r="U757" t="s">
        <v>868</v>
      </c>
      <c r="V757">
        <v>5</v>
      </c>
      <c r="W757">
        <v>0</v>
      </c>
      <c r="X757">
        <v>0</v>
      </c>
    </row>
    <row r="758" spans="1:24" x14ac:dyDescent="0.3">
      <c r="A758" t="s">
        <v>2048</v>
      </c>
      <c r="B758" t="s">
        <v>2049</v>
      </c>
      <c r="C758">
        <v>1</v>
      </c>
      <c r="D758" t="s">
        <v>11</v>
      </c>
      <c r="E758" t="s">
        <v>21</v>
      </c>
      <c r="F758" t="s">
        <v>22</v>
      </c>
      <c r="H758" t="s">
        <v>71</v>
      </c>
      <c r="I758" t="s">
        <v>3617</v>
      </c>
      <c r="J758" t="s">
        <v>2048</v>
      </c>
      <c r="K758" t="s">
        <v>868</v>
      </c>
      <c r="L758" t="s">
        <v>3618</v>
      </c>
      <c r="M758" t="s">
        <v>2048</v>
      </c>
      <c r="N758" t="s">
        <v>2049</v>
      </c>
      <c r="Q758" t="s">
        <v>3599</v>
      </c>
      <c r="R758" t="s">
        <v>3599</v>
      </c>
      <c r="S758" t="s">
        <v>3599</v>
      </c>
      <c r="T758">
        <v>1</v>
      </c>
      <c r="U758" t="s">
        <v>868</v>
      </c>
      <c r="V758">
        <v>5</v>
      </c>
      <c r="W758">
        <v>0</v>
      </c>
      <c r="X758">
        <v>0</v>
      </c>
    </row>
    <row r="759" spans="1:24" x14ac:dyDescent="0.3">
      <c r="A759" t="s">
        <v>2050</v>
      </c>
      <c r="B759" t="s">
        <v>2051</v>
      </c>
      <c r="C759">
        <v>1</v>
      </c>
      <c r="D759" t="s">
        <v>11</v>
      </c>
      <c r="E759" t="s">
        <v>21</v>
      </c>
      <c r="F759" t="s">
        <v>22</v>
      </c>
      <c r="H759" t="s">
        <v>71</v>
      </c>
      <c r="I759" t="s">
        <v>3617</v>
      </c>
      <c r="J759" t="s">
        <v>2050</v>
      </c>
      <c r="K759" t="s">
        <v>868</v>
      </c>
      <c r="L759" t="s">
        <v>3618</v>
      </c>
      <c r="M759" t="s">
        <v>2050</v>
      </c>
      <c r="N759" t="s">
        <v>2051</v>
      </c>
      <c r="Q759" t="s">
        <v>3599</v>
      </c>
      <c r="R759" t="s">
        <v>3599</v>
      </c>
      <c r="S759" t="s">
        <v>3599</v>
      </c>
      <c r="T759">
        <v>1</v>
      </c>
      <c r="U759" t="s">
        <v>868</v>
      </c>
      <c r="V759">
        <v>5</v>
      </c>
      <c r="W759">
        <v>0</v>
      </c>
      <c r="X759">
        <v>0</v>
      </c>
    </row>
    <row r="760" spans="1:24" x14ac:dyDescent="0.3">
      <c r="A760" t="s">
        <v>2052</v>
      </c>
      <c r="B760" t="s">
        <v>2053</v>
      </c>
      <c r="C760">
        <v>1</v>
      </c>
      <c r="D760" t="s">
        <v>11</v>
      </c>
      <c r="E760" t="s">
        <v>21</v>
      </c>
      <c r="F760" t="s">
        <v>22</v>
      </c>
      <c r="H760" t="s">
        <v>71</v>
      </c>
      <c r="I760" t="s">
        <v>3617</v>
      </c>
      <c r="J760" t="s">
        <v>2052</v>
      </c>
      <c r="K760" t="s">
        <v>868</v>
      </c>
      <c r="L760" t="s">
        <v>3618</v>
      </c>
      <c r="M760" t="s">
        <v>2052</v>
      </c>
      <c r="N760" t="s">
        <v>2053</v>
      </c>
      <c r="Q760" t="s">
        <v>3599</v>
      </c>
      <c r="R760" t="s">
        <v>3599</v>
      </c>
      <c r="S760" t="s">
        <v>3599</v>
      </c>
      <c r="T760">
        <v>1</v>
      </c>
      <c r="U760" t="s">
        <v>868</v>
      </c>
      <c r="V760">
        <v>5</v>
      </c>
      <c r="W760">
        <v>0</v>
      </c>
      <c r="X760">
        <v>0</v>
      </c>
    </row>
    <row r="761" spans="1:24" x14ac:dyDescent="0.3">
      <c r="A761" t="s">
        <v>2054</v>
      </c>
      <c r="B761" t="s">
        <v>2055</v>
      </c>
      <c r="C761">
        <v>1</v>
      </c>
      <c r="D761" t="s">
        <v>11</v>
      </c>
      <c r="E761" t="s">
        <v>21</v>
      </c>
      <c r="F761" t="s">
        <v>22</v>
      </c>
      <c r="H761" t="s">
        <v>71</v>
      </c>
      <c r="I761" t="s">
        <v>3617</v>
      </c>
      <c r="J761" t="s">
        <v>2054</v>
      </c>
      <c r="K761" t="s">
        <v>868</v>
      </c>
      <c r="L761" t="s">
        <v>3618</v>
      </c>
      <c r="M761" t="s">
        <v>2054</v>
      </c>
      <c r="N761" t="s">
        <v>2055</v>
      </c>
      <c r="Q761" t="s">
        <v>3599</v>
      </c>
      <c r="R761" t="s">
        <v>3599</v>
      </c>
      <c r="S761" t="s">
        <v>3599</v>
      </c>
      <c r="T761">
        <v>1</v>
      </c>
      <c r="U761" t="s">
        <v>868</v>
      </c>
      <c r="V761">
        <v>5</v>
      </c>
      <c r="W761">
        <v>0</v>
      </c>
      <c r="X761">
        <v>0</v>
      </c>
    </row>
    <row r="762" spans="1:24" x14ac:dyDescent="0.3">
      <c r="A762" t="s">
        <v>893</v>
      </c>
      <c r="B762" t="s">
        <v>2056</v>
      </c>
      <c r="C762">
        <v>1</v>
      </c>
      <c r="D762" t="s">
        <v>11</v>
      </c>
      <c r="E762" t="s">
        <v>21</v>
      </c>
      <c r="F762" t="s">
        <v>22</v>
      </c>
      <c r="H762" t="s">
        <v>71</v>
      </c>
      <c r="I762" t="s">
        <v>3617</v>
      </c>
      <c r="J762" t="s">
        <v>893</v>
      </c>
      <c r="K762" t="s">
        <v>868</v>
      </c>
      <c r="L762" t="s">
        <v>3618</v>
      </c>
      <c r="M762" t="s">
        <v>893</v>
      </c>
      <c r="N762" t="s">
        <v>2056</v>
      </c>
      <c r="O762" t="s">
        <v>2057</v>
      </c>
      <c r="Q762" t="s">
        <v>3599</v>
      </c>
      <c r="R762" t="s">
        <v>3599</v>
      </c>
      <c r="S762" t="s">
        <v>3599</v>
      </c>
      <c r="T762">
        <v>1</v>
      </c>
      <c r="U762" t="s">
        <v>868</v>
      </c>
      <c r="V762">
        <v>5</v>
      </c>
      <c r="W762">
        <v>0</v>
      </c>
      <c r="X762">
        <v>0</v>
      </c>
    </row>
    <row r="763" spans="1:24" x14ac:dyDescent="0.3">
      <c r="A763" t="s">
        <v>2058</v>
      </c>
      <c r="B763" t="s">
        <v>2059</v>
      </c>
      <c r="C763">
        <v>1</v>
      </c>
      <c r="D763" t="s">
        <v>11</v>
      </c>
      <c r="E763" t="s">
        <v>21</v>
      </c>
      <c r="F763" t="s">
        <v>22</v>
      </c>
      <c r="H763" t="s">
        <v>71</v>
      </c>
      <c r="I763" t="s">
        <v>3617</v>
      </c>
      <c r="J763" t="s">
        <v>2058</v>
      </c>
      <c r="K763" t="s">
        <v>868</v>
      </c>
      <c r="L763" t="s">
        <v>3618</v>
      </c>
      <c r="M763" t="s">
        <v>2058</v>
      </c>
      <c r="N763" t="s">
        <v>2059</v>
      </c>
      <c r="O763" t="s">
        <v>2060</v>
      </c>
      <c r="Q763" t="s">
        <v>3599</v>
      </c>
      <c r="R763" t="s">
        <v>3599</v>
      </c>
      <c r="S763" t="s">
        <v>3599</v>
      </c>
      <c r="T763">
        <v>1</v>
      </c>
      <c r="U763" t="s">
        <v>868</v>
      </c>
      <c r="V763">
        <v>5</v>
      </c>
      <c r="W763">
        <v>0</v>
      </c>
      <c r="X763">
        <v>0</v>
      </c>
    </row>
    <row r="764" spans="1:24" x14ac:dyDescent="0.3">
      <c r="A764" t="s">
        <v>2061</v>
      </c>
      <c r="B764" t="s">
        <v>2062</v>
      </c>
      <c r="C764">
        <v>1</v>
      </c>
      <c r="D764" t="s">
        <v>11</v>
      </c>
      <c r="E764" t="s">
        <v>21</v>
      </c>
      <c r="F764" t="s">
        <v>22</v>
      </c>
      <c r="H764" t="s">
        <v>71</v>
      </c>
      <c r="I764" t="s">
        <v>3617</v>
      </c>
      <c r="J764" t="s">
        <v>2061</v>
      </c>
      <c r="K764" t="s">
        <v>868</v>
      </c>
      <c r="L764" t="s">
        <v>3618</v>
      </c>
      <c r="M764" t="s">
        <v>2061</v>
      </c>
      <c r="N764" t="s">
        <v>2062</v>
      </c>
      <c r="Q764" t="s">
        <v>3599</v>
      </c>
      <c r="R764" t="s">
        <v>3599</v>
      </c>
      <c r="S764" t="s">
        <v>3599</v>
      </c>
      <c r="T764">
        <v>1</v>
      </c>
      <c r="U764" t="s">
        <v>868</v>
      </c>
      <c r="V764">
        <v>5</v>
      </c>
      <c r="W764">
        <v>0</v>
      </c>
      <c r="X764">
        <v>0</v>
      </c>
    </row>
    <row r="765" spans="1:24" x14ac:dyDescent="0.3">
      <c r="A765" t="s">
        <v>2063</v>
      </c>
      <c r="B765" t="s">
        <v>2064</v>
      </c>
      <c r="C765">
        <v>1</v>
      </c>
      <c r="D765" t="s">
        <v>11</v>
      </c>
      <c r="E765" t="s">
        <v>21</v>
      </c>
      <c r="F765" t="s">
        <v>22</v>
      </c>
      <c r="H765" t="s">
        <v>71</v>
      </c>
      <c r="I765" t="s">
        <v>3617</v>
      </c>
      <c r="J765" t="s">
        <v>2063</v>
      </c>
      <c r="K765" t="s">
        <v>868</v>
      </c>
      <c r="L765" t="s">
        <v>3618</v>
      </c>
      <c r="M765" t="s">
        <v>2063</v>
      </c>
      <c r="N765" t="s">
        <v>2064</v>
      </c>
      <c r="Q765" t="s">
        <v>3599</v>
      </c>
      <c r="R765" t="s">
        <v>3599</v>
      </c>
      <c r="S765" t="s">
        <v>3599</v>
      </c>
      <c r="T765">
        <v>1</v>
      </c>
      <c r="U765" t="s">
        <v>868</v>
      </c>
      <c r="V765">
        <v>5</v>
      </c>
      <c r="W765">
        <v>0</v>
      </c>
      <c r="X765">
        <v>0</v>
      </c>
    </row>
    <row r="766" spans="1:24" x14ac:dyDescent="0.3">
      <c r="A766" t="s">
        <v>2065</v>
      </c>
      <c r="B766" t="s">
        <v>2066</v>
      </c>
      <c r="C766">
        <v>1</v>
      </c>
      <c r="D766" t="s">
        <v>11</v>
      </c>
      <c r="E766" t="s">
        <v>21</v>
      </c>
      <c r="F766" t="s">
        <v>22</v>
      </c>
      <c r="H766" t="s">
        <v>71</v>
      </c>
      <c r="I766" t="s">
        <v>3617</v>
      </c>
      <c r="J766" t="s">
        <v>2065</v>
      </c>
      <c r="K766" t="s">
        <v>868</v>
      </c>
      <c r="L766" t="s">
        <v>3618</v>
      </c>
      <c r="M766" t="s">
        <v>2065</v>
      </c>
      <c r="N766" t="s">
        <v>2066</v>
      </c>
      <c r="Q766" t="s">
        <v>3599</v>
      </c>
      <c r="R766" t="s">
        <v>3599</v>
      </c>
      <c r="S766" t="s">
        <v>3599</v>
      </c>
      <c r="T766">
        <v>1</v>
      </c>
      <c r="U766" t="s">
        <v>868</v>
      </c>
      <c r="V766">
        <v>5</v>
      </c>
      <c r="W766">
        <v>0</v>
      </c>
      <c r="X766">
        <v>0</v>
      </c>
    </row>
    <row r="767" spans="1:24" x14ac:dyDescent="0.3">
      <c r="A767" t="s">
        <v>2067</v>
      </c>
      <c r="B767" t="s">
        <v>2068</v>
      </c>
      <c r="C767">
        <v>1</v>
      </c>
      <c r="D767" t="s">
        <v>11</v>
      </c>
      <c r="E767" t="s">
        <v>21</v>
      </c>
      <c r="F767" t="s">
        <v>22</v>
      </c>
      <c r="H767" t="s">
        <v>71</v>
      </c>
      <c r="I767" t="s">
        <v>3617</v>
      </c>
      <c r="J767" t="s">
        <v>2067</v>
      </c>
      <c r="K767" t="s">
        <v>868</v>
      </c>
      <c r="L767" t="s">
        <v>3618</v>
      </c>
      <c r="M767" t="s">
        <v>2067</v>
      </c>
      <c r="N767" t="s">
        <v>2068</v>
      </c>
      <c r="Q767" t="s">
        <v>3599</v>
      </c>
      <c r="R767" t="s">
        <v>3599</v>
      </c>
      <c r="S767" t="s">
        <v>3599</v>
      </c>
      <c r="T767">
        <v>1</v>
      </c>
      <c r="U767" t="s">
        <v>868</v>
      </c>
      <c r="V767">
        <v>5</v>
      </c>
      <c r="W767">
        <v>0</v>
      </c>
      <c r="X767">
        <v>0</v>
      </c>
    </row>
    <row r="768" spans="1:24" x14ac:dyDescent="0.3">
      <c r="A768" t="s">
        <v>2069</v>
      </c>
      <c r="B768" t="s">
        <v>2070</v>
      </c>
      <c r="C768">
        <v>1</v>
      </c>
      <c r="D768" t="s">
        <v>11</v>
      </c>
      <c r="E768" t="s">
        <v>21</v>
      </c>
      <c r="F768" t="s">
        <v>22</v>
      </c>
      <c r="H768" t="s">
        <v>71</v>
      </c>
      <c r="I768" t="s">
        <v>3617</v>
      </c>
      <c r="J768" t="s">
        <v>2069</v>
      </c>
      <c r="K768" t="s">
        <v>868</v>
      </c>
      <c r="L768" t="s">
        <v>3618</v>
      </c>
      <c r="M768" t="s">
        <v>2069</v>
      </c>
      <c r="N768" t="s">
        <v>2070</v>
      </c>
      <c r="Q768" t="s">
        <v>3599</v>
      </c>
      <c r="R768" t="s">
        <v>3599</v>
      </c>
      <c r="S768" t="s">
        <v>3599</v>
      </c>
      <c r="T768">
        <v>1</v>
      </c>
      <c r="U768" t="s">
        <v>868</v>
      </c>
      <c r="V768">
        <v>5</v>
      </c>
      <c r="W768">
        <v>0</v>
      </c>
      <c r="X768">
        <v>0</v>
      </c>
    </row>
    <row r="769" spans="1:24" x14ac:dyDescent="0.3">
      <c r="A769" t="s">
        <v>2071</v>
      </c>
      <c r="B769" t="s">
        <v>2072</v>
      </c>
      <c r="C769">
        <v>1</v>
      </c>
      <c r="D769" t="s">
        <v>11</v>
      </c>
      <c r="E769" t="s">
        <v>21</v>
      </c>
      <c r="F769" t="s">
        <v>22</v>
      </c>
      <c r="H769" t="s">
        <v>71</v>
      </c>
      <c r="I769" t="s">
        <v>3617</v>
      </c>
      <c r="J769" t="s">
        <v>2071</v>
      </c>
      <c r="K769" t="s">
        <v>868</v>
      </c>
      <c r="L769" t="s">
        <v>3618</v>
      </c>
      <c r="M769" t="s">
        <v>2071</v>
      </c>
      <c r="N769" t="s">
        <v>2072</v>
      </c>
      <c r="Q769" t="s">
        <v>3599</v>
      </c>
      <c r="R769" t="s">
        <v>3599</v>
      </c>
      <c r="S769" t="s">
        <v>3599</v>
      </c>
      <c r="T769">
        <v>1</v>
      </c>
      <c r="U769" t="s">
        <v>868</v>
      </c>
      <c r="V769">
        <v>5</v>
      </c>
      <c r="W769">
        <v>0</v>
      </c>
      <c r="X769">
        <v>0</v>
      </c>
    </row>
    <row r="770" spans="1:24" x14ac:dyDescent="0.3">
      <c r="A770" t="s">
        <v>2073</v>
      </c>
      <c r="B770" t="s">
        <v>2074</v>
      </c>
      <c r="C770">
        <v>1</v>
      </c>
      <c r="D770" t="s">
        <v>11</v>
      </c>
      <c r="E770" t="s">
        <v>21</v>
      </c>
      <c r="F770" t="s">
        <v>22</v>
      </c>
      <c r="H770" t="s">
        <v>71</v>
      </c>
      <c r="I770" t="s">
        <v>3617</v>
      </c>
      <c r="J770" t="s">
        <v>2073</v>
      </c>
      <c r="K770" t="s">
        <v>868</v>
      </c>
      <c r="L770" t="s">
        <v>3618</v>
      </c>
      <c r="M770" t="s">
        <v>2073</v>
      </c>
      <c r="N770" t="s">
        <v>2074</v>
      </c>
      <c r="Q770" t="s">
        <v>3599</v>
      </c>
      <c r="R770" t="s">
        <v>3599</v>
      </c>
      <c r="S770" t="s">
        <v>3599</v>
      </c>
      <c r="T770">
        <v>1</v>
      </c>
      <c r="U770" t="s">
        <v>868</v>
      </c>
      <c r="V770">
        <v>5</v>
      </c>
      <c r="W770">
        <v>0</v>
      </c>
      <c r="X770">
        <v>0</v>
      </c>
    </row>
    <row r="771" spans="1:24" x14ac:dyDescent="0.3">
      <c r="A771" t="s">
        <v>2075</v>
      </c>
      <c r="B771" t="s">
        <v>2076</v>
      </c>
      <c r="C771">
        <v>1</v>
      </c>
      <c r="D771" t="s">
        <v>11</v>
      </c>
      <c r="E771" t="s">
        <v>21</v>
      </c>
      <c r="F771" t="s">
        <v>22</v>
      </c>
      <c r="H771" t="s">
        <v>71</v>
      </c>
      <c r="I771" t="s">
        <v>3617</v>
      </c>
      <c r="J771" t="s">
        <v>2075</v>
      </c>
      <c r="K771" t="s">
        <v>868</v>
      </c>
      <c r="L771" t="s">
        <v>3618</v>
      </c>
      <c r="M771" t="s">
        <v>2075</v>
      </c>
      <c r="N771" t="s">
        <v>2076</v>
      </c>
      <c r="Q771" t="s">
        <v>3599</v>
      </c>
      <c r="R771" t="s">
        <v>3599</v>
      </c>
      <c r="S771" t="s">
        <v>3599</v>
      </c>
      <c r="T771">
        <v>1</v>
      </c>
      <c r="U771" t="s">
        <v>868</v>
      </c>
      <c r="V771">
        <v>5</v>
      </c>
      <c r="W771">
        <v>0</v>
      </c>
      <c r="X771">
        <v>0</v>
      </c>
    </row>
    <row r="772" spans="1:24" x14ac:dyDescent="0.3">
      <c r="A772" t="s">
        <v>2077</v>
      </c>
      <c r="B772" t="s">
        <v>2078</v>
      </c>
      <c r="C772">
        <v>1</v>
      </c>
      <c r="D772" t="s">
        <v>11</v>
      </c>
      <c r="E772" t="s">
        <v>21</v>
      </c>
      <c r="F772" t="s">
        <v>22</v>
      </c>
      <c r="H772" t="s">
        <v>71</v>
      </c>
      <c r="I772" t="s">
        <v>3617</v>
      </c>
      <c r="J772" t="s">
        <v>2077</v>
      </c>
      <c r="K772" t="s">
        <v>868</v>
      </c>
      <c r="L772" t="s">
        <v>3618</v>
      </c>
      <c r="M772" t="s">
        <v>2077</v>
      </c>
      <c r="N772" t="s">
        <v>2078</v>
      </c>
      <c r="Q772" t="s">
        <v>3599</v>
      </c>
      <c r="R772" t="s">
        <v>3599</v>
      </c>
      <c r="S772" t="s">
        <v>3599</v>
      </c>
      <c r="T772">
        <v>1</v>
      </c>
      <c r="U772" t="s">
        <v>868</v>
      </c>
      <c r="V772">
        <v>5</v>
      </c>
      <c r="W772">
        <v>0</v>
      </c>
      <c r="X772">
        <v>0</v>
      </c>
    </row>
    <row r="773" spans="1:24" x14ac:dyDescent="0.3">
      <c r="A773" t="s">
        <v>2079</v>
      </c>
      <c r="B773" t="s">
        <v>2080</v>
      </c>
      <c r="C773">
        <v>1</v>
      </c>
      <c r="D773" t="s">
        <v>11</v>
      </c>
      <c r="E773" t="s">
        <v>21</v>
      </c>
      <c r="F773" t="s">
        <v>22</v>
      </c>
      <c r="H773" t="s">
        <v>71</v>
      </c>
      <c r="I773" t="s">
        <v>3617</v>
      </c>
      <c r="J773" t="s">
        <v>2079</v>
      </c>
      <c r="K773" t="s">
        <v>868</v>
      </c>
      <c r="L773" t="s">
        <v>3618</v>
      </c>
      <c r="M773" t="s">
        <v>2079</v>
      </c>
      <c r="N773" t="s">
        <v>2080</v>
      </c>
      <c r="Q773" t="s">
        <v>3599</v>
      </c>
      <c r="R773" t="s">
        <v>3599</v>
      </c>
      <c r="S773" t="s">
        <v>3599</v>
      </c>
      <c r="T773">
        <v>1</v>
      </c>
      <c r="U773" t="s">
        <v>868</v>
      </c>
      <c r="V773">
        <v>5</v>
      </c>
      <c r="W773">
        <v>0</v>
      </c>
      <c r="X773">
        <v>0</v>
      </c>
    </row>
    <row r="774" spans="1:24" x14ac:dyDescent="0.3">
      <c r="A774" t="s">
        <v>1151</v>
      </c>
      <c r="B774" t="s">
        <v>1152</v>
      </c>
      <c r="C774">
        <v>1</v>
      </c>
      <c r="D774" t="s">
        <v>11</v>
      </c>
      <c r="E774" t="s">
        <v>21</v>
      </c>
      <c r="F774" t="s">
        <v>22</v>
      </c>
      <c r="H774" t="s">
        <v>71</v>
      </c>
      <c r="I774" t="s">
        <v>3617</v>
      </c>
      <c r="J774" t="s">
        <v>1151</v>
      </c>
      <c r="K774" t="s">
        <v>868</v>
      </c>
      <c r="L774" t="s">
        <v>3618</v>
      </c>
      <c r="M774" t="s">
        <v>1151</v>
      </c>
      <c r="N774" t="s">
        <v>1152</v>
      </c>
      <c r="Q774" t="s">
        <v>3599</v>
      </c>
      <c r="R774" t="s">
        <v>3599</v>
      </c>
      <c r="S774" t="s">
        <v>3599</v>
      </c>
      <c r="T774">
        <v>1</v>
      </c>
      <c r="U774" t="s">
        <v>868</v>
      </c>
      <c r="V774">
        <v>5</v>
      </c>
      <c r="W774">
        <v>0</v>
      </c>
      <c r="X774">
        <v>0</v>
      </c>
    </row>
    <row r="775" spans="1:24" x14ac:dyDescent="0.3">
      <c r="A775" t="s">
        <v>2081</v>
      </c>
      <c r="B775" t="s">
        <v>2082</v>
      </c>
      <c r="C775">
        <v>1</v>
      </c>
      <c r="D775" t="s">
        <v>11</v>
      </c>
      <c r="E775" t="s">
        <v>21</v>
      </c>
      <c r="F775" t="s">
        <v>22</v>
      </c>
      <c r="H775" t="s">
        <v>71</v>
      </c>
      <c r="I775" t="s">
        <v>3617</v>
      </c>
      <c r="J775" t="s">
        <v>2081</v>
      </c>
      <c r="K775" t="s">
        <v>868</v>
      </c>
      <c r="L775" t="s">
        <v>3618</v>
      </c>
      <c r="M775" t="s">
        <v>2081</v>
      </c>
      <c r="N775" t="s">
        <v>2082</v>
      </c>
      <c r="Q775" t="s">
        <v>3599</v>
      </c>
      <c r="R775" t="s">
        <v>3599</v>
      </c>
      <c r="S775" t="s">
        <v>3599</v>
      </c>
      <c r="T775">
        <v>1</v>
      </c>
      <c r="U775" t="s">
        <v>868</v>
      </c>
      <c r="V775">
        <v>5</v>
      </c>
      <c r="W775">
        <v>0</v>
      </c>
      <c r="X775">
        <v>0</v>
      </c>
    </row>
    <row r="776" spans="1:24" x14ac:dyDescent="0.3">
      <c r="A776" t="s">
        <v>2083</v>
      </c>
      <c r="B776" t="s">
        <v>2084</v>
      </c>
      <c r="C776">
        <v>1</v>
      </c>
      <c r="D776" t="s">
        <v>11</v>
      </c>
      <c r="E776" t="s">
        <v>21</v>
      </c>
      <c r="F776" t="s">
        <v>22</v>
      </c>
      <c r="H776" t="s">
        <v>71</v>
      </c>
      <c r="I776" t="s">
        <v>3617</v>
      </c>
      <c r="J776" t="s">
        <v>2083</v>
      </c>
      <c r="K776" t="s">
        <v>868</v>
      </c>
      <c r="L776" t="s">
        <v>3618</v>
      </c>
      <c r="M776" t="s">
        <v>2083</v>
      </c>
      <c r="N776" t="s">
        <v>2084</v>
      </c>
      <c r="Q776" t="s">
        <v>3599</v>
      </c>
      <c r="R776" t="s">
        <v>3599</v>
      </c>
      <c r="S776" t="s">
        <v>3599</v>
      </c>
      <c r="T776">
        <v>1</v>
      </c>
      <c r="U776" t="s">
        <v>868</v>
      </c>
      <c r="V776">
        <v>5</v>
      </c>
      <c r="W776">
        <v>0</v>
      </c>
      <c r="X776">
        <v>0</v>
      </c>
    </row>
    <row r="777" spans="1:24" x14ac:dyDescent="0.3">
      <c r="A777" t="s">
        <v>2085</v>
      </c>
      <c r="B777" t="s">
        <v>2086</v>
      </c>
      <c r="C777">
        <v>1</v>
      </c>
      <c r="D777" t="s">
        <v>11</v>
      </c>
      <c r="E777" t="s">
        <v>21</v>
      </c>
      <c r="F777" t="s">
        <v>22</v>
      </c>
      <c r="H777" t="s">
        <v>71</v>
      </c>
      <c r="I777" t="s">
        <v>3617</v>
      </c>
      <c r="J777" t="s">
        <v>2085</v>
      </c>
      <c r="K777" t="s">
        <v>868</v>
      </c>
      <c r="L777" t="s">
        <v>3618</v>
      </c>
      <c r="M777" t="s">
        <v>2085</v>
      </c>
      <c r="N777" t="s">
        <v>2086</v>
      </c>
      <c r="Q777" t="s">
        <v>3599</v>
      </c>
      <c r="R777" t="s">
        <v>3599</v>
      </c>
      <c r="S777" t="s">
        <v>3599</v>
      </c>
      <c r="T777">
        <v>1</v>
      </c>
      <c r="U777" t="s">
        <v>868</v>
      </c>
      <c r="V777">
        <v>5</v>
      </c>
      <c r="W777">
        <v>0</v>
      </c>
      <c r="X777">
        <v>0</v>
      </c>
    </row>
    <row r="778" spans="1:24" x14ac:dyDescent="0.3">
      <c r="A778" t="s">
        <v>2087</v>
      </c>
      <c r="B778" t="s">
        <v>2088</v>
      </c>
      <c r="C778">
        <v>1</v>
      </c>
      <c r="D778" t="s">
        <v>11</v>
      </c>
      <c r="E778" t="s">
        <v>21</v>
      </c>
      <c r="F778" t="s">
        <v>22</v>
      </c>
      <c r="H778" t="s">
        <v>71</v>
      </c>
      <c r="I778" t="s">
        <v>3617</v>
      </c>
      <c r="J778" t="s">
        <v>2087</v>
      </c>
      <c r="K778" t="s">
        <v>868</v>
      </c>
      <c r="L778" t="s">
        <v>3618</v>
      </c>
      <c r="M778" t="s">
        <v>2087</v>
      </c>
      <c r="N778" t="s">
        <v>2088</v>
      </c>
      <c r="Q778" t="s">
        <v>3599</v>
      </c>
      <c r="R778" t="s">
        <v>3599</v>
      </c>
      <c r="S778" t="s">
        <v>3599</v>
      </c>
      <c r="T778">
        <v>1</v>
      </c>
      <c r="U778" t="s">
        <v>868</v>
      </c>
      <c r="V778">
        <v>5</v>
      </c>
      <c r="W778">
        <v>0</v>
      </c>
      <c r="X778">
        <v>0</v>
      </c>
    </row>
    <row r="779" spans="1:24" x14ac:dyDescent="0.3">
      <c r="A779" t="s">
        <v>2089</v>
      </c>
      <c r="B779" t="s">
        <v>2090</v>
      </c>
      <c r="C779">
        <v>1</v>
      </c>
      <c r="D779" t="s">
        <v>11</v>
      </c>
      <c r="E779" t="s">
        <v>21</v>
      </c>
      <c r="F779" t="s">
        <v>22</v>
      </c>
      <c r="H779" t="s">
        <v>71</v>
      </c>
      <c r="I779" t="s">
        <v>3617</v>
      </c>
      <c r="J779" t="s">
        <v>2089</v>
      </c>
      <c r="K779" t="s">
        <v>868</v>
      </c>
      <c r="L779" t="s">
        <v>3618</v>
      </c>
      <c r="M779" t="s">
        <v>2089</v>
      </c>
      <c r="N779" t="s">
        <v>2090</v>
      </c>
      <c r="Q779" t="s">
        <v>3599</v>
      </c>
      <c r="R779" t="s">
        <v>3599</v>
      </c>
      <c r="S779" t="s">
        <v>3599</v>
      </c>
      <c r="T779">
        <v>1</v>
      </c>
      <c r="U779" t="s">
        <v>868</v>
      </c>
      <c r="V779">
        <v>5</v>
      </c>
      <c r="W779">
        <v>0</v>
      </c>
      <c r="X779">
        <v>0</v>
      </c>
    </row>
    <row r="780" spans="1:24" x14ac:dyDescent="0.3">
      <c r="A780" t="s">
        <v>2091</v>
      </c>
      <c r="B780" t="s">
        <v>2092</v>
      </c>
      <c r="C780">
        <v>1</v>
      </c>
      <c r="D780" t="s">
        <v>11</v>
      </c>
      <c r="E780" t="s">
        <v>21</v>
      </c>
      <c r="F780" t="s">
        <v>22</v>
      </c>
      <c r="H780" t="s">
        <v>71</v>
      </c>
      <c r="I780" t="s">
        <v>3617</v>
      </c>
      <c r="J780" t="s">
        <v>2091</v>
      </c>
      <c r="K780" t="s">
        <v>868</v>
      </c>
      <c r="L780" t="s">
        <v>3618</v>
      </c>
      <c r="M780" t="s">
        <v>2091</v>
      </c>
      <c r="N780" t="s">
        <v>2092</v>
      </c>
      <c r="Q780" t="s">
        <v>3599</v>
      </c>
      <c r="R780" t="s">
        <v>3599</v>
      </c>
      <c r="S780" t="s">
        <v>3599</v>
      </c>
      <c r="T780">
        <v>1</v>
      </c>
      <c r="U780" t="s">
        <v>868</v>
      </c>
      <c r="V780">
        <v>5</v>
      </c>
      <c r="W780">
        <v>0</v>
      </c>
      <c r="X780">
        <v>0</v>
      </c>
    </row>
    <row r="781" spans="1:24" x14ac:dyDescent="0.3">
      <c r="A781" t="s">
        <v>2093</v>
      </c>
      <c r="B781" t="s">
        <v>2094</v>
      </c>
      <c r="C781">
        <v>1</v>
      </c>
      <c r="D781" t="s">
        <v>11</v>
      </c>
      <c r="E781" t="s">
        <v>21</v>
      </c>
      <c r="F781" t="s">
        <v>22</v>
      </c>
      <c r="H781" t="s">
        <v>71</v>
      </c>
      <c r="I781" t="s">
        <v>3617</v>
      </c>
      <c r="J781" t="s">
        <v>2093</v>
      </c>
      <c r="K781" t="s">
        <v>868</v>
      </c>
      <c r="L781" t="s">
        <v>3618</v>
      </c>
      <c r="M781" t="s">
        <v>2093</v>
      </c>
      <c r="N781" t="s">
        <v>2094</v>
      </c>
      <c r="Q781" t="s">
        <v>3599</v>
      </c>
      <c r="R781" t="s">
        <v>3599</v>
      </c>
      <c r="S781" t="s">
        <v>3599</v>
      </c>
      <c r="T781">
        <v>1</v>
      </c>
      <c r="U781" t="s">
        <v>868</v>
      </c>
      <c r="V781">
        <v>5</v>
      </c>
      <c r="W781">
        <v>0</v>
      </c>
      <c r="X781">
        <v>0</v>
      </c>
    </row>
    <row r="782" spans="1:24" x14ac:dyDescent="0.3">
      <c r="A782" t="s">
        <v>2095</v>
      </c>
      <c r="B782" t="s">
        <v>2096</v>
      </c>
      <c r="C782">
        <v>1</v>
      </c>
      <c r="D782" t="s">
        <v>11</v>
      </c>
      <c r="E782" t="s">
        <v>21</v>
      </c>
      <c r="F782" t="s">
        <v>22</v>
      </c>
      <c r="H782" t="s">
        <v>71</v>
      </c>
      <c r="I782" t="s">
        <v>3617</v>
      </c>
      <c r="J782" t="s">
        <v>2095</v>
      </c>
      <c r="K782" t="s">
        <v>868</v>
      </c>
      <c r="L782" t="s">
        <v>3618</v>
      </c>
      <c r="M782" t="s">
        <v>2095</v>
      </c>
      <c r="N782" t="s">
        <v>2096</v>
      </c>
      <c r="Q782" t="s">
        <v>3599</v>
      </c>
      <c r="R782" t="s">
        <v>3599</v>
      </c>
      <c r="S782" t="s">
        <v>3599</v>
      </c>
      <c r="T782">
        <v>1</v>
      </c>
      <c r="U782" t="s">
        <v>868</v>
      </c>
      <c r="V782">
        <v>5</v>
      </c>
      <c r="W782">
        <v>0</v>
      </c>
      <c r="X782">
        <v>0</v>
      </c>
    </row>
    <row r="783" spans="1:24" x14ac:dyDescent="0.3">
      <c r="A783" t="s">
        <v>2097</v>
      </c>
      <c r="B783" t="s">
        <v>2098</v>
      </c>
      <c r="C783">
        <v>1</v>
      </c>
      <c r="D783" t="s">
        <v>11</v>
      </c>
      <c r="E783" t="s">
        <v>21</v>
      </c>
      <c r="F783" t="s">
        <v>22</v>
      </c>
      <c r="H783" t="s">
        <v>71</v>
      </c>
      <c r="I783" t="s">
        <v>3617</v>
      </c>
      <c r="J783" t="s">
        <v>2097</v>
      </c>
      <c r="K783" t="s">
        <v>868</v>
      </c>
      <c r="L783" t="s">
        <v>3618</v>
      </c>
      <c r="M783" t="s">
        <v>2097</v>
      </c>
      <c r="N783" t="s">
        <v>2098</v>
      </c>
      <c r="Q783" t="s">
        <v>3599</v>
      </c>
      <c r="R783" t="s">
        <v>3599</v>
      </c>
      <c r="S783" t="s">
        <v>3599</v>
      </c>
      <c r="T783">
        <v>1</v>
      </c>
      <c r="U783" t="s">
        <v>868</v>
      </c>
      <c r="V783">
        <v>5</v>
      </c>
      <c r="W783">
        <v>0</v>
      </c>
      <c r="X783">
        <v>0</v>
      </c>
    </row>
    <row r="784" spans="1:24" x14ac:dyDescent="0.3">
      <c r="A784" t="s">
        <v>2099</v>
      </c>
      <c r="B784" t="s">
        <v>2100</v>
      </c>
      <c r="C784">
        <v>1</v>
      </c>
      <c r="D784" t="s">
        <v>11</v>
      </c>
      <c r="E784" t="s">
        <v>21</v>
      </c>
      <c r="F784" t="s">
        <v>22</v>
      </c>
      <c r="H784" t="s">
        <v>71</v>
      </c>
      <c r="I784" t="s">
        <v>3617</v>
      </c>
      <c r="J784" t="s">
        <v>2099</v>
      </c>
      <c r="K784" t="s">
        <v>868</v>
      </c>
      <c r="L784" t="s">
        <v>3618</v>
      </c>
      <c r="M784" t="s">
        <v>2099</v>
      </c>
      <c r="N784" t="s">
        <v>2100</v>
      </c>
      <c r="Q784" t="s">
        <v>3599</v>
      </c>
      <c r="R784" t="s">
        <v>3599</v>
      </c>
      <c r="S784" t="s">
        <v>3599</v>
      </c>
      <c r="T784">
        <v>1</v>
      </c>
      <c r="U784" t="s">
        <v>868</v>
      </c>
      <c r="V784">
        <v>5</v>
      </c>
      <c r="W784">
        <v>0</v>
      </c>
      <c r="X784">
        <v>0</v>
      </c>
    </row>
    <row r="785" spans="1:24" x14ac:dyDescent="0.3">
      <c r="A785" t="s">
        <v>2101</v>
      </c>
      <c r="B785" t="s">
        <v>2102</v>
      </c>
      <c r="C785">
        <v>1</v>
      </c>
      <c r="D785" t="s">
        <v>11</v>
      </c>
      <c r="E785" t="s">
        <v>21</v>
      </c>
      <c r="F785" t="s">
        <v>22</v>
      </c>
      <c r="H785" t="s">
        <v>71</v>
      </c>
      <c r="I785" t="s">
        <v>3617</v>
      </c>
      <c r="J785" t="s">
        <v>2101</v>
      </c>
      <c r="K785" t="s">
        <v>868</v>
      </c>
      <c r="L785" t="s">
        <v>3618</v>
      </c>
      <c r="M785" t="s">
        <v>2101</v>
      </c>
      <c r="N785" t="s">
        <v>2102</v>
      </c>
      <c r="Q785" t="s">
        <v>3599</v>
      </c>
      <c r="R785" t="s">
        <v>3599</v>
      </c>
      <c r="S785" t="s">
        <v>3599</v>
      </c>
      <c r="T785">
        <v>1</v>
      </c>
      <c r="U785" t="s">
        <v>868</v>
      </c>
      <c r="V785">
        <v>5</v>
      </c>
      <c r="W785">
        <v>0</v>
      </c>
      <c r="X785">
        <v>0</v>
      </c>
    </row>
    <row r="786" spans="1:24" x14ac:dyDescent="0.3">
      <c r="A786" t="s">
        <v>2103</v>
      </c>
      <c r="B786" t="s">
        <v>2104</v>
      </c>
      <c r="C786">
        <v>1</v>
      </c>
      <c r="D786" t="s">
        <v>11</v>
      </c>
      <c r="E786" t="s">
        <v>21</v>
      </c>
      <c r="F786" t="s">
        <v>22</v>
      </c>
      <c r="H786" t="s">
        <v>71</v>
      </c>
      <c r="I786" t="s">
        <v>3617</v>
      </c>
      <c r="J786" t="s">
        <v>2103</v>
      </c>
      <c r="K786" t="s">
        <v>868</v>
      </c>
      <c r="L786" t="s">
        <v>3618</v>
      </c>
      <c r="M786" t="s">
        <v>2103</v>
      </c>
      <c r="N786" t="s">
        <v>2104</v>
      </c>
      <c r="Q786" t="s">
        <v>3599</v>
      </c>
      <c r="R786" t="s">
        <v>3599</v>
      </c>
      <c r="S786" t="s">
        <v>3599</v>
      </c>
      <c r="T786">
        <v>1</v>
      </c>
      <c r="U786" t="s">
        <v>868</v>
      </c>
      <c r="V786">
        <v>5</v>
      </c>
      <c r="W786">
        <v>0</v>
      </c>
      <c r="X786">
        <v>0</v>
      </c>
    </row>
    <row r="787" spans="1:24" x14ac:dyDescent="0.3">
      <c r="A787" t="s">
        <v>2105</v>
      </c>
      <c r="B787" t="s">
        <v>2106</v>
      </c>
      <c r="C787">
        <v>1</v>
      </c>
      <c r="D787" t="s">
        <v>11</v>
      </c>
      <c r="E787" t="s">
        <v>21</v>
      </c>
      <c r="F787" t="s">
        <v>22</v>
      </c>
      <c r="H787" t="s">
        <v>71</v>
      </c>
      <c r="I787" t="s">
        <v>3617</v>
      </c>
      <c r="J787" t="s">
        <v>2105</v>
      </c>
      <c r="K787" t="s">
        <v>868</v>
      </c>
      <c r="L787" t="s">
        <v>3618</v>
      </c>
      <c r="M787" t="s">
        <v>2105</v>
      </c>
      <c r="N787" t="s">
        <v>2106</v>
      </c>
      <c r="Q787" t="s">
        <v>3599</v>
      </c>
      <c r="R787" t="s">
        <v>3599</v>
      </c>
      <c r="S787" t="s">
        <v>3599</v>
      </c>
      <c r="T787">
        <v>1</v>
      </c>
      <c r="U787" t="s">
        <v>868</v>
      </c>
      <c r="V787">
        <v>5</v>
      </c>
      <c r="W787">
        <v>0</v>
      </c>
      <c r="X787">
        <v>0</v>
      </c>
    </row>
    <row r="788" spans="1:24" x14ac:dyDescent="0.3">
      <c r="A788" t="s">
        <v>2107</v>
      </c>
      <c r="B788" t="s">
        <v>2108</v>
      </c>
      <c r="C788">
        <v>1</v>
      </c>
      <c r="D788" t="s">
        <v>11</v>
      </c>
      <c r="E788" t="s">
        <v>21</v>
      </c>
      <c r="F788" t="s">
        <v>22</v>
      </c>
      <c r="H788" t="s">
        <v>71</v>
      </c>
      <c r="I788" t="s">
        <v>3617</v>
      </c>
      <c r="J788" t="s">
        <v>2107</v>
      </c>
      <c r="K788" t="s">
        <v>868</v>
      </c>
      <c r="L788" t="s">
        <v>3618</v>
      </c>
      <c r="M788" t="s">
        <v>2107</v>
      </c>
      <c r="N788" t="s">
        <v>2108</v>
      </c>
      <c r="Q788" t="s">
        <v>3599</v>
      </c>
      <c r="R788" t="s">
        <v>3599</v>
      </c>
      <c r="S788" t="s">
        <v>3599</v>
      </c>
      <c r="T788">
        <v>1</v>
      </c>
      <c r="U788" t="s">
        <v>868</v>
      </c>
      <c r="V788">
        <v>5</v>
      </c>
      <c r="W788">
        <v>0</v>
      </c>
      <c r="X788">
        <v>0</v>
      </c>
    </row>
    <row r="789" spans="1:24" x14ac:dyDescent="0.3">
      <c r="A789" t="s">
        <v>2109</v>
      </c>
      <c r="B789" t="s">
        <v>2110</v>
      </c>
      <c r="C789">
        <v>1</v>
      </c>
      <c r="D789" t="s">
        <v>11</v>
      </c>
      <c r="E789" t="s">
        <v>21</v>
      </c>
      <c r="F789" t="s">
        <v>22</v>
      </c>
      <c r="H789" t="s">
        <v>71</v>
      </c>
      <c r="I789" t="s">
        <v>3617</v>
      </c>
      <c r="J789" t="s">
        <v>2109</v>
      </c>
      <c r="K789" t="s">
        <v>868</v>
      </c>
      <c r="L789" t="s">
        <v>3618</v>
      </c>
      <c r="M789" t="s">
        <v>2109</v>
      </c>
      <c r="N789" t="s">
        <v>2110</v>
      </c>
      <c r="Q789" t="s">
        <v>3599</v>
      </c>
      <c r="R789" t="s">
        <v>3599</v>
      </c>
      <c r="S789" t="s">
        <v>3599</v>
      </c>
      <c r="T789">
        <v>1</v>
      </c>
      <c r="U789" t="s">
        <v>868</v>
      </c>
      <c r="V789">
        <v>5</v>
      </c>
      <c r="W789">
        <v>0</v>
      </c>
      <c r="X789">
        <v>0</v>
      </c>
    </row>
    <row r="790" spans="1:24" x14ac:dyDescent="0.3">
      <c r="A790" t="s">
        <v>2111</v>
      </c>
      <c r="B790" t="s">
        <v>2112</v>
      </c>
      <c r="C790">
        <v>1</v>
      </c>
      <c r="D790" t="s">
        <v>11</v>
      </c>
      <c r="E790" t="s">
        <v>21</v>
      </c>
      <c r="F790" t="s">
        <v>22</v>
      </c>
      <c r="H790" t="s">
        <v>71</v>
      </c>
      <c r="I790" t="s">
        <v>3617</v>
      </c>
      <c r="J790" t="s">
        <v>2111</v>
      </c>
      <c r="K790" t="s">
        <v>868</v>
      </c>
      <c r="L790" t="s">
        <v>3618</v>
      </c>
      <c r="M790" t="s">
        <v>2111</v>
      </c>
      <c r="N790" t="s">
        <v>2112</v>
      </c>
      <c r="Q790" t="s">
        <v>3599</v>
      </c>
      <c r="R790" t="s">
        <v>3599</v>
      </c>
      <c r="S790" t="s">
        <v>3599</v>
      </c>
      <c r="T790">
        <v>1</v>
      </c>
      <c r="U790" t="s">
        <v>868</v>
      </c>
      <c r="V790">
        <v>5</v>
      </c>
      <c r="W790">
        <v>0</v>
      </c>
      <c r="X790">
        <v>0</v>
      </c>
    </row>
    <row r="791" spans="1:24" x14ac:dyDescent="0.3">
      <c r="A791" t="s">
        <v>2113</v>
      </c>
      <c r="B791" t="s">
        <v>2114</v>
      </c>
      <c r="C791">
        <v>1</v>
      </c>
      <c r="D791" t="s">
        <v>11</v>
      </c>
      <c r="E791" t="s">
        <v>21</v>
      </c>
      <c r="F791" t="s">
        <v>22</v>
      </c>
      <c r="H791" t="s">
        <v>71</v>
      </c>
      <c r="I791" t="s">
        <v>3617</v>
      </c>
      <c r="J791" t="s">
        <v>2113</v>
      </c>
      <c r="K791" t="s">
        <v>868</v>
      </c>
      <c r="L791" t="s">
        <v>3618</v>
      </c>
      <c r="M791" t="s">
        <v>2113</v>
      </c>
      <c r="N791" t="s">
        <v>2114</v>
      </c>
      <c r="Q791" t="s">
        <v>3599</v>
      </c>
      <c r="R791" t="s">
        <v>3599</v>
      </c>
      <c r="S791" t="s">
        <v>3599</v>
      </c>
      <c r="T791">
        <v>1</v>
      </c>
      <c r="U791" t="s">
        <v>868</v>
      </c>
      <c r="V791">
        <v>5</v>
      </c>
      <c r="W791">
        <v>0</v>
      </c>
      <c r="X791">
        <v>0</v>
      </c>
    </row>
    <row r="792" spans="1:24" x14ac:dyDescent="0.3">
      <c r="A792" t="s">
        <v>2115</v>
      </c>
      <c r="B792" t="s">
        <v>2116</v>
      </c>
      <c r="C792">
        <v>1</v>
      </c>
      <c r="D792" t="s">
        <v>11</v>
      </c>
      <c r="E792" t="s">
        <v>21</v>
      </c>
      <c r="F792" t="s">
        <v>22</v>
      </c>
      <c r="H792" t="s">
        <v>71</v>
      </c>
      <c r="I792" t="s">
        <v>3617</v>
      </c>
      <c r="J792" t="s">
        <v>2115</v>
      </c>
      <c r="K792" t="s">
        <v>868</v>
      </c>
      <c r="L792" t="s">
        <v>3618</v>
      </c>
      <c r="M792" t="s">
        <v>2115</v>
      </c>
      <c r="N792" t="s">
        <v>2116</v>
      </c>
      <c r="O792" t="s">
        <v>2117</v>
      </c>
      <c r="Q792" t="s">
        <v>3599</v>
      </c>
      <c r="R792" t="s">
        <v>3599</v>
      </c>
      <c r="S792" t="s">
        <v>3599</v>
      </c>
      <c r="T792">
        <v>1</v>
      </c>
      <c r="U792" t="s">
        <v>868</v>
      </c>
      <c r="V792">
        <v>5</v>
      </c>
      <c r="W792">
        <v>0</v>
      </c>
      <c r="X792">
        <v>0</v>
      </c>
    </row>
    <row r="793" spans="1:24" x14ac:dyDescent="0.3">
      <c r="A793" t="s">
        <v>2118</v>
      </c>
      <c r="B793" t="s">
        <v>2119</v>
      </c>
      <c r="C793">
        <v>1</v>
      </c>
      <c r="D793" t="s">
        <v>11</v>
      </c>
      <c r="E793" t="s">
        <v>21</v>
      </c>
      <c r="F793" t="s">
        <v>22</v>
      </c>
      <c r="H793" t="s">
        <v>71</v>
      </c>
      <c r="I793" t="s">
        <v>3617</v>
      </c>
      <c r="J793" t="s">
        <v>2118</v>
      </c>
      <c r="K793" t="s">
        <v>868</v>
      </c>
      <c r="L793" t="s">
        <v>3618</v>
      </c>
      <c r="M793" t="s">
        <v>2118</v>
      </c>
      <c r="N793" t="s">
        <v>2119</v>
      </c>
      <c r="Q793" t="s">
        <v>3599</v>
      </c>
      <c r="R793" t="s">
        <v>3599</v>
      </c>
      <c r="S793" t="s">
        <v>3599</v>
      </c>
      <c r="T793">
        <v>1</v>
      </c>
      <c r="U793" t="s">
        <v>868</v>
      </c>
      <c r="V793">
        <v>5</v>
      </c>
      <c r="W793">
        <v>0</v>
      </c>
      <c r="X793">
        <v>0</v>
      </c>
    </row>
    <row r="794" spans="1:24" x14ac:dyDescent="0.3">
      <c r="A794" t="s">
        <v>1074</v>
      </c>
      <c r="B794" t="s">
        <v>1075</v>
      </c>
      <c r="C794">
        <v>1</v>
      </c>
      <c r="D794" t="s">
        <v>11</v>
      </c>
      <c r="E794" t="s">
        <v>21</v>
      </c>
      <c r="F794" t="s">
        <v>22</v>
      </c>
      <c r="H794" t="s">
        <v>71</v>
      </c>
      <c r="I794" t="s">
        <v>3617</v>
      </c>
      <c r="J794" t="s">
        <v>1074</v>
      </c>
      <c r="K794" t="s">
        <v>868</v>
      </c>
      <c r="L794" t="s">
        <v>3618</v>
      </c>
      <c r="M794" t="s">
        <v>1074</v>
      </c>
      <c r="N794" t="s">
        <v>1075</v>
      </c>
      <c r="Q794" t="s">
        <v>3599</v>
      </c>
      <c r="R794" t="s">
        <v>3599</v>
      </c>
      <c r="S794" t="s">
        <v>3599</v>
      </c>
      <c r="T794">
        <v>1</v>
      </c>
      <c r="U794" t="s">
        <v>868</v>
      </c>
      <c r="V794">
        <v>5</v>
      </c>
      <c r="W794">
        <v>0</v>
      </c>
      <c r="X794">
        <v>0</v>
      </c>
    </row>
    <row r="795" spans="1:24" x14ac:dyDescent="0.3">
      <c r="A795" t="s">
        <v>2120</v>
      </c>
      <c r="B795" t="s">
        <v>2121</v>
      </c>
      <c r="C795">
        <v>1</v>
      </c>
      <c r="D795" t="s">
        <v>11</v>
      </c>
      <c r="E795" t="s">
        <v>21</v>
      </c>
      <c r="F795" t="s">
        <v>22</v>
      </c>
      <c r="H795" t="s">
        <v>71</v>
      </c>
      <c r="I795" t="s">
        <v>3617</v>
      </c>
      <c r="J795" t="s">
        <v>2120</v>
      </c>
      <c r="K795" t="s">
        <v>868</v>
      </c>
      <c r="L795" t="s">
        <v>3618</v>
      </c>
      <c r="M795" t="s">
        <v>2120</v>
      </c>
      <c r="N795" t="s">
        <v>2121</v>
      </c>
      <c r="Q795" t="s">
        <v>3599</v>
      </c>
      <c r="R795" t="s">
        <v>3599</v>
      </c>
      <c r="S795" t="s">
        <v>3599</v>
      </c>
      <c r="T795">
        <v>1</v>
      </c>
      <c r="U795" t="s">
        <v>868</v>
      </c>
      <c r="V795">
        <v>5</v>
      </c>
      <c r="W795">
        <v>0</v>
      </c>
      <c r="X795">
        <v>0</v>
      </c>
    </row>
    <row r="796" spans="1:24" x14ac:dyDescent="0.3">
      <c r="A796" t="s">
        <v>2122</v>
      </c>
      <c r="B796" t="s">
        <v>2123</v>
      </c>
      <c r="C796">
        <v>1</v>
      </c>
      <c r="D796" t="s">
        <v>11</v>
      </c>
      <c r="E796" t="s">
        <v>21</v>
      </c>
      <c r="F796" t="s">
        <v>22</v>
      </c>
      <c r="H796" t="s">
        <v>71</v>
      </c>
      <c r="I796" t="s">
        <v>3617</v>
      </c>
      <c r="J796" t="s">
        <v>2122</v>
      </c>
      <c r="K796" t="s">
        <v>868</v>
      </c>
      <c r="L796" t="s">
        <v>3618</v>
      </c>
      <c r="M796" t="s">
        <v>2122</v>
      </c>
      <c r="N796" t="s">
        <v>2123</v>
      </c>
      <c r="Q796" t="s">
        <v>3599</v>
      </c>
      <c r="R796" t="s">
        <v>3599</v>
      </c>
      <c r="S796" t="s">
        <v>3599</v>
      </c>
      <c r="T796">
        <v>1</v>
      </c>
      <c r="U796" t="s">
        <v>868</v>
      </c>
      <c r="V796">
        <v>5</v>
      </c>
      <c r="W796">
        <v>0</v>
      </c>
      <c r="X796">
        <v>0</v>
      </c>
    </row>
    <row r="797" spans="1:24" x14ac:dyDescent="0.3">
      <c r="A797" t="s">
        <v>2124</v>
      </c>
      <c r="B797" t="s">
        <v>2125</v>
      </c>
      <c r="C797">
        <v>1</v>
      </c>
      <c r="D797" t="s">
        <v>11</v>
      </c>
      <c r="E797" t="s">
        <v>21</v>
      </c>
      <c r="F797" t="s">
        <v>22</v>
      </c>
      <c r="H797" t="s">
        <v>71</v>
      </c>
      <c r="I797" t="s">
        <v>3617</v>
      </c>
      <c r="J797" t="s">
        <v>2124</v>
      </c>
      <c r="K797" t="s">
        <v>868</v>
      </c>
      <c r="L797" t="s">
        <v>3618</v>
      </c>
      <c r="M797" t="s">
        <v>2124</v>
      </c>
      <c r="N797" t="s">
        <v>2125</v>
      </c>
      <c r="Q797" t="s">
        <v>3599</v>
      </c>
      <c r="R797" t="s">
        <v>3599</v>
      </c>
      <c r="S797" t="s">
        <v>3599</v>
      </c>
      <c r="T797">
        <v>1</v>
      </c>
      <c r="U797" t="s">
        <v>868</v>
      </c>
      <c r="V797">
        <v>5</v>
      </c>
      <c r="W797">
        <v>0</v>
      </c>
      <c r="X797">
        <v>0</v>
      </c>
    </row>
    <row r="798" spans="1:24" x14ac:dyDescent="0.3">
      <c r="A798" t="s">
        <v>2126</v>
      </c>
      <c r="B798" t="s">
        <v>2127</v>
      </c>
      <c r="C798">
        <v>1</v>
      </c>
      <c r="D798" t="s">
        <v>11</v>
      </c>
      <c r="E798" t="s">
        <v>21</v>
      </c>
      <c r="F798" t="s">
        <v>22</v>
      </c>
      <c r="H798" t="s">
        <v>71</v>
      </c>
      <c r="I798" t="s">
        <v>3617</v>
      </c>
      <c r="J798" t="s">
        <v>2126</v>
      </c>
      <c r="K798" t="s">
        <v>868</v>
      </c>
      <c r="L798" t="s">
        <v>3618</v>
      </c>
      <c r="M798" t="s">
        <v>2126</v>
      </c>
      <c r="N798" t="s">
        <v>2127</v>
      </c>
      <c r="Q798" t="s">
        <v>3599</v>
      </c>
      <c r="R798" t="s">
        <v>3599</v>
      </c>
      <c r="S798" t="s">
        <v>3599</v>
      </c>
      <c r="T798">
        <v>1</v>
      </c>
      <c r="U798" t="s">
        <v>868</v>
      </c>
      <c r="V798">
        <v>5</v>
      </c>
      <c r="W798">
        <v>0</v>
      </c>
      <c r="X798">
        <v>0</v>
      </c>
    </row>
    <row r="799" spans="1:24" x14ac:dyDescent="0.3">
      <c r="A799" t="s">
        <v>2128</v>
      </c>
      <c r="B799" t="s">
        <v>2129</v>
      </c>
      <c r="C799">
        <v>1</v>
      </c>
      <c r="D799" t="s">
        <v>11</v>
      </c>
      <c r="E799" t="s">
        <v>21</v>
      </c>
      <c r="F799" t="s">
        <v>22</v>
      </c>
      <c r="H799" t="s">
        <v>71</v>
      </c>
      <c r="I799" t="s">
        <v>3617</v>
      </c>
      <c r="J799" t="s">
        <v>2128</v>
      </c>
      <c r="K799" t="s">
        <v>868</v>
      </c>
      <c r="L799" t="s">
        <v>3618</v>
      </c>
      <c r="M799" t="s">
        <v>2128</v>
      </c>
      <c r="N799" t="s">
        <v>2129</v>
      </c>
      <c r="Q799" t="s">
        <v>3599</v>
      </c>
      <c r="R799" t="s">
        <v>3599</v>
      </c>
      <c r="S799" t="s">
        <v>3599</v>
      </c>
      <c r="T799">
        <v>1</v>
      </c>
      <c r="U799" t="s">
        <v>868</v>
      </c>
      <c r="V799">
        <v>5</v>
      </c>
      <c r="W799">
        <v>0</v>
      </c>
      <c r="X799">
        <v>0</v>
      </c>
    </row>
    <row r="800" spans="1:24" x14ac:dyDescent="0.3">
      <c r="A800" t="s">
        <v>2130</v>
      </c>
      <c r="B800" t="s">
        <v>2131</v>
      </c>
      <c r="C800">
        <v>1</v>
      </c>
      <c r="D800" t="s">
        <v>11</v>
      </c>
      <c r="E800" t="s">
        <v>21</v>
      </c>
      <c r="F800" t="s">
        <v>22</v>
      </c>
      <c r="H800" t="s">
        <v>71</v>
      </c>
      <c r="I800" t="s">
        <v>3617</v>
      </c>
      <c r="J800" t="s">
        <v>2130</v>
      </c>
      <c r="K800" t="s">
        <v>868</v>
      </c>
      <c r="L800" t="s">
        <v>3618</v>
      </c>
      <c r="M800" t="s">
        <v>2130</v>
      </c>
      <c r="N800" t="s">
        <v>2131</v>
      </c>
      <c r="Q800" t="s">
        <v>3599</v>
      </c>
      <c r="R800" t="s">
        <v>3599</v>
      </c>
      <c r="S800" t="s">
        <v>3599</v>
      </c>
      <c r="T800">
        <v>1</v>
      </c>
      <c r="U800" t="s">
        <v>868</v>
      </c>
      <c r="V800">
        <v>5</v>
      </c>
      <c r="W800">
        <v>0</v>
      </c>
      <c r="X800">
        <v>0</v>
      </c>
    </row>
    <row r="801" spans="1:24" x14ac:dyDescent="0.3">
      <c r="A801" t="s">
        <v>2132</v>
      </c>
      <c r="B801" t="s">
        <v>2133</v>
      </c>
      <c r="C801">
        <v>1</v>
      </c>
      <c r="D801" t="s">
        <v>11</v>
      </c>
      <c r="E801" t="s">
        <v>21</v>
      </c>
      <c r="F801" t="s">
        <v>22</v>
      </c>
      <c r="H801" t="s">
        <v>71</v>
      </c>
      <c r="I801" t="s">
        <v>3617</v>
      </c>
      <c r="J801" t="s">
        <v>2132</v>
      </c>
      <c r="K801" t="s">
        <v>868</v>
      </c>
      <c r="L801" t="s">
        <v>3618</v>
      </c>
      <c r="M801" t="s">
        <v>2132</v>
      </c>
      <c r="N801" t="s">
        <v>2133</v>
      </c>
      <c r="Q801" t="s">
        <v>3599</v>
      </c>
      <c r="R801" t="s">
        <v>3599</v>
      </c>
      <c r="S801" t="s">
        <v>3599</v>
      </c>
      <c r="T801">
        <v>1</v>
      </c>
      <c r="U801" t="s">
        <v>868</v>
      </c>
      <c r="V801">
        <v>5</v>
      </c>
      <c r="W801">
        <v>0</v>
      </c>
      <c r="X801">
        <v>0</v>
      </c>
    </row>
    <row r="802" spans="1:24" x14ac:dyDescent="0.3">
      <c r="A802" t="s">
        <v>2134</v>
      </c>
      <c r="B802" t="s">
        <v>2135</v>
      </c>
      <c r="C802">
        <v>1</v>
      </c>
      <c r="D802" t="s">
        <v>11</v>
      </c>
      <c r="E802" t="s">
        <v>21</v>
      </c>
      <c r="F802" t="s">
        <v>22</v>
      </c>
      <c r="H802" t="s">
        <v>71</v>
      </c>
      <c r="I802" t="s">
        <v>3617</v>
      </c>
      <c r="J802" t="s">
        <v>2134</v>
      </c>
      <c r="K802" t="s">
        <v>868</v>
      </c>
      <c r="L802" t="s">
        <v>3618</v>
      </c>
      <c r="M802" t="s">
        <v>2134</v>
      </c>
      <c r="N802" t="s">
        <v>2135</v>
      </c>
      <c r="Q802" t="s">
        <v>3599</v>
      </c>
      <c r="R802" t="s">
        <v>3599</v>
      </c>
      <c r="S802" t="s">
        <v>3599</v>
      </c>
      <c r="T802">
        <v>1</v>
      </c>
      <c r="U802" t="s">
        <v>868</v>
      </c>
      <c r="V802">
        <v>5</v>
      </c>
      <c r="W802">
        <v>0</v>
      </c>
      <c r="X802">
        <v>0</v>
      </c>
    </row>
    <row r="803" spans="1:24" x14ac:dyDescent="0.3">
      <c r="A803" t="s">
        <v>2136</v>
      </c>
      <c r="B803" t="s">
        <v>2137</v>
      </c>
      <c r="C803">
        <v>1</v>
      </c>
      <c r="D803" t="s">
        <v>11</v>
      </c>
      <c r="E803" t="s">
        <v>21</v>
      </c>
      <c r="F803" t="s">
        <v>22</v>
      </c>
      <c r="H803" t="s">
        <v>71</v>
      </c>
      <c r="I803" t="s">
        <v>3617</v>
      </c>
      <c r="J803" t="s">
        <v>2136</v>
      </c>
      <c r="K803" t="s">
        <v>868</v>
      </c>
      <c r="L803" t="s">
        <v>3618</v>
      </c>
      <c r="M803" t="s">
        <v>2136</v>
      </c>
      <c r="N803" t="s">
        <v>2137</v>
      </c>
      <c r="Q803" t="s">
        <v>3599</v>
      </c>
      <c r="R803" t="s">
        <v>3599</v>
      </c>
      <c r="S803" t="s">
        <v>3599</v>
      </c>
      <c r="T803">
        <v>1</v>
      </c>
      <c r="U803" t="s">
        <v>868</v>
      </c>
      <c r="V803">
        <v>5</v>
      </c>
      <c r="W803">
        <v>0</v>
      </c>
      <c r="X803">
        <v>0</v>
      </c>
    </row>
    <row r="804" spans="1:24" x14ac:dyDescent="0.3">
      <c r="A804" t="s">
        <v>2138</v>
      </c>
      <c r="B804" t="s">
        <v>2139</v>
      </c>
      <c r="C804">
        <v>1</v>
      </c>
      <c r="D804" t="s">
        <v>11</v>
      </c>
      <c r="E804" t="s">
        <v>21</v>
      </c>
      <c r="F804" t="s">
        <v>22</v>
      </c>
      <c r="H804" t="s">
        <v>71</v>
      </c>
      <c r="I804" t="s">
        <v>3617</v>
      </c>
      <c r="J804" t="s">
        <v>2138</v>
      </c>
      <c r="K804" t="s">
        <v>868</v>
      </c>
      <c r="L804" t="s">
        <v>3618</v>
      </c>
      <c r="M804" t="s">
        <v>2138</v>
      </c>
      <c r="N804" t="s">
        <v>2139</v>
      </c>
      <c r="Q804" t="s">
        <v>3599</v>
      </c>
      <c r="R804" t="s">
        <v>3599</v>
      </c>
      <c r="S804" t="s">
        <v>3599</v>
      </c>
      <c r="T804">
        <v>1</v>
      </c>
      <c r="U804" t="s">
        <v>868</v>
      </c>
      <c r="V804">
        <v>5</v>
      </c>
      <c r="W804">
        <v>0</v>
      </c>
      <c r="X804">
        <v>0</v>
      </c>
    </row>
    <row r="805" spans="1:24" x14ac:dyDescent="0.3">
      <c r="A805" t="s">
        <v>891</v>
      </c>
      <c r="B805" t="s">
        <v>892</v>
      </c>
      <c r="C805">
        <v>1</v>
      </c>
      <c r="D805" t="s">
        <v>11</v>
      </c>
      <c r="E805" t="s">
        <v>21</v>
      </c>
      <c r="F805" t="s">
        <v>22</v>
      </c>
      <c r="H805" t="s">
        <v>71</v>
      </c>
      <c r="I805" t="s">
        <v>3617</v>
      </c>
      <c r="J805" t="s">
        <v>891</v>
      </c>
      <c r="K805" t="s">
        <v>868</v>
      </c>
      <c r="L805" t="s">
        <v>3618</v>
      </c>
      <c r="M805" t="s">
        <v>891</v>
      </c>
      <c r="N805" t="s">
        <v>892</v>
      </c>
      <c r="Q805" t="s">
        <v>3599</v>
      </c>
      <c r="R805" t="s">
        <v>3599</v>
      </c>
      <c r="S805" t="s">
        <v>3599</v>
      </c>
      <c r="T805">
        <v>1</v>
      </c>
      <c r="U805" t="s">
        <v>868</v>
      </c>
      <c r="V805">
        <v>5</v>
      </c>
      <c r="W805">
        <v>0</v>
      </c>
      <c r="X805">
        <v>0</v>
      </c>
    </row>
    <row r="806" spans="1:24" x14ac:dyDescent="0.3">
      <c r="A806" t="s">
        <v>2140</v>
      </c>
      <c r="B806" t="s">
        <v>2141</v>
      </c>
      <c r="C806">
        <v>1</v>
      </c>
      <c r="D806" t="s">
        <v>11</v>
      </c>
      <c r="E806" t="s">
        <v>21</v>
      </c>
      <c r="F806" t="s">
        <v>22</v>
      </c>
      <c r="H806" t="s">
        <v>71</v>
      </c>
      <c r="I806" t="s">
        <v>3617</v>
      </c>
      <c r="J806" t="s">
        <v>2140</v>
      </c>
      <c r="K806" t="s">
        <v>868</v>
      </c>
      <c r="L806" t="s">
        <v>3618</v>
      </c>
      <c r="M806" t="s">
        <v>2140</v>
      </c>
      <c r="N806" t="s">
        <v>2141</v>
      </c>
      <c r="Q806" t="s">
        <v>3599</v>
      </c>
      <c r="R806" t="s">
        <v>3599</v>
      </c>
      <c r="S806" t="s">
        <v>3599</v>
      </c>
      <c r="T806">
        <v>1</v>
      </c>
      <c r="U806" t="s">
        <v>868</v>
      </c>
      <c r="V806">
        <v>5</v>
      </c>
      <c r="W806">
        <v>0</v>
      </c>
      <c r="X806">
        <v>0</v>
      </c>
    </row>
    <row r="807" spans="1:24" x14ac:dyDescent="0.3">
      <c r="A807" t="s">
        <v>2142</v>
      </c>
      <c r="B807" t="s">
        <v>2143</v>
      </c>
      <c r="C807">
        <v>1</v>
      </c>
      <c r="D807" t="s">
        <v>11</v>
      </c>
      <c r="E807" t="s">
        <v>21</v>
      </c>
      <c r="F807" t="s">
        <v>22</v>
      </c>
      <c r="H807" t="s">
        <v>71</v>
      </c>
      <c r="I807" t="s">
        <v>3617</v>
      </c>
      <c r="J807" t="s">
        <v>2142</v>
      </c>
      <c r="K807" t="s">
        <v>868</v>
      </c>
      <c r="L807" t="s">
        <v>3618</v>
      </c>
      <c r="M807" t="s">
        <v>2142</v>
      </c>
      <c r="N807" t="s">
        <v>2143</v>
      </c>
      <c r="Q807" t="s">
        <v>3599</v>
      </c>
      <c r="R807" t="s">
        <v>3599</v>
      </c>
      <c r="S807" t="s">
        <v>3599</v>
      </c>
      <c r="T807">
        <v>1</v>
      </c>
      <c r="U807" t="s">
        <v>868</v>
      </c>
      <c r="V807">
        <v>5</v>
      </c>
      <c r="W807">
        <v>0</v>
      </c>
      <c r="X807">
        <v>0</v>
      </c>
    </row>
    <row r="808" spans="1:24" x14ac:dyDescent="0.3">
      <c r="A808" t="s">
        <v>2144</v>
      </c>
      <c r="B808" t="s">
        <v>2145</v>
      </c>
      <c r="C808">
        <v>1</v>
      </c>
      <c r="D808" t="s">
        <v>11</v>
      </c>
      <c r="E808" t="s">
        <v>21</v>
      </c>
      <c r="F808" t="s">
        <v>22</v>
      </c>
      <c r="H808" t="s">
        <v>71</v>
      </c>
      <c r="I808" t="s">
        <v>3617</v>
      </c>
      <c r="J808" t="s">
        <v>2144</v>
      </c>
      <c r="K808" t="s">
        <v>868</v>
      </c>
      <c r="L808" t="s">
        <v>3618</v>
      </c>
      <c r="M808" t="s">
        <v>2144</v>
      </c>
      <c r="N808" t="s">
        <v>2145</v>
      </c>
      <c r="Q808" t="s">
        <v>3599</v>
      </c>
      <c r="R808" t="s">
        <v>3599</v>
      </c>
      <c r="S808" t="s">
        <v>3599</v>
      </c>
      <c r="T808">
        <v>1</v>
      </c>
      <c r="U808" t="s">
        <v>868</v>
      </c>
      <c r="V808">
        <v>5</v>
      </c>
      <c r="W808">
        <v>0</v>
      </c>
      <c r="X808">
        <v>0</v>
      </c>
    </row>
    <row r="809" spans="1:24" x14ac:dyDescent="0.3">
      <c r="A809" t="s">
        <v>2146</v>
      </c>
      <c r="B809" t="s">
        <v>2147</v>
      </c>
      <c r="C809">
        <v>1</v>
      </c>
      <c r="D809" t="s">
        <v>11</v>
      </c>
      <c r="E809" t="s">
        <v>21</v>
      </c>
      <c r="F809" t="s">
        <v>22</v>
      </c>
      <c r="H809" t="s">
        <v>71</v>
      </c>
      <c r="I809" t="s">
        <v>3617</v>
      </c>
      <c r="J809" t="s">
        <v>2146</v>
      </c>
      <c r="K809" t="s">
        <v>868</v>
      </c>
      <c r="L809" t="s">
        <v>3618</v>
      </c>
      <c r="M809" t="s">
        <v>2146</v>
      </c>
      <c r="N809" t="s">
        <v>2147</v>
      </c>
      <c r="Q809" t="s">
        <v>3599</v>
      </c>
      <c r="R809" t="s">
        <v>3599</v>
      </c>
      <c r="S809" t="s">
        <v>3599</v>
      </c>
      <c r="T809">
        <v>1</v>
      </c>
      <c r="U809" t="s">
        <v>868</v>
      </c>
      <c r="V809">
        <v>5</v>
      </c>
      <c r="W809">
        <v>0</v>
      </c>
      <c r="X809">
        <v>0</v>
      </c>
    </row>
    <row r="810" spans="1:24" x14ac:dyDescent="0.3">
      <c r="A810" t="s">
        <v>2148</v>
      </c>
      <c r="B810" t="s">
        <v>2149</v>
      </c>
      <c r="C810">
        <v>1</v>
      </c>
      <c r="D810" t="s">
        <v>11</v>
      </c>
      <c r="E810" t="s">
        <v>21</v>
      </c>
      <c r="F810" t="s">
        <v>22</v>
      </c>
      <c r="H810" t="s">
        <v>71</v>
      </c>
      <c r="I810" t="s">
        <v>3617</v>
      </c>
      <c r="J810" t="s">
        <v>2148</v>
      </c>
      <c r="K810" t="s">
        <v>868</v>
      </c>
      <c r="L810" t="s">
        <v>3618</v>
      </c>
      <c r="M810" t="s">
        <v>2148</v>
      </c>
      <c r="N810" t="s">
        <v>2149</v>
      </c>
      <c r="Q810" t="s">
        <v>3599</v>
      </c>
      <c r="R810" t="s">
        <v>3599</v>
      </c>
      <c r="S810" t="s">
        <v>3599</v>
      </c>
      <c r="T810">
        <v>1</v>
      </c>
      <c r="U810" t="s">
        <v>868</v>
      </c>
      <c r="V810">
        <v>5</v>
      </c>
      <c r="W810">
        <v>0</v>
      </c>
      <c r="X810">
        <v>0</v>
      </c>
    </row>
    <row r="811" spans="1:24" x14ac:dyDescent="0.3">
      <c r="A811" t="s">
        <v>2150</v>
      </c>
      <c r="B811" t="s">
        <v>2151</v>
      </c>
      <c r="C811">
        <v>1</v>
      </c>
      <c r="D811" t="s">
        <v>11</v>
      </c>
      <c r="E811" t="s">
        <v>21</v>
      </c>
      <c r="F811" t="s">
        <v>22</v>
      </c>
      <c r="H811" t="s">
        <v>71</v>
      </c>
      <c r="I811" t="s">
        <v>3617</v>
      </c>
      <c r="J811" t="s">
        <v>2150</v>
      </c>
      <c r="K811" t="s">
        <v>868</v>
      </c>
      <c r="L811" t="s">
        <v>3618</v>
      </c>
      <c r="M811" t="s">
        <v>2150</v>
      </c>
      <c r="N811" t="s">
        <v>2151</v>
      </c>
      <c r="Q811" t="s">
        <v>3599</v>
      </c>
      <c r="R811" t="s">
        <v>3599</v>
      </c>
      <c r="S811" t="s">
        <v>3599</v>
      </c>
      <c r="T811">
        <v>1</v>
      </c>
      <c r="U811" t="s">
        <v>868</v>
      </c>
      <c r="V811">
        <v>5</v>
      </c>
      <c r="W811">
        <v>0</v>
      </c>
      <c r="X811">
        <v>0</v>
      </c>
    </row>
    <row r="812" spans="1:24" x14ac:dyDescent="0.3">
      <c r="A812" t="s">
        <v>2152</v>
      </c>
      <c r="B812" t="s">
        <v>2153</v>
      </c>
      <c r="C812">
        <v>1</v>
      </c>
      <c r="D812" t="s">
        <v>11</v>
      </c>
      <c r="E812" t="s">
        <v>21</v>
      </c>
      <c r="F812" t="s">
        <v>22</v>
      </c>
      <c r="H812" t="s">
        <v>71</v>
      </c>
      <c r="I812" t="s">
        <v>3617</v>
      </c>
      <c r="J812" t="s">
        <v>2152</v>
      </c>
      <c r="K812" t="s">
        <v>868</v>
      </c>
      <c r="L812" t="s">
        <v>3618</v>
      </c>
      <c r="M812" t="s">
        <v>2152</v>
      </c>
      <c r="N812" t="s">
        <v>2153</v>
      </c>
      <c r="Q812" t="s">
        <v>3599</v>
      </c>
      <c r="R812" t="s">
        <v>3599</v>
      </c>
      <c r="S812" t="s">
        <v>3599</v>
      </c>
      <c r="T812">
        <v>1</v>
      </c>
      <c r="U812" t="s">
        <v>868</v>
      </c>
      <c r="V812">
        <v>5</v>
      </c>
      <c r="W812">
        <v>0</v>
      </c>
      <c r="X812">
        <v>0</v>
      </c>
    </row>
    <row r="813" spans="1:24" x14ac:dyDescent="0.3">
      <c r="A813" t="s">
        <v>2154</v>
      </c>
      <c r="B813" t="s">
        <v>2155</v>
      </c>
      <c r="C813">
        <v>1</v>
      </c>
      <c r="D813" t="s">
        <v>11</v>
      </c>
      <c r="E813" t="s">
        <v>21</v>
      </c>
      <c r="F813" t="s">
        <v>22</v>
      </c>
      <c r="H813" t="s">
        <v>71</v>
      </c>
      <c r="I813" t="s">
        <v>3617</v>
      </c>
      <c r="J813" t="s">
        <v>2154</v>
      </c>
      <c r="K813" t="s">
        <v>868</v>
      </c>
      <c r="L813" t="s">
        <v>3618</v>
      </c>
      <c r="M813" t="s">
        <v>2154</v>
      </c>
      <c r="N813" t="s">
        <v>2155</v>
      </c>
      <c r="Q813" t="s">
        <v>3599</v>
      </c>
      <c r="R813" t="s">
        <v>3599</v>
      </c>
      <c r="S813" t="s">
        <v>3599</v>
      </c>
      <c r="T813">
        <v>1</v>
      </c>
      <c r="U813" t="s">
        <v>868</v>
      </c>
      <c r="V813">
        <v>5</v>
      </c>
      <c r="W813">
        <v>0</v>
      </c>
      <c r="X813">
        <v>0</v>
      </c>
    </row>
    <row r="814" spans="1:24" x14ac:dyDescent="0.3">
      <c r="A814" t="s">
        <v>2156</v>
      </c>
      <c r="B814" t="s">
        <v>2157</v>
      </c>
      <c r="C814">
        <v>1</v>
      </c>
      <c r="D814" t="s">
        <v>11</v>
      </c>
      <c r="E814" t="s">
        <v>21</v>
      </c>
      <c r="F814" t="s">
        <v>22</v>
      </c>
      <c r="H814" t="s">
        <v>71</v>
      </c>
      <c r="I814" t="s">
        <v>3617</v>
      </c>
      <c r="J814" t="s">
        <v>2156</v>
      </c>
      <c r="K814" t="s">
        <v>868</v>
      </c>
      <c r="L814" t="s">
        <v>3618</v>
      </c>
      <c r="M814" t="s">
        <v>2156</v>
      </c>
      <c r="N814" t="s">
        <v>2157</v>
      </c>
      <c r="Q814" t="s">
        <v>3599</v>
      </c>
      <c r="R814" t="s">
        <v>3599</v>
      </c>
      <c r="S814" t="s">
        <v>3599</v>
      </c>
      <c r="T814">
        <v>1</v>
      </c>
      <c r="U814" t="s">
        <v>868</v>
      </c>
      <c r="V814">
        <v>5</v>
      </c>
      <c r="W814">
        <v>0</v>
      </c>
      <c r="X814">
        <v>0</v>
      </c>
    </row>
    <row r="815" spans="1:24" x14ac:dyDescent="0.3">
      <c r="A815" t="s">
        <v>2158</v>
      </c>
      <c r="B815" t="s">
        <v>2159</v>
      </c>
      <c r="C815">
        <v>1</v>
      </c>
      <c r="D815" t="s">
        <v>11</v>
      </c>
      <c r="E815" t="s">
        <v>21</v>
      </c>
      <c r="F815" t="s">
        <v>22</v>
      </c>
      <c r="H815" t="s">
        <v>71</v>
      </c>
      <c r="I815" t="s">
        <v>3617</v>
      </c>
      <c r="J815" t="s">
        <v>2158</v>
      </c>
      <c r="K815" t="s">
        <v>868</v>
      </c>
      <c r="L815" t="s">
        <v>3618</v>
      </c>
      <c r="M815" t="s">
        <v>2158</v>
      </c>
      <c r="N815" t="s">
        <v>2159</v>
      </c>
      <c r="Q815" t="s">
        <v>3599</v>
      </c>
      <c r="R815" t="s">
        <v>3599</v>
      </c>
      <c r="S815" t="s">
        <v>3599</v>
      </c>
      <c r="T815">
        <v>1</v>
      </c>
      <c r="U815" t="s">
        <v>868</v>
      </c>
      <c r="V815">
        <v>5</v>
      </c>
      <c r="W815">
        <v>0</v>
      </c>
      <c r="X815">
        <v>0</v>
      </c>
    </row>
    <row r="816" spans="1:24" x14ac:dyDescent="0.3">
      <c r="A816" t="s">
        <v>2160</v>
      </c>
      <c r="B816" t="s">
        <v>2161</v>
      </c>
      <c r="C816">
        <v>1</v>
      </c>
      <c r="D816" t="s">
        <v>11</v>
      </c>
      <c r="E816" t="s">
        <v>21</v>
      </c>
      <c r="F816" t="s">
        <v>22</v>
      </c>
      <c r="H816" t="s">
        <v>71</v>
      </c>
      <c r="I816" t="s">
        <v>3617</v>
      </c>
      <c r="J816" t="s">
        <v>2160</v>
      </c>
      <c r="K816" t="s">
        <v>868</v>
      </c>
      <c r="L816" t="s">
        <v>3618</v>
      </c>
      <c r="M816" t="s">
        <v>2160</v>
      </c>
      <c r="N816" t="s">
        <v>2161</v>
      </c>
      <c r="Q816" t="s">
        <v>3599</v>
      </c>
      <c r="R816" t="s">
        <v>3599</v>
      </c>
      <c r="S816" t="s">
        <v>3599</v>
      </c>
      <c r="T816">
        <v>1</v>
      </c>
      <c r="U816" t="s">
        <v>868</v>
      </c>
      <c r="V816">
        <v>5</v>
      </c>
      <c r="W816">
        <v>0</v>
      </c>
      <c r="X816">
        <v>0</v>
      </c>
    </row>
    <row r="817" spans="1:24" x14ac:dyDescent="0.3">
      <c r="A817" t="s">
        <v>1551</v>
      </c>
      <c r="B817" t="s">
        <v>1552</v>
      </c>
      <c r="C817">
        <v>1</v>
      </c>
      <c r="D817" t="s">
        <v>11</v>
      </c>
      <c r="E817" t="s">
        <v>21</v>
      </c>
      <c r="F817" t="s">
        <v>22</v>
      </c>
      <c r="H817" t="s">
        <v>71</v>
      </c>
      <c r="I817" t="s">
        <v>3617</v>
      </c>
      <c r="J817" t="s">
        <v>1551</v>
      </c>
      <c r="K817" t="s">
        <v>868</v>
      </c>
      <c r="L817" t="s">
        <v>3618</v>
      </c>
      <c r="M817" t="s">
        <v>1551</v>
      </c>
      <c r="N817" t="s">
        <v>1552</v>
      </c>
      <c r="Q817" t="s">
        <v>3599</v>
      </c>
      <c r="R817" t="s">
        <v>3599</v>
      </c>
      <c r="S817" t="s">
        <v>3599</v>
      </c>
      <c r="T817">
        <v>1</v>
      </c>
      <c r="U817" t="s">
        <v>868</v>
      </c>
      <c r="V817">
        <v>5</v>
      </c>
      <c r="W817">
        <v>0</v>
      </c>
      <c r="X817">
        <v>0</v>
      </c>
    </row>
    <row r="818" spans="1:24" x14ac:dyDescent="0.3">
      <c r="A818" t="s">
        <v>2162</v>
      </c>
      <c r="B818" t="s">
        <v>2163</v>
      </c>
      <c r="C818">
        <v>1</v>
      </c>
      <c r="D818" t="s">
        <v>11</v>
      </c>
      <c r="E818" t="s">
        <v>21</v>
      </c>
      <c r="F818" t="s">
        <v>22</v>
      </c>
      <c r="H818" t="s">
        <v>71</v>
      </c>
      <c r="I818" t="s">
        <v>3617</v>
      </c>
      <c r="J818" t="s">
        <v>2162</v>
      </c>
      <c r="K818" t="s">
        <v>868</v>
      </c>
      <c r="L818" t="s">
        <v>3618</v>
      </c>
      <c r="M818" t="s">
        <v>2162</v>
      </c>
      <c r="N818" t="s">
        <v>2163</v>
      </c>
      <c r="Q818" t="s">
        <v>3599</v>
      </c>
      <c r="R818" t="s">
        <v>3599</v>
      </c>
      <c r="S818" t="s">
        <v>3599</v>
      </c>
      <c r="T818">
        <v>1</v>
      </c>
      <c r="U818" t="s">
        <v>868</v>
      </c>
      <c r="V818">
        <v>5</v>
      </c>
      <c r="W818">
        <v>0</v>
      </c>
      <c r="X818">
        <v>0</v>
      </c>
    </row>
    <row r="819" spans="1:24" x14ac:dyDescent="0.3">
      <c r="A819" t="s">
        <v>2164</v>
      </c>
      <c r="B819" t="s">
        <v>2165</v>
      </c>
      <c r="C819">
        <v>1</v>
      </c>
      <c r="D819" t="s">
        <v>11</v>
      </c>
      <c r="E819" t="s">
        <v>21</v>
      </c>
      <c r="F819" t="s">
        <v>22</v>
      </c>
      <c r="H819" t="s">
        <v>71</v>
      </c>
      <c r="I819" t="s">
        <v>3617</v>
      </c>
      <c r="J819" t="s">
        <v>2164</v>
      </c>
      <c r="K819" t="s">
        <v>868</v>
      </c>
      <c r="L819" t="s">
        <v>3618</v>
      </c>
      <c r="M819" t="s">
        <v>2164</v>
      </c>
      <c r="N819" t="s">
        <v>2165</v>
      </c>
      <c r="Q819" t="s">
        <v>3599</v>
      </c>
      <c r="R819" t="s">
        <v>3599</v>
      </c>
      <c r="S819" t="s">
        <v>3599</v>
      </c>
      <c r="T819">
        <v>1</v>
      </c>
      <c r="U819" t="s">
        <v>868</v>
      </c>
      <c r="V819">
        <v>5</v>
      </c>
      <c r="W819">
        <v>0</v>
      </c>
      <c r="X819">
        <v>0</v>
      </c>
    </row>
    <row r="820" spans="1:24" x14ac:dyDescent="0.3">
      <c r="A820" t="s">
        <v>2166</v>
      </c>
      <c r="B820" t="s">
        <v>2167</v>
      </c>
      <c r="C820">
        <v>1</v>
      </c>
      <c r="D820" t="s">
        <v>11</v>
      </c>
      <c r="E820" t="s">
        <v>21</v>
      </c>
      <c r="F820" t="s">
        <v>22</v>
      </c>
      <c r="H820" t="s">
        <v>71</v>
      </c>
      <c r="I820" t="s">
        <v>3617</v>
      </c>
      <c r="J820" t="s">
        <v>2166</v>
      </c>
      <c r="K820" t="s">
        <v>868</v>
      </c>
      <c r="L820" t="s">
        <v>3618</v>
      </c>
      <c r="M820" t="s">
        <v>2166</v>
      </c>
      <c r="N820" t="s">
        <v>2167</v>
      </c>
      <c r="Q820" t="s">
        <v>3599</v>
      </c>
      <c r="R820" t="s">
        <v>3599</v>
      </c>
      <c r="S820" t="s">
        <v>3599</v>
      </c>
      <c r="T820">
        <v>1</v>
      </c>
      <c r="U820" t="s">
        <v>868</v>
      </c>
      <c r="V820">
        <v>5</v>
      </c>
      <c r="W820">
        <v>0</v>
      </c>
      <c r="X820">
        <v>0</v>
      </c>
    </row>
    <row r="821" spans="1:24" x14ac:dyDescent="0.3">
      <c r="A821" t="s">
        <v>2168</v>
      </c>
      <c r="B821" t="s">
        <v>2169</v>
      </c>
      <c r="C821">
        <v>1</v>
      </c>
      <c r="D821" t="s">
        <v>11</v>
      </c>
      <c r="E821" t="s">
        <v>21</v>
      </c>
      <c r="F821" t="s">
        <v>22</v>
      </c>
      <c r="H821" t="s">
        <v>71</v>
      </c>
      <c r="I821" t="s">
        <v>3617</v>
      </c>
      <c r="J821" t="s">
        <v>2168</v>
      </c>
      <c r="K821" t="s">
        <v>868</v>
      </c>
      <c r="L821" t="s">
        <v>3618</v>
      </c>
      <c r="M821" t="s">
        <v>2168</v>
      </c>
      <c r="N821" t="s">
        <v>2169</v>
      </c>
      <c r="Q821" t="s">
        <v>3599</v>
      </c>
      <c r="R821" t="s">
        <v>3599</v>
      </c>
      <c r="S821" t="s">
        <v>3599</v>
      </c>
      <c r="T821">
        <v>1</v>
      </c>
      <c r="U821" t="s">
        <v>868</v>
      </c>
      <c r="V821">
        <v>5</v>
      </c>
      <c r="W821">
        <v>0</v>
      </c>
      <c r="X821">
        <v>0</v>
      </c>
    </row>
    <row r="822" spans="1:24" x14ac:dyDescent="0.3">
      <c r="A822" t="s">
        <v>2170</v>
      </c>
      <c r="B822" t="s">
        <v>2171</v>
      </c>
      <c r="C822">
        <v>1</v>
      </c>
      <c r="D822" t="s">
        <v>11</v>
      </c>
      <c r="E822" t="s">
        <v>21</v>
      </c>
      <c r="F822" t="s">
        <v>22</v>
      </c>
      <c r="H822" t="s">
        <v>71</v>
      </c>
      <c r="I822" t="s">
        <v>3617</v>
      </c>
      <c r="J822" t="s">
        <v>2170</v>
      </c>
      <c r="K822" t="s">
        <v>868</v>
      </c>
      <c r="L822" t="s">
        <v>3618</v>
      </c>
      <c r="M822" t="s">
        <v>2170</v>
      </c>
      <c r="N822" t="s">
        <v>2171</v>
      </c>
      <c r="Q822" t="s">
        <v>3599</v>
      </c>
      <c r="R822" t="s">
        <v>3599</v>
      </c>
      <c r="S822" t="s">
        <v>3599</v>
      </c>
      <c r="T822">
        <v>1</v>
      </c>
      <c r="U822" t="s">
        <v>868</v>
      </c>
      <c r="V822">
        <v>5</v>
      </c>
      <c r="W822">
        <v>0</v>
      </c>
      <c r="X822">
        <v>0</v>
      </c>
    </row>
    <row r="823" spans="1:24" x14ac:dyDescent="0.3">
      <c r="A823" t="s">
        <v>2172</v>
      </c>
      <c r="B823" t="s">
        <v>2173</v>
      </c>
      <c r="C823">
        <v>1</v>
      </c>
      <c r="D823" t="s">
        <v>11</v>
      </c>
      <c r="E823" t="s">
        <v>21</v>
      </c>
      <c r="F823" t="s">
        <v>22</v>
      </c>
      <c r="H823" t="s">
        <v>71</v>
      </c>
      <c r="I823" t="s">
        <v>3617</v>
      </c>
      <c r="J823" t="s">
        <v>2172</v>
      </c>
      <c r="K823" t="s">
        <v>868</v>
      </c>
      <c r="L823" t="s">
        <v>3618</v>
      </c>
      <c r="M823" t="s">
        <v>2172</v>
      </c>
      <c r="N823" t="s">
        <v>2173</v>
      </c>
      <c r="Q823" t="s">
        <v>3599</v>
      </c>
      <c r="R823" t="s">
        <v>3599</v>
      </c>
      <c r="S823" t="s">
        <v>3599</v>
      </c>
      <c r="T823">
        <v>1</v>
      </c>
      <c r="U823" t="s">
        <v>868</v>
      </c>
      <c r="V823">
        <v>5</v>
      </c>
      <c r="W823">
        <v>0</v>
      </c>
      <c r="X823">
        <v>0</v>
      </c>
    </row>
    <row r="824" spans="1:24" x14ac:dyDescent="0.3">
      <c r="A824" t="s">
        <v>2174</v>
      </c>
      <c r="B824" t="s">
        <v>2175</v>
      </c>
      <c r="C824">
        <v>1</v>
      </c>
      <c r="D824" t="s">
        <v>11</v>
      </c>
      <c r="E824" t="s">
        <v>21</v>
      </c>
      <c r="F824" t="s">
        <v>22</v>
      </c>
      <c r="H824" t="s">
        <v>71</v>
      </c>
      <c r="I824" t="s">
        <v>3617</v>
      </c>
      <c r="J824" t="s">
        <v>2174</v>
      </c>
      <c r="K824" t="s">
        <v>868</v>
      </c>
      <c r="L824" t="s">
        <v>3618</v>
      </c>
      <c r="M824" t="s">
        <v>2174</v>
      </c>
      <c r="N824" t="s">
        <v>2175</v>
      </c>
      <c r="Q824" t="s">
        <v>3599</v>
      </c>
      <c r="R824" t="s">
        <v>3599</v>
      </c>
      <c r="S824" t="s">
        <v>3599</v>
      </c>
      <c r="T824">
        <v>1</v>
      </c>
      <c r="U824" t="s">
        <v>868</v>
      </c>
      <c r="V824">
        <v>5</v>
      </c>
      <c r="W824">
        <v>0</v>
      </c>
      <c r="X824">
        <v>0</v>
      </c>
    </row>
    <row r="825" spans="1:24" x14ac:dyDescent="0.3">
      <c r="A825" t="s">
        <v>2176</v>
      </c>
      <c r="B825" t="s">
        <v>2177</v>
      </c>
      <c r="C825">
        <v>1</v>
      </c>
      <c r="D825" t="s">
        <v>11</v>
      </c>
      <c r="E825" t="s">
        <v>21</v>
      </c>
      <c r="F825" t="s">
        <v>22</v>
      </c>
      <c r="H825" t="s">
        <v>71</v>
      </c>
      <c r="I825" t="s">
        <v>3617</v>
      </c>
      <c r="J825" t="s">
        <v>2176</v>
      </c>
      <c r="K825" t="s">
        <v>868</v>
      </c>
      <c r="L825" t="s">
        <v>3618</v>
      </c>
      <c r="M825" t="s">
        <v>2176</v>
      </c>
      <c r="N825" t="s">
        <v>2177</v>
      </c>
      <c r="Q825" t="s">
        <v>3599</v>
      </c>
      <c r="R825" t="s">
        <v>3599</v>
      </c>
      <c r="S825" t="s">
        <v>3599</v>
      </c>
      <c r="T825">
        <v>1</v>
      </c>
      <c r="U825" t="s">
        <v>868</v>
      </c>
      <c r="V825">
        <v>5</v>
      </c>
      <c r="W825">
        <v>0</v>
      </c>
      <c r="X825">
        <v>0</v>
      </c>
    </row>
    <row r="826" spans="1:24" x14ac:dyDescent="0.3">
      <c r="A826" t="s">
        <v>2178</v>
      </c>
      <c r="B826" t="s">
        <v>2179</v>
      </c>
      <c r="C826">
        <v>1</v>
      </c>
      <c r="D826" t="s">
        <v>11</v>
      </c>
      <c r="E826" t="s">
        <v>21</v>
      </c>
      <c r="F826" t="s">
        <v>22</v>
      </c>
      <c r="H826" t="s">
        <v>71</v>
      </c>
      <c r="I826" t="s">
        <v>3617</v>
      </c>
      <c r="J826" t="s">
        <v>2178</v>
      </c>
      <c r="K826" t="s">
        <v>868</v>
      </c>
      <c r="L826" t="s">
        <v>3618</v>
      </c>
      <c r="M826" t="s">
        <v>2178</v>
      </c>
      <c r="N826" t="s">
        <v>2179</v>
      </c>
      <c r="Q826" t="s">
        <v>3599</v>
      </c>
      <c r="R826" t="s">
        <v>3599</v>
      </c>
      <c r="S826" t="s">
        <v>3599</v>
      </c>
      <c r="T826">
        <v>1</v>
      </c>
      <c r="U826" t="s">
        <v>868</v>
      </c>
      <c r="V826">
        <v>5</v>
      </c>
      <c r="W826">
        <v>0</v>
      </c>
      <c r="X826">
        <v>0</v>
      </c>
    </row>
    <row r="827" spans="1:24" x14ac:dyDescent="0.3">
      <c r="A827" t="s">
        <v>2180</v>
      </c>
      <c r="B827" t="s">
        <v>2181</v>
      </c>
      <c r="C827">
        <v>1</v>
      </c>
      <c r="D827" t="s">
        <v>11</v>
      </c>
      <c r="E827" t="s">
        <v>21</v>
      </c>
      <c r="F827" t="s">
        <v>22</v>
      </c>
      <c r="H827" t="s">
        <v>71</v>
      </c>
      <c r="I827" t="s">
        <v>3617</v>
      </c>
      <c r="J827" t="s">
        <v>2180</v>
      </c>
      <c r="K827" t="s">
        <v>868</v>
      </c>
      <c r="L827" t="s">
        <v>3618</v>
      </c>
      <c r="M827" t="s">
        <v>2180</v>
      </c>
      <c r="N827" t="s">
        <v>2181</v>
      </c>
      <c r="Q827" t="s">
        <v>3599</v>
      </c>
      <c r="R827" t="s">
        <v>3599</v>
      </c>
      <c r="S827" t="s">
        <v>3599</v>
      </c>
      <c r="T827">
        <v>1</v>
      </c>
      <c r="U827" t="s">
        <v>868</v>
      </c>
      <c r="V827">
        <v>5</v>
      </c>
      <c r="W827">
        <v>0</v>
      </c>
      <c r="X827">
        <v>0</v>
      </c>
    </row>
    <row r="828" spans="1:24" x14ac:dyDescent="0.3">
      <c r="A828" t="s">
        <v>2182</v>
      </c>
      <c r="B828" t="s">
        <v>2183</v>
      </c>
      <c r="C828">
        <v>1</v>
      </c>
      <c r="D828" t="s">
        <v>11</v>
      </c>
      <c r="E828" t="s">
        <v>21</v>
      </c>
      <c r="F828" t="s">
        <v>22</v>
      </c>
      <c r="H828" t="s">
        <v>71</v>
      </c>
      <c r="I828" t="s">
        <v>3617</v>
      </c>
      <c r="J828" t="s">
        <v>2182</v>
      </c>
      <c r="K828" t="s">
        <v>868</v>
      </c>
      <c r="L828" t="s">
        <v>3618</v>
      </c>
      <c r="M828" t="s">
        <v>2182</v>
      </c>
      <c r="N828" t="s">
        <v>2183</v>
      </c>
      <c r="O828" t="s">
        <v>959</v>
      </c>
      <c r="Q828" t="s">
        <v>3599</v>
      </c>
      <c r="R828" t="s">
        <v>3599</v>
      </c>
      <c r="S828" t="s">
        <v>3599</v>
      </c>
      <c r="T828">
        <v>1</v>
      </c>
      <c r="U828" t="s">
        <v>868</v>
      </c>
      <c r="V828">
        <v>5</v>
      </c>
      <c r="W828">
        <v>0</v>
      </c>
      <c r="X828">
        <v>0</v>
      </c>
    </row>
    <row r="829" spans="1:24" x14ac:dyDescent="0.3">
      <c r="A829" t="s">
        <v>2184</v>
      </c>
      <c r="B829" t="s">
        <v>2185</v>
      </c>
      <c r="C829">
        <v>1</v>
      </c>
      <c r="D829" t="s">
        <v>11</v>
      </c>
      <c r="E829" t="s">
        <v>21</v>
      </c>
      <c r="F829" t="s">
        <v>22</v>
      </c>
      <c r="H829" t="s">
        <v>71</v>
      </c>
      <c r="I829" t="s">
        <v>3617</v>
      </c>
      <c r="J829" t="s">
        <v>2184</v>
      </c>
      <c r="K829" t="s">
        <v>868</v>
      </c>
      <c r="L829" t="s">
        <v>3618</v>
      </c>
      <c r="M829" t="s">
        <v>2184</v>
      </c>
      <c r="N829" t="s">
        <v>2185</v>
      </c>
      <c r="Q829" t="s">
        <v>3599</v>
      </c>
      <c r="R829" t="s">
        <v>3599</v>
      </c>
      <c r="S829" t="s">
        <v>3599</v>
      </c>
      <c r="T829">
        <v>1</v>
      </c>
      <c r="U829" t="s">
        <v>868</v>
      </c>
      <c r="V829">
        <v>5</v>
      </c>
      <c r="W829">
        <v>0</v>
      </c>
      <c r="X829">
        <v>0</v>
      </c>
    </row>
    <row r="830" spans="1:24" x14ac:dyDescent="0.3">
      <c r="A830" t="s">
        <v>2186</v>
      </c>
      <c r="B830" t="s">
        <v>2187</v>
      </c>
      <c r="C830">
        <v>1</v>
      </c>
      <c r="D830" t="s">
        <v>11</v>
      </c>
      <c r="E830" t="s">
        <v>21</v>
      </c>
      <c r="F830" t="s">
        <v>22</v>
      </c>
      <c r="H830" t="s">
        <v>71</v>
      </c>
      <c r="I830" t="s">
        <v>3617</v>
      </c>
      <c r="J830" t="s">
        <v>2186</v>
      </c>
      <c r="K830" t="s">
        <v>868</v>
      </c>
      <c r="L830" t="s">
        <v>3618</v>
      </c>
      <c r="M830" t="s">
        <v>2186</v>
      </c>
      <c r="N830" t="s">
        <v>2187</v>
      </c>
      <c r="O830" t="s">
        <v>2188</v>
      </c>
      <c r="Q830" t="s">
        <v>3599</v>
      </c>
      <c r="R830" t="s">
        <v>3599</v>
      </c>
      <c r="S830" t="s">
        <v>3599</v>
      </c>
      <c r="T830">
        <v>1</v>
      </c>
      <c r="U830" t="s">
        <v>868</v>
      </c>
      <c r="V830">
        <v>5</v>
      </c>
      <c r="W830">
        <v>0</v>
      </c>
      <c r="X830">
        <v>0</v>
      </c>
    </row>
    <row r="831" spans="1:24" x14ac:dyDescent="0.3">
      <c r="A831" t="s">
        <v>2189</v>
      </c>
      <c r="B831" t="s">
        <v>2190</v>
      </c>
      <c r="C831">
        <v>1</v>
      </c>
      <c r="D831" t="s">
        <v>11</v>
      </c>
      <c r="E831" t="s">
        <v>21</v>
      </c>
      <c r="F831" t="s">
        <v>22</v>
      </c>
      <c r="H831" t="s">
        <v>71</v>
      </c>
      <c r="I831" t="s">
        <v>3617</v>
      </c>
      <c r="J831" t="s">
        <v>2189</v>
      </c>
      <c r="K831" t="s">
        <v>868</v>
      </c>
      <c r="L831" t="s">
        <v>3618</v>
      </c>
      <c r="M831" t="s">
        <v>2189</v>
      </c>
      <c r="N831" t="s">
        <v>2190</v>
      </c>
      <c r="Q831" t="s">
        <v>3599</v>
      </c>
      <c r="R831" t="s">
        <v>3599</v>
      </c>
      <c r="S831" t="s">
        <v>3599</v>
      </c>
      <c r="T831">
        <v>1</v>
      </c>
      <c r="U831" t="s">
        <v>868</v>
      </c>
      <c r="V831">
        <v>5</v>
      </c>
      <c r="W831">
        <v>0</v>
      </c>
      <c r="X831">
        <v>0</v>
      </c>
    </row>
    <row r="832" spans="1:24" x14ac:dyDescent="0.3">
      <c r="A832" t="s">
        <v>2191</v>
      </c>
      <c r="B832" t="s">
        <v>2192</v>
      </c>
      <c r="C832">
        <v>1</v>
      </c>
      <c r="D832" t="s">
        <v>11</v>
      </c>
      <c r="E832" t="s">
        <v>21</v>
      </c>
      <c r="F832" t="s">
        <v>22</v>
      </c>
      <c r="H832" t="s">
        <v>71</v>
      </c>
      <c r="I832" t="s">
        <v>3617</v>
      </c>
      <c r="J832" t="s">
        <v>2191</v>
      </c>
      <c r="K832" t="s">
        <v>868</v>
      </c>
      <c r="L832" t="s">
        <v>3618</v>
      </c>
      <c r="M832" t="s">
        <v>2191</v>
      </c>
      <c r="N832" t="s">
        <v>2192</v>
      </c>
      <c r="O832" t="s">
        <v>2193</v>
      </c>
      <c r="Q832" t="s">
        <v>3599</v>
      </c>
      <c r="R832" t="s">
        <v>3599</v>
      </c>
      <c r="S832" t="s">
        <v>3599</v>
      </c>
      <c r="T832">
        <v>1</v>
      </c>
      <c r="U832" t="s">
        <v>868</v>
      </c>
      <c r="V832">
        <v>5</v>
      </c>
      <c r="W832">
        <v>0</v>
      </c>
      <c r="X832">
        <v>0</v>
      </c>
    </row>
    <row r="833" spans="1:24" x14ac:dyDescent="0.3">
      <c r="A833" t="s">
        <v>2194</v>
      </c>
      <c r="B833" t="s">
        <v>2195</v>
      </c>
      <c r="C833">
        <v>1</v>
      </c>
      <c r="D833" t="s">
        <v>11</v>
      </c>
      <c r="E833" t="s">
        <v>21</v>
      </c>
      <c r="F833" t="s">
        <v>22</v>
      </c>
      <c r="H833" t="s">
        <v>71</v>
      </c>
      <c r="I833" t="s">
        <v>3617</v>
      </c>
      <c r="J833" t="s">
        <v>2194</v>
      </c>
      <c r="K833" t="s">
        <v>868</v>
      </c>
      <c r="L833" t="s">
        <v>3618</v>
      </c>
      <c r="M833" t="s">
        <v>2194</v>
      </c>
      <c r="N833" t="s">
        <v>2195</v>
      </c>
      <c r="Q833" t="s">
        <v>3599</v>
      </c>
      <c r="R833" t="s">
        <v>3599</v>
      </c>
      <c r="S833" t="s">
        <v>3599</v>
      </c>
      <c r="T833">
        <v>1</v>
      </c>
      <c r="U833" t="s">
        <v>868</v>
      </c>
      <c r="V833">
        <v>5</v>
      </c>
      <c r="W833">
        <v>0</v>
      </c>
      <c r="X833">
        <v>0</v>
      </c>
    </row>
    <row r="834" spans="1:24" x14ac:dyDescent="0.3">
      <c r="A834" t="s">
        <v>2196</v>
      </c>
      <c r="B834" t="s">
        <v>2197</v>
      </c>
      <c r="C834">
        <v>1</v>
      </c>
      <c r="D834" t="s">
        <v>11</v>
      </c>
      <c r="E834" t="s">
        <v>21</v>
      </c>
      <c r="F834" t="s">
        <v>22</v>
      </c>
      <c r="H834" t="s">
        <v>71</v>
      </c>
      <c r="I834" t="s">
        <v>3617</v>
      </c>
      <c r="J834" t="s">
        <v>2196</v>
      </c>
      <c r="K834" t="s">
        <v>868</v>
      </c>
      <c r="L834" t="s">
        <v>3618</v>
      </c>
      <c r="M834" t="s">
        <v>2196</v>
      </c>
      <c r="N834" t="s">
        <v>2197</v>
      </c>
      <c r="Q834" t="s">
        <v>3599</v>
      </c>
      <c r="R834" t="s">
        <v>3599</v>
      </c>
      <c r="S834" t="s">
        <v>3599</v>
      </c>
      <c r="T834">
        <v>1</v>
      </c>
      <c r="U834" t="s">
        <v>868</v>
      </c>
      <c r="V834">
        <v>5</v>
      </c>
      <c r="W834">
        <v>0</v>
      </c>
      <c r="X834">
        <v>0</v>
      </c>
    </row>
    <row r="835" spans="1:24" x14ac:dyDescent="0.3">
      <c r="A835" t="s">
        <v>2198</v>
      </c>
      <c r="B835" t="s">
        <v>2199</v>
      </c>
      <c r="C835">
        <v>1</v>
      </c>
      <c r="D835" t="s">
        <v>11</v>
      </c>
      <c r="E835" t="s">
        <v>21</v>
      </c>
      <c r="F835" t="s">
        <v>22</v>
      </c>
      <c r="H835" t="s">
        <v>71</v>
      </c>
      <c r="I835" t="s">
        <v>3617</v>
      </c>
      <c r="J835" t="s">
        <v>2198</v>
      </c>
      <c r="K835" t="s">
        <v>868</v>
      </c>
      <c r="L835" t="s">
        <v>3618</v>
      </c>
      <c r="M835" t="s">
        <v>2198</v>
      </c>
      <c r="N835" t="s">
        <v>2199</v>
      </c>
      <c r="Q835" t="s">
        <v>3599</v>
      </c>
      <c r="R835" t="s">
        <v>3599</v>
      </c>
      <c r="S835" t="s">
        <v>3599</v>
      </c>
      <c r="T835">
        <v>1</v>
      </c>
      <c r="U835" t="s">
        <v>868</v>
      </c>
      <c r="V835">
        <v>5</v>
      </c>
      <c r="W835">
        <v>0</v>
      </c>
      <c r="X835">
        <v>0</v>
      </c>
    </row>
    <row r="836" spans="1:24" x14ac:dyDescent="0.3">
      <c r="A836" t="s">
        <v>2200</v>
      </c>
      <c r="B836" t="s">
        <v>2201</v>
      </c>
      <c r="C836">
        <v>1</v>
      </c>
      <c r="D836" t="s">
        <v>11</v>
      </c>
      <c r="E836" t="s">
        <v>21</v>
      </c>
      <c r="F836" t="s">
        <v>22</v>
      </c>
      <c r="H836" t="s">
        <v>71</v>
      </c>
      <c r="I836" t="s">
        <v>3617</v>
      </c>
      <c r="J836" t="s">
        <v>2200</v>
      </c>
      <c r="K836" t="s">
        <v>868</v>
      </c>
      <c r="L836" t="s">
        <v>3618</v>
      </c>
      <c r="M836" t="s">
        <v>2200</v>
      </c>
      <c r="N836" t="s">
        <v>2201</v>
      </c>
      <c r="Q836" t="s">
        <v>3599</v>
      </c>
      <c r="R836" t="s">
        <v>3599</v>
      </c>
      <c r="S836" t="s">
        <v>3599</v>
      </c>
      <c r="T836">
        <v>1</v>
      </c>
      <c r="U836" t="s">
        <v>868</v>
      </c>
      <c r="V836">
        <v>5</v>
      </c>
      <c r="W836">
        <v>0</v>
      </c>
      <c r="X836">
        <v>0</v>
      </c>
    </row>
    <row r="837" spans="1:24" x14ac:dyDescent="0.3">
      <c r="A837" t="s">
        <v>2202</v>
      </c>
      <c r="B837" t="s">
        <v>2203</v>
      </c>
      <c r="C837">
        <v>1</v>
      </c>
      <c r="D837" t="s">
        <v>11</v>
      </c>
      <c r="E837" t="s">
        <v>21</v>
      </c>
      <c r="F837" t="s">
        <v>22</v>
      </c>
      <c r="H837" t="s">
        <v>71</v>
      </c>
      <c r="I837" t="s">
        <v>3617</v>
      </c>
      <c r="K837" t="s">
        <v>868</v>
      </c>
      <c r="L837" t="s">
        <v>3618</v>
      </c>
      <c r="N837" t="s">
        <v>2203</v>
      </c>
      <c r="Q837" t="s">
        <v>3599</v>
      </c>
      <c r="R837" t="s">
        <v>3599</v>
      </c>
      <c r="S837" t="s">
        <v>3599</v>
      </c>
      <c r="T837">
        <v>1</v>
      </c>
      <c r="U837" t="s">
        <v>868</v>
      </c>
      <c r="V837">
        <v>5</v>
      </c>
      <c r="W837">
        <v>0</v>
      </c>
      <c r="X837">
        <v>0</v>
      </c>
    </row>
    <row r="838" spans="1:24" x14ac:dyDescent="0.3">
      <c r="A838" t="s">
        <v>2204</v>
      </c>
      <c r="B838" t="s">
        <v>2205</v>
      </c>
      <c r="C838">
        <v>1</v>
      </c>
      <c r="D838" t="s">
        <v>11</v>
      </c>
      <c r="E838" t="s">
        <v>21</v>
      </c>
      <c r="F838" t="s">
        <v>22</v>
      </c>
      <c r="H838" t="s">
        <v>71</v>
      </c>
      <c r="I838" t="s">
        <v>3617</v>
      </c>
      <c r="J838" t="s">
        <v>2204</v>
      </c>
      <c r="K838" t="s">
        <v>868</v>
      </c>
      <c r="L838" t="s">
        <v>3618</v>
      </c>
      <c r="M838" t="s">
        <v>2204</v>
      </c>
      <c r="N838" t="s">
        <v>2205</v>
      </c>
      <c r="Q838" t="s">
        <v>3599</v>
      </c>
      <c r="R838" t="s">
        <v>3599</v>
      </c>
      <c r="S838" t="s">
        <v>3599</v>
      </c>
      <c r="T838">
        <v>1</v>
      </c>
      <c r="U838" t="s">
        <v>868</v>
      </c>
      <c r="V838">
        <v>5</v>
      </c>
      <c r="W838">
        <v>0</v>
      </c>
      <c r="X838">
        <v>0</v>
      </c>
    </row>
    <row r="839" spans="1:24" x14ac:dyDescent="0.3">
      <c r="A839" t="s">
        <v>2206</v>
      </c>
      <c r="B839" t="s">
        <v>2207</v>
      </c>
      <c r="C839">
        <v>1</v>
      </c>
      <c r="D839" t="s">
        <v>11</v>
      </c>
      <c r="E839" t="s">
        <v>21</v>
      </c>
      <c r="F839" t="s">
        <v>22</v>
      </c>
      <c r="H839" t="s">
        <v>71</v>
      </c>
      <c r="I839" t="s">
        <v>3617</v>
      </c>
      <c r="J839" t="s">
        <v>2206</v>
      </c>
      <c r="K839" t="s">
        <v>868</v>
      </c>
      <c r="L839" t="s">
        <v>3618</v>
      </c>
      <c r="M839" t="s">
        <v>2206</v>
      </c>
      <c r="N839" t="s">
        <v>2207</v>
      </c>
      <c r="Q839" t="s">
        <v>3599</v>
      </c>
      <c r="R839" t="s">
        <v>3599</v>
      </c>
      <c r="S839" t="s">
        <v>3599</v>
      </c>
      <c r="T839">
        <v>1</v>
      </c>
      <c r="U839" t="s">
        <v>868</v>
      </c>
      <c r="V839">
        <v>5</v>
      </c>
      <c r="W839">
        <v>0</v>
      </c>
      <c r="X839">
        <v>0</v>
      </c>
    </row>
    <row r="840" spans="1:24" x14ac:dyDescent="0.3">
      <c r="A840" t="s">
        <v>2208</v>
      </c>
      <c r="B840" t="s">
        <v>2209</v>
      </c>
      <c r="C840">
        <v>1</v>
      </c>
      <c r="D840" t="s">
        <v>11</v>
      </c>
      <c r="E840" t="s">
        <v>21</v>
      </c>
      <c r="F840" t="s">
        <v>22</v>
      </c>
      <c r="H840" t="s">
        <v>71</v>
      </c>
      <c r="I840" t="s">
        <v>3617</v>
      </c>
      <c r="J840" t="s">
        <v>2208</v>
      </c>
      <c r="K840" t="s">
        <v>868</v>
      </c>
      <c r="L840" t="s">
        <v>3618</v>
      </c>
      <c r="M840" t="s">
        <v>2208</v>
      </c>
      <c r="N840" t="s">
        <v>2209</v>
      </c>
      <c r="Q840" t="s">
        <v>3599</v>
      </c>
      <c r="R840" t="s">
        <v>3599</v>
      </c>
      <c r="S840" t="s">
        <v>3599</v>
      </c>
      <c r="T840">
        <v>1</v>
      </c>
      <c r="U840" t="s">
        <v>868</v>
      </c>
      <c r="V840">
        <v>5</v>
      </c>
      <c r="W840">
        <v>0</v>
      </c>
      <c r="X840">
        <v>0</v>
      </c>
    </row>
    <row r="841" spans="1:24" x14ac:dyDescent="0.3">
      <c r="A841" t="s">
        <v>2210</v>
      </c>
      <c r="B841" t="s">
        <v>2211</v>
      </c>
      <c r="C841">
        <v>1</v>
      </c>
      <c r="D841" t="s">
        <v>11</v>
      </c>
      <c r="E841" t="s">
        <v>21</v>
      </c>
      <c r="F841" t="s">
        <v>22</v>
      </c>
      <c r="H841" t="s">
        <v>71</v>
      </c>
      <c r="I841" t="s">
        <v>3617</v>
      </c>
      <c r="J841" t="s">
        <v>2210</v>
      </c>
      <c r="K841" t="s">
        <v>868</v>
      </c>
      <c r="L841" t="s">
        <v>3618</v>
      </c>
      <c r="M841" t="s">
        <v>2210</v>
      </c>
      <c r="N841" t="s">
        <v>2211</v>
      </c>
      <c r="Q841" t="s">
        <v>3599</v>
      </c>
      <c r="R841" t="s">
        <v>3599</v>
      </c>
      <c r="S841" t="s">
        <v>3599</v>
      </c>
      <c r="T841">
        <v>1</v>
      </c>
      <c r="U841" t="s">
        <v>868</v>
      </c>
      <c r="V841">
        <v>5</v>
      </c>
      <c r="W841">
        <v>0</v>
      </c>
      <c r="X841">
        <v>0</v>
      </c>
    </row>
    <row r="842" spans="1:24" x14ac:dyDescent="0.3">
      <c r="A842" t="s">
        <v>2212</v>
      </c>
      <c r="B842" t="s">
        <v>2213</v>
      </c>
      <c r="C842">
        <v>1</v>
      </c>
      <c r="D842" t="s">
        <v>11</v>
      </c>
      <c r="E842" t="s">
        <v>21</v>
      </c>
      <c r="F842" t="s">
        <v>22</v>
      </c>
      <c r="H842" t="s">
        <v>71</v>
      </c>
      <c r="I842" t="s">
        <v>3617</v>
      </c>
      <c r="J842" t="s">
        <v>2212</v>
      </c>
      <c r="K842" t="s">
        <v>868</v>
      </c>
      <c r="L842" t="s">
        <v>3618</v>
      </c>
      <c r="M842" t="s">
        <v>2212</v>
      </c>
      <c r="N842" t="s">
        <v>2213</v>
      </c>
      <c r="Q842" t="s">
        <v>3599</v>
      </c>
      <c r="R842" t="s">
        <v>3599</v>
      </c>
      <c r="S842" t="s">
        <v>3599</v>
      </c>
      <c r="T842">
        <v>1</v>
      </c>
      <c r="U842" t="s">
        <v>868</v>
      </c>
      <c r="V842">
        <v>5</v>
      </c>
      <c r="W842">
        <v>0</v>
      </c>
      <c r="X842">
        <v>0</v>
      </c>
    </row>
    <row r="843" spans="1:24" x14ac:dyDescent="0.3">
      <c r="A843" t="s">
        <v>2214</v>
      </c>
      <c r="B843" t="s">
        <v>2215</v>
      </c>
      <c r="C843">
        <v>1</v>
      </c>
      <c r="D843" t="s">
        <v>11</v>
      </c>
      <c r="E843" t="s">
        <v>21</v>
      </c>
      <c r="F843" t="s">
        <v>22</v>
      </c>
      <c r="H843" t="s">
        <v>71</v>
      </c>
      <c r="I843" t="s">
        <v>3617</v>
      </c>
      <c r="J843" t="s">
        <v>2214</v>
      </c>
      <c r="K843" t="s">
        <v>868</v>
      </c>
      <c r="L843" t="s">
        <v>3618</v>
      </c>
      <c r="M843" t="s">
        <v>2214</v>
      </c>
      <c r="N843" t="s">
        <v>2215</v>
      </c>
      <c r="Q843" t="s">
        <v>3599</v>
      </c>
      <c r="R843" t="s">
        <v>3599</v>
      </c>
      <c r="S843" t="s">
        <v>3599</v>
      </c>
      <c r="T843">
        <v>1</v>
      </c>
      <c r="U843" t="s">
        <v>868</v>
      </c>
      <c r="V843">
        <v>5</v>
      </c>
      <c r="W843">
        <v>0</v>
      </c>
      <c r="X843">
        <v>0</v>
      </c>
    </row>
    <row r="844" spans="1:24" x14ac:dyDescent="0.3">
      <c r="A844" t="s">
        <v>2216</v>
      </c>
      <c r="B844" t="s">
        <v>2217</v>
      </c>
      <c r="C844">
        <v>1</v>
      </c>
      <c r="D844" t="s">
        <v>11</v>
      </c>
      <c r="E844" t="s">
        <v>21</v>
      </c>
      <c r="F844" t="s">
        <v>22</v>
      </c>
      <c r="H844" t="s">
        <v>71</v>
      </c>
      <c r="I844" t="s">
        <v>3617</v>
      </c>
      <c r="J844" t="s">
        <v>2216</v>
      </c>
      <c r="K844" t="s">
        <v>868</v>
      </c>
      <c r="L844" t="s">
        <v>3618</v>
      </c>
      <c r="M844" t="s">
        <v>2216</v>
      </c>
      <c r="N844" t="s">
        <v>2217</v>
      </c>
      <c r="Q844" t="s">
        <v>3599</v>
      </c>
      <c r="R844" t="s">
        <v>3599</v>
      </c>
      <c r="S844" t="s">
        <v>3599</v>
      </c>
      <c r="T844">
        <v>1</v>
      </c>
      <c r="U844" t="s">
        <v>868</v>
      </c>
      <c r="V844">
        <v>5</v>
      </c>
      <c r="W844">
        <v>0</v>
      </c>
      <c r="X844">
        <v>0</v>
      </c>
    </row>
    <row r="845" spans="1:24" x14ac:dyDescent="0.3">
      <c r="A845" t="s">
        <v>2218</v>
      </c>
      <c r="B845" t="s">
        <v>2219</v>
      </c>
      <c r="C845">
        <v>1</v>
      </c>
      <c r="D845" t="s">
        <v>11</v>
      </c>
      <c r="E845" t="s">
        <v>21</v>
      </c>
      <c r="F845" t="s">
        <v>22</v>
      </c>
      <c r="H845" t="s">
        <v>71</v>
      </c>
      <c r="I845" t="s">
        <v>3617</v>
      </c>
      <c r="J845" t="s">
        <v>2218</v>
      </c>
      <c r="K845" t="s">
        <v>868</v>
      </c>
      <c r="L845" t="s">
        <v>3618</v>
      </c>
      <c r="M845" t="s">
        <v>2218</v>
      </c>
      <c r="N845" t="s">
        <v>2219</v>
      </c>
      <c r="Q845" t="s">
        <v>3599</v>
      </c>
      <c r="R845" t="s">
        <v>3599</v>
      </c>
      <c r="S845" t="s">
        <v>3599</v>
      </c>
      <c r="T845">
        <v>1</v>
      </c>
      <c r="U845" t="s">
        <v>868</v>
      </c>
      <c r="V845">
        <v>5</v>
      </c>
      <c r="W845">
        <v>0</v>
      </c>
      <c r="X845">
        <v>0</v>
      </c>
    </row>
    <row r="846" spans="1:24" x14ac:dyDescent="0.3">
      <c r="A846" t="s">
        <v>2220</v>
      </c>
      <c r="B846" t="s">
        <v>2221</v>
      </c>
      <c r="C846">
        <v>1</v>
      </c>
      <c r="D846" t="s">
        <v>11</v>
      </c>
      <c r="E846" t="s">
        <v>21</v>
      </c>
      <c r="F846" t="s">
        <v>22</v>
      </c>
      <c r="H846" t="s">
        <v>71</v>
      </c>
      <c r="I846" t="s">
        <v>3617</v>
      </c>
      <c r="J846" t="s">
        <v>2220</v>
      </c>
      <c r="K846" t="s">
        <v>868</v>
      </c>
      <c r="L846" t="s">
        <v>3618</v>
      </c>
      <c r="M846" t="s">
        <v>2220</v>
      </c>
      <c r="N846" t="s">
        <v>2221</v>
      </c>
      <c r="Q846" t="s">
        <v>3599</v>
      </c>
      <c r="R846" t="s">
        <v>3599</v>
      </c>
      <c r="S846" t="s">
        <v>3599</v>
      </c>
      <c r="T846">
        <v>1</v>
      </c>
      <c r="U846" t="s">
        <v>868</v>
      </c>
      <c r="V846">
        <v>5</v>
      </c>
      <c r="W846">
        <v>0</v>
      </c>
      <c r="X846">
        <v>0</v>
      </c>
    </row>
    <row r="847" spans="1:24" x14ac:dyDescent="0.3">
      <c r="A847" t="s">
        <v>2222</v>
      </c>
      <c r="B847" t="s">
        <v>2223</v>
      </c>
      <c r="C847">
        <v>1</v>
      </c>
      <c r="D847" t="s">
        <v>11</v>
      </c>
      <c r="E847" t="s">
        <v>21</v>
      </c>
      <c r="F847" t="s">
        <v>22</v>
      </c>
      <c r="H847" t="s">
        <v>71</v>
      </c>
      <c r="I847" t="s">
        <v>3617</v>
      </c>
      <c r="J847" t="s">
        <v>2222</v>
      </c>
      <c r="K847" t="s">
        <v>868</v>
      </c>
      <c r="L847" t="s">
        <v>3618</v>
      </c>
      <c r="M847" t="s">
        <v>2222</v>
      </c>
      <c r="N847" t="s">
        <v>2223</v>
      </c>
      <c r="O847" t="s">
        <v>2224</v>
      </c>
      <c r="Q847" t="s">
        <v>3599</v>
      </c>
      <c r="R847" t="s">
        <v>3599</v>
      </c>
      <c r="S847" t="s">
        <v>3599</v>
      </c>
      <c r="T847">
        <v>1</v>
      </c>
      <c r="U847" t="s">
        <v>868</v>
      </c>
      <c r="V847">
        <v>5</v>
      </c>
      <c r="W847">
        <v>0</v>
      </c>
      <c r="X847">
        <v>0</v>
      </c>
    </row>
    <row r="848" spans="1:24" x14ac:dyDescent="0.3">
      <c r="A848" t="s">
        <v>2225</v>
      </c>
      <c r="B848" t="s">
        <v>2226</v>
      </c>
      <c r="C848">
        <v>1</v>
      </c>
      <c r="D848" t="s">
        <v>11</v>
      </c>
      <c r="E848" t="s">
        <v>21</v>
      </c>
      <c r="F848" t="s">
        <v>22</v>
      </c>
      <c r="H848" t="s">
        <v>71</v>
      </c>
      <c r="I848" t="s">
        <v>3617</v>
      </c>
      <c r="J848" t="s">
        <v>2225</v>
      </c>
      <c r="K848" t="s">
        <v>868</v>
      </c>
      <c r="L848" t="s">
        <v>3618</v>
      </c>
      <c r="M848" t="s">
        <v>2225</v>
      </c>
      <c r="N848" t="s">
        <v>2226</v>
      </c>
      <c r="O848" t="s">
        <v>2227</v>
      </c>
      <c r="Q848" t="s">
        <v>3599</v>
      </c>
      <c r="R848" t="s">
        <v>3599</v>
      </c>
      <c r="S848" t="s">
        <v>3599</v>
      </c>
      <c r="T848">
        <v>1</v>
      </c>
      <c r="U848" t="s">
        <v>868</v>
      </c>
      <c r="V848">
        <v>5</v>
      </c>
      <c r="W848">
        <v>0</v>
      </c>
      <c r="X848">
        <v>0</v>
      </c>
    </row>
    <row r="849" spans="1:24" x14ac:dyDescent="0.3">
      <c r="A849" t="s">
        <v>2228</v>
      </c>
      <c r="B849" t="s">
        <v>2229</v>
      </c>
      <c r="C849">
        <v>1</v>
      </c>
      <c r="D849" t="s">
        <v>11</v>
      </c>
      <c r="E849" t="s">
        <v>21</v>
      </c>
      <c r="F849" t="s">
        <v>22</v>
      </c>
      <c r="H849" t="s">
        <v>71</v>
      </c>
      <c r="I849" t="s">
        <v>3617</v>
      </c>
      <c r="J849" t="s">
        <v>2228</v>
      </c>
      <c r="K849" t="s">
        <v>868</v>
      </c>
      <c r="L849" t="s">
        <v>3618</v>
      </c>
      <c r="M849" t="s">
        <v>2228</v>
      </c>
      <c r="N849" t="s">
        <v>2229</v>
      </c>
      <c r="Q849" t="s">
        <v>3599</v>
      </c>
      <c r="R849" t="s">
        <v>3599</v>
      </c>
      <c r="S849" t="s">
        <v>3599</v>
      </c>
      <c r="T849">
        <v>1</v>
      </c>
      <c r="U849" t="s">
        <v>868</v>
      </c>
      <c r="V849">
        <v>5</v>
      </c>
      <c r="W849">
        <v>0</v>
      </c>
      <c r="X849">
        <v>0</v>
      </c>
    </row>
    <row r="850" spans="1:24" x14ac:dyDescent="0.3">
      <c r="A850" t="s">
        <v>2230</v>
      </c>
      <c r="B850" t="s">
        <v>2231</v>
      </c>
      <c r="C850">
        <v>1</v>
      </c>
      <c r="D850" t="s">
        <v>11</v>
      </c>
      <c r="E850" t="s">
        <v>21</v>
      </c>
      <c r="F850" t="s">
        <v>22</v>
      </c>
      <c r="H850" t="s">
        <v>71</v>
      </c>
      <c r="I850" t="s">
        <v>3617</v>
      </c>
      <c r="J850" t="s">
        <v>2230</v>
      </c>
      <c r="K850" t="s">
        <v>868</v>
      </c>
      <c r="L850" t="s">
        <v>3618</v>
      </c>
      <c r="M850" t="s">
        <v>2230</v>
      </c>
      <c r="N850" t="s">
        <v>2231</v>
      </c>
      <c r="Q850" t="s">
        <v>3599</v>
      </c>
      <c r="R850" t="s">
        <v>3599</v>
      </c>
      <c r="S850" t="s">
        <v>3599</v>
      </c>
      <c r="T850">
        <v>1</v>
      </c>
      <c r="U850" t="s">
        <v>868</v>
      </c>
      <c r="V850">
        <v>5</v>
      </c>
      <c r="W850">
        <v>0</v>
      </c>
      <c r="X850">
        <v>0</v>
      </c>
    </row>
    <row r="851" spans="1:24" x14ac:dyDescent="0.3">
      <c r="A851" t="s">
        <v>2232</v>
      </c>
      <c r="B851" t="s">
        <v>2233</v>
      </c>
      <c r="C851">
        <v>1</v>
      </c>
      <c r="D851" t="s">
        <v>11</v>
      </c>
      <c r="E851" t="s">
        <v>21</v>
      </c>
      <c r="F851" t="s">
        <v>22</v>
      </c>
      <c r="H851" t="s">
        <v>71</v>
      </c>
      <c r="I851" t="s">
        <v>3617</v>
      </c>
      <c r="J851" t="s">
        <v>2232</v>
      </c>
      <c r="K851" t="s">
        <v>868</v>
      </c>
      <c r="L851" t="s">
        <v>3618</v>
      </c>
      <c r="M851" t="s">
        <v>2232</v>
      </c>
      <c r="N851" t="s">
        <v>2233</v>
      </c>
      <c r="Q851" t="s">
        <v>3599</v>
      </c>
      <c r="R851" t="s">
        <v>3599</v>
      </c>
      <c r="S851" t="s">
        <v>3599</v>
      </c>
      <c r="T851">
        <v>1</v>
      </c>
      <c r="U851" t="s">
        <v>868</v>
      </c>
      <c r="V851">
        <v>5</v>
      </c>
      <c r="W851">
        <v>0</v>
      </c>
      <c r="X851">
        <v>0</v>
      </c>
    </row>
    <row r="852" spans="1:24" x14ac:dyDescent="0.3">
      <c r="A852" t="s">
        <v>2234</v>
      </c>
      <c r="B852" t="s">
        <v>2235</v>
      </c>
      <c r="C852">
        <v>1</v>
      </c>
      <c r="D852" t="s">
        <v>11</v>
      </c>
      <c r="E852" t="s">
        <v>21</v>
      </c>
      <c r="F852" t="s">
        <v>22</v>
      </c>
      <c r="H852" t="s">
        <v>71</v>
      </c>
      <c r="I852" t="s">
        <v>3617</v>
      </c>
      <c r="J852" t="s">
        <v>2234</v>
      </c>
      <c r="K852" t="s">
        <v>868</v>
      </c>
      <c r="L852" t="s">
        <v>3618</v>
      </c>
      <c r="M852" t="s">
        <v>2234</v>
      </c>
      <c r="N852" t="s">
        <v>2235</v>
      </c>
      <c r="Q852" t="s">
        <v>3599</v>
      </c>
      <c r="R852" t="s">
        <v>3599</v>
      </c>
      <c r="S852" t="s">
        <v>3599</v>
      </c>
      <c r="T852">
        <v>1</v>
      </c>
      <c r="U852" t="s">
        <v>868</v>
      </c>
      <c r="V852">
        <v>5</v>
      </c>
      <c r="W852">
        <v>0</v>
      </c>
      <c r="X852">
        <v>0</v>
      </c>
    </row>
    <row r="853" spans="1:24" x14ac:dyDescent="0.3">
      <c r="A853" t="s">
        <v>2236</v>
      </c>
      <c r="B853" t="s">
        <v>2237</v>
      </c>
      <c r="C853">
        <v>1</v>
      </c>
      <c r="D853" t="s">
        <v>11</v>
      </c>
      <c r="E853" t="s">
        <v>21</v>
      </c>
      <c r="F853" t="s">
        <v>22</v>
      </c>
      <c r="H853" t="s">
        <v>71</v>
      </c>
      <c r="I853" t="s">
        <v>3617</v>
      </c>
      <c r="J853" t="s">
        <v>2236</v>
      </c>
      <c r="K853" t="s">
        <v>868</v>
      </c>
      <c r="L853" t="s">
        <v>3618</v>
      </c>
      <c r="M853" t="s">
        <v>2236</v>
      </c>
      <c r="N853" t="s">
        <v>2237</v>
      </c>
      <c r="Q853" t="s">
        <v>3599</v>
      </c>
      <c r="R853" t="s">
        <v>3599</v>
      </c>
      <c r="S853" t="s">
        <v>3599</v>
      </c>
      <c r="T853">
        <v>1</v>
      </c>
      <c r="U853" t="s">
        <v>868</v>
      </c>
      <c r="V853">
        <v>5</v>
      </c>
      <c r="W853">
        <v>0</v>
      </c>
      <c r="X853">
        <v>0</v>
      </c>
    </row>
    <row r="854" spans="1:24" x14ac:dyDescent="0.3">
      <c r="A854" t="s">
        <v>2238</v>
      </c>
      <c r="B854" t="s">
        <v>2239</v>
      </c>
      <c r="C854">
        <v>1</v>
      </c>
      <c r="D854" t="s">
        <v>11</v>
      </c>
      <c r="E854" t="s">
        <v>21</v>
      </c>
      <c r="F854" t="s">
        <v>22</v>
      </c>
      <c r="H854" t="s">
        <v>71</v>
      </c>
      <c r="I854" t="s">
        <v>3617</v>
      </c>
      <c r="J854" t="s">
        <v>2238</v>
      </c>
      <c r="K854" t="s">
        <v>868</v>
      </c>
      <c r="L854" t="s">
        <v>3618</v>
      </c>
      <c r="M854" t="s">
        <v>2238</v>
      </c>
      <c r="N854" t="s">
        <v>2239</v>
      </c>
      <c r="Q854" t="s">
        <v>3599</v>
      </c>
      <c r="R854" t="s">
        <v>3599</v>
      </c>
      <c r="S854" t="s">
        <v>3599</v>
      </c>
      <c r="T854">
        <v>1</v>
      </c>
      <c r="U854" t="s">
        <v>868</v>
      </c>
      <c r="V854">
        <v>5</v>
      </c>
      <c r="W854">
        <v>0</v>
      </c>
      <c r="X854">
        <v>0</v>
      </c>
    </row>
    <row r="855" spans="1:24" x14ac:dyDescent="0.3">
      <c r="A855" t="s">
        <v>2240</v>
      </c>
      <c r="B855" t="s">
        <v>2241</v>
      </c>
      <c r="C855">
        <v>1</v>
      </c>
      <c r="D855" t="s">
        <v>11</v>
      </c>
      <c r="E855" t="s">
        <v>21</v>
      </c>
      <c r="F855" t="s">
        <v>22</v>
      </c>
      <c r="H855" t="s">
        <v>71</v>
      </c>
      <c r="I855" t="s">
        <v>3617</v>
      </c>
      <c r="J855" t="s">
        <v>2240</v>
      </c>
      <c r="K855" t="s">
        <v>868</v>
      </c>
      <c r="L855" t="s">
        <v>3618</v>
      </c>
      <c r="M855" t="s">
        <v>2240</v>
      </c>
      <c r="N855" t="s">
        <v>2241</v>
      </c>
      <c r="Q855" t="s">
        <v>3599</v>
      </c>
      <c r="R855" t="s">
        <v>3599</v>
      </c>
      <c r="S855" t="s">
        <v>3599</v>
      </c>
      <c r="T855">
        <v>1</v>
      </c>
      <c r="U855" t="s">
        <v>868</v>
      </c>
      <c r="V855">
        <v>5</v>
      </c>
      <c r="W855">
        <v>0</v>
      </c>
      <c r="X855">
        <v>0</v>
      </c>
    </row>
    <row r="856" spans="1:24" x14ac:dyDescent="0.3">
      <c r="A856" t="s">
        <v>2242</v>
      </c>
      <c r="B856" t="s">
        <v>2243</v>
      </c>
      <c r="C856">
        <v>1</v>
      </c>
      <c r="D856" t="s">
        <v>11</v>
      </c>
      <c r="E856" t="s">
        <v>21</v>
      </c>
      <c r="F856" t="s">
        <v>22</v>
      </c>
      <c r="H856" t="s">
        <v>71</v>
      </c>
      <c r="I856" t="s">
        <v>3617</v>
      </c>
      <c r="J856" t="s">
        <v>2242</v>
      </c>
      <c r="K856" t="s">
        <v>868</v>
      </c>
      <c r="L856" t="s">
        <v>3618</v>
      </c>
      <c r="M856" t="s">
        <v>2242</v>
      </c>
      <c r="N856" t="s">
        <v>2243</v>
      </c>
      <c r="Q856" t="s">
        <v>3599</v>
      </c>
      <c r="R856" t="s">
        <v>3599</v>
      </c>
      <c r="S856" t="s">
        <v>3599</v>
      </c>
      <c r="T856">
        <v>1</v>
      </c>
      <c r="U856" t="s">
        <v>868</v>
      </c>
      <c r="V856">
        <v>5</v>
      </c>
      <c r="W856">
        <v>0</v>
      </c>
      <c r="X856">
        <v>0</v>
      </c>
    </row>
    <row r="857" spans="1:24" x14ac:dyDescent="0.3">
      <c r="A857" t="s">
        <v>2244</v>
      </c>
      <c r="B857" t="s">
        <v>2245</v>
      </c>
      <c r="C857">
        <v>1</v>
      </c>
      <c r="D857" t="s">
        <v>11</v>
      </c>
      <c r="E857" t="s">
        <v>21</v>
      </c>
      <c r="F857" t="s">
        <v>22</v>
      </c>
      <c r="H857" t="s">
        <v>71</v>
      </c>
      <c r="I857" t="s">
        <v>3617</v>
      </c>
      <c r="J857" t="s">
        <v>2244</v>
      </c>
      <c r="K857" t="s">
        <v>868</v>
      </c>
      <c r="L857" t="s">
        <v>3618</v>
      </c>
      <c r="M857" t="s">
        <v>2244</v>
      </c>
      <c r="N857" t="s">
        <v>2245</v>
      </c>
      <c r="Q857" t="s">
        <v>3599</v>
      </c>
      <c r="R857" t="s">
        <v>3599</v>
      </c>
      <c r="S857" t="s">
        <v>3599</v>
      </c>
      <c r="T857">
        <v>1</v>
      </c>
      <c r="U857" t="s">
        <v>868</v>
      </c>
      <c r="V857">
        <v>5</v>
      </c>
      <c r="W857">
        <v>0</v>
      </c>
      <c r="X857">
        <v>0</v>
      </c>
    </row>
    <row r="858" spans="1:24" x14ac:dyDescent="0.3">
      <c r="A858" t="s">
        <v>2246</v>
      </c>
      <c r="B858" t="s">
        <v>2247</v>
      </c>
      <c r="C858">
        <v>1</v>
      </c>
      <c r="D858" t="s">
        <v>11</v>
      </c>
      <c r="E858" t="s">
        <v>21</v>
      </c>
      <c r="F858" t="s">
        <v>22</v>
      </c>
      <c r="H858" t="s">
        <v>71</v>
      </c>
      <c r="I858" t="s">
        <v>3617</v>
      </c>
      <c r="J858" t="s">
        <v>2246</v>
      </c>
      <c r="K858" t="s">
        <v>868</v>
      </c>
      <c r="L858" t="s">
        <v>3618</v>
      </c>
      <c r="M858" t="s">
        <v>2246</v>
      </c>
      <c r="N858" t="s">
        <v>2247</v>
      </c>
      <c r="Q858" t="s">
        <v>3599</v>
      </c>
      <c r="R858" t="s">
        <v>3599</v>
      </c>
      <c r="S858" t="s">
        <v>3599</v>
      </c>
      <c r="T858">
        <v>1</v>
      </c>
      <c r="U858" t="s">
        <v>868</v>
      </c>
      <c r="V858">
        <v>5</v>
      </c>
      <c r="W858">
        <v>0</v>
      </c>
      <c r="X858">
        <v>0</v>
      </c>
    </row>
    <row r="859" spans="1:24" x14ac:dyDescent="0.3">
      <c r="A859" t="s">
        <v>2248</v>
      </c>
      <c r="B859" t="s">
        <v>2249</v>
      </c>
      <c r="C859">
        <v>1</v>
      </c>
      <c r="D859" t="s">
        <v>11</v>
      </c>
      <c r="E859" t="s">
        <v>21</v>
      </c>
      <c r="F859" t="s">
        <v>22</v>
      </c>
      <c r="H859" t="s">
        <v>71</v>
      </c>
      <c r="I859" t="s">
        <v>3617</v>
      </c>
      <c r="J859" t="s">
        <v>2248</v>
      </c>
      <c r="K859" t="s">
        <v>868</v>
      </c>
      <c r="L859" t="s">
        <v>3618</v>
      </c>
      <c r="M859" t="s">
        <v>2248</v>
      </c>
      <c r="N859" t="s">
        <v>2249</v>
      </c>
      <c r="Q859" t="s">
        <v>3599</v>
      </c>
      <c r="R859" t="s">
        <v>3599</v>
      </c>
      <c r="S859" t="s">
        <v>3599</v>
      </c>
      <c r="T859">
        <v>1</v>
      </c>
      <c r="U859" t="s">
        <v>868</v>
      </c>
      <c r="V859">
        <v>5</v>
      </c>
      <c r="W859">
        <v>0</v>
      </c>
      <c r="X859">
        <v>0</v>
      </c>
    </row>
    <row r="860" spans="1:24" x14ac:dyDescent="0.3">
      <c r="A860" t="s">
        <v>2250</v>
      </c>
      <c r="B860" t="s">
        <v>2251</v>
      </c>
      <c r="C860">
        <v>1</v>
      </c>
      <c r="D860" t="s">
        <v>11</v>
      </c>
      <c r="E860" t="s">
        <v>21</v>
      </c>
      <c r="F860" t="s">
        <v>22</v>
      </c>
      <c r="H860" t="s">
        <v>71</v>
      </c>
      <c r="I860" t="s">
        <v>3617</v>
      </c>
      <c r="J860" t="s">
        <v>2250</v>
      </c>
      <c r="K860" t="s">
        <v>868</v>
      </c>
      <c r="L860" t="s">
        <v>3618</v>
      </c>
      <c r="M860" t="s">
        <v>2250</v>
      </c>
      <c r="N860" t="s">
        <v>2251</v>
      </c>
      <c r="Q860" t="s">
        <v>3599</v>
      </c>
      <c r="R860" t="s">
        <v>3599</v>
      </c>
      <c r="S860" t="s">
        <v>3599</v>
      </c>
      <c r="T860">
        <v>1</v>
      </c>
      <c r="U860" t="s">
        <v>868</v>
      </c>
      <c r="V860">
        <v>5</v>
      </c>
      <c r="W860">
        <v>0</v>
      </c>
      <c r="X860">
        <v>0</v>
      </c>
    </row>
    <row r="861" spans="1:24" x14ac:dyDescent="0.3">
      <c r="A861" t="s">
        <v>2252</v>
      </c>
      <c r="B861" t="s">
        <v>2253</v>
      </c>
      <c r="C861">
        <v>1</v>
      </c>
      <c r="D861" t="s">
        <v>11</v>
      </c>
      <c r="E861" t="s">
        <v>21</v>
      </c>
      <c r="F861" t="s">
        <v>22</v>
      </c>
      <c r="H861" t="s">
        <v>71</v>
      </c>
      <c r="I861" t="s">
        <v>3617</v>
      </c>
      <c r="J861" t="s">
        <v>2252</v>
      </c>
      <c r="K861" t="s">
        <v>868</v>
      </c>
      <c r="L861" t="s">
        <v>3618</v>
      </c>
      <c r="M861" t="s">
        <v>2252</v>
      </c>
      <c r="N861" t="s">
        <v>2253</v>
      </c>
      <c r="Q861" t="s">
        <v>3599</v>
      </c>
      <c r="R861" t="s">
        <v>3599</v>
      </c>
      <c r="S861" t="s">
        <v>3599</v>
      </c>
      <c r="T861">
        <v>1</v>
      </c>
      <c r="U861" t="s">
        <v>868</v>
      </c>
      <c r="V861">
        <v>5</v>
      </c>
      <c r="W861">
        <v>0</v>
      </c>
      <c r="X861">
        <v>0</v>
      </c>
    </row>
    <row r="862" spans="1:24" x14ac:dyDescent="0.3">
      <c r="A862" t="s">
        <v>2254</v>
      </c>
      <c r="B862" t="s">
        <v>2255</v>
      </c>
      <c r="C862">
        <v>1</v>
      </c>
      <c r="D862" t="s">
        <v>11</v>
      </c>
      <c r="E862" t="s">
        <v>21</v>
      </c>
      <c r="F862" t="s">
        <v>22</v>
      </c>
      <c r="H862" t="s">
        <v>71</v>
      </c>
      <c r="I862" t="s">
        <v>3617</v>
      </c>
      <c r="J862" t="s">
        <v>2254</v>
      </c>
      <c r="K862" t="s">
        <v>868</v>
      </c>
      <c r="L862" t="s">
        <v>3618</v>
      </c>
      <c r="M862" t="s">
        <v>2254</v>
      </c>
      <c r="N862" t="s">
        <v>2255</v>
      </c>
      <c r="Q862" t="s">
        <v>3599</v>
      </c>
      <c r="R862" t="s">
        <v>3599</v>
      </c>
      <c r="S862" t="s">
        <v>3599</v>
      </c>
      <c r="T862">
        <v>1</v>
      </c>
      <c r="U862" t="s">
        <v>868</v>
      </c>
      <c r="V862">
        <v>5</v>
      </c>
      <c r="W862">
        <v>0</v>
      </c>
      <c r="X862">
        <v>0</v>
      </c>
    </row>
    <row r="863" spans="1:24" x14ac:dyDescent="0.3">
      <c r="A863" t="s">
        <v>2256</v>
      </c>
      <c r="B863" t="s">
        <v>2257</v>
      </c>
      <c r="C863">
        <v>1</v>
      </c>
      <c r="D863" t="s">
        <v>11</v>
      </c>
      <c r="E863" t="s">
        <v>21</v>
      </c>
      <c r="F863" t="s">
        <v>22</v>
      </c>
      <c r="H863" t="s">
        <v>71</v>
      </c>
      <c r="I863" t="s">
        <v>3617</v>
      </c>
      <c r="J863" t="s">
        <v>2256</v>
      </c>
      <c r="K863" t="s">
        <v>868</v>
      </c>
      <c r="L863" t="s">
        <v>3618</v>
      </c>
      <c r="M863" t="s">
        <v>2256</v>
      </c>
      <c r="N863" t="s">
        <v>2257</v>
      </c>
      <c r="Q863" t="s">
        <v>3599</v>
      </c>
      <c r="R863" t="s">
        <v>3599</v>
      </c>
      <c r="S863" t="s">
        <v>3599</v>
      </c>
      <c r="T863">
        <v>1</v>
      </c>
      <c r="U863" t="s">
        <v>868</v>
      </c>
      <c r="V863">
        <v>5</v>
      </c>
      <c r="W863">
        <v>0</v>
      </c>
      <c r="X863">
        <v>0</v>
      </c>
    </row>
    <row r="864" spans="1:24" x14ac:dyDescent="0.3">
      <c r="A864" t="s">
        <v>2258</v>
      </c>
      <c r="B864" t="s">
        <v>2259</v>
      </c>
      <c r="C864">
        <v>1</v>
      </c>
      <c r="D864" t="s">
        <v>11</v>
      </c>
      <c r="E864" t="s">
        <v>21</v>
      </c>
      <c r="F864" t="s">
        <v>22</v>
      </c>
      <c r="H864" t="s">
        <v>71</v>
      </c>
      <c r="I864" t="s">
        <v>3617</v>
      </c>
      <c r="J864" t="s">
        <v>2258</v>
      </c>
      <c r="K864" t="s">
        <v>868</v>
      </c>
      <c r="L864" t="s">
        <v>3618</v>
      </c>
      <c r="M864" t="s">
        <v>2258</v>
      </c>
      <c r="N864" t="s">
        <v>2259</v>
      </c>
      <c r="Q864" t="s">
        <v>3599</v>
      </c>
      <c r="R864" t="s">
        <v>3599</v>
      </c>
      <c r="S864" t="s">
        <v>3599</v>
      </c>
      <c r="T864">
        <v>1</v>
      </c>
      <c r="U864" t="s">
        <v>868</v>
      </c>
      <c r="V864">
        <v>5</v>
      </c>
      <c r="W864">
        <v>0</v>
      </c>
      <c r="X864">
        <v>0</v>
      </c>
    </row>
    <row r="865" spans="1:24" x14ac:dyDescent="0.3">
      <c r="A865" t="s">
        <v>2260</v>
      </c>
      <c r="B865" t="s">
        <v>2261</v>
      </c>
      <c r="C865">
        <v>1</v>
      </c>
      <c r="D865" t="s">
        <v>11</v>
      </c>
      <c r="E865" t="s">
        <v>21</v>
      </c>
      <c r="F865" t="s">
        <v>22</v>
      </c>
      <c r="H865" t="s">
        <v>71</v>
      </c>
      <c r="I865" t="s">
        <v>3617</v>
      </c>
      <c r="J865" t="s">
        <v>2260</v>
      </c>
      <c r="K865" t="s">
        <v>868</v>
      </c>
      <c r="L865" t="s">
        <v>3618</v>
      </c>
      <c r="M865" t="s">
        <v>2260</v>
      </c>
      <c r="N865" t="s">
        <v>2261</v>
      </c>
      <c r="Q865" t="s">
        <v>3599</v>
      </c>
      <c r="R865" t="s">
        <v>3599</v>
      </c>
      <c r="S865" t="s">
        <v>3599</v>
      </c>
      <c r="T865">
        <v>1</v>
      </c>
      <c r="U865" t="s">
        <v>868</v>
      </c>
      <c r="V865">
        <v>5</v>
      </c>
      <c r="W865">
        <v>0</v>
      </c>
      <c r="X865">
        <v>0</v>
      </c>
    </row>
    <row r="866" spans="1:24" x14ac:dyDescent="0.3">
      <c r="A866" t="s">
        <v>2262</v>
      </c>
      <c r="B866" t="s">
        <v>2263</v>
      </c>
      <c r="C866">
        <v>1</v>
      </c>
      <c r="D866" t="s">
        <v>11</v>
      </c>
      <c r="E866" t="s">
        <v>21</v>
      </c>
      <c r="F866" t="s">
        <v>22</v>
      </c>
      <c r="H866" t="s">
        <v>71</v>
      </c>
      <c r="I866" t="s">
        <v>3617</v>
      </c>
      <c r="J866" t="s">
        <v>2262</v>
      </c>
      <c r="K866" t="s">
        <v>868</v>
      </c>
      <c r="L866" t="s">
        <v>3618</v>
      </c>
      <c r="M866" t="s">
        <v>2262</v>
      </c>
      <c r="N866" t="s">
        <v>2263</v>
      </c>
      <c r="Q866" t="s">
        <v>3599</v>
      </c>
      <c r="R866" t="s">
        <v>3599</v>
      </c>
      <c r="S866" t="s">
        <v>3599</v>
      </c>
      <c r="T866">
        <v>1</v>
      </c>
      <c r="U866" t="s">
        <v>868</v>
      </c>
      <c r="V866">
        <v>5</v>
      </c>
      <c r="W866">
        <v>0</v>
      </c>
      <c r="X866">
        <v>0</v>
      </c>
    </row>
    <row r="867" spans="1:24" x14ac:dyDescent="0.3">
      <c r="A867" t="s">
        <v>2264</v>
      </c>
      <c r="B867" t="s">
        <v>2265</v>
      </c>
      <c r="C867">
        <v>1</v>
      </c>
      <c r="D867" t="s">
        <v>11</v>
      </c>
      <c r="E867" t="s">
        <v>21</v>
      </c>
      <c r="F867" t="s">
        <v>22</v>
      </c>
      <c r="H867" t="s">
        <v>71</v>
      </c>
      <c r="I867" t="s">
        <v>3617</v>
      </c>
      <c r="J867" t="s">
        <v>2264</v>
      </c>
      <c r="K867" t="s">
        <v>868</v>
      </c>
      <c r="L867" t="s">
        <v>3618</v>
      </c>
      <c r="M867" t="s">
        <v>2264</v>
      </c>
      <c r="N867" t="s">
        <v>2265</v>
      </c>
      <c r="Q867" t="s">
        <v>3599</v>
      </c>
      <c r="R867" t="s">
        <v>3599</v>
      </c>
      <c r="S867" t="s">
        <v>3599</v>
      </c>
      <c r="T867">
        <v>1</v>
      </c>
      <c r="U867" t="s">
        <v>868</v>
      </c>
      <c r="V867">
        <v>5</v>
      </c>
      <c r="W867">
        <v>0</v>
      </c>
      <c r="X867">
        <v>0</v>
      </c>
    </row>
    <row r="868" spans="1:24" x14ac:dyDescent="0.3">
      <c r="A868" t="s">
        <v>2266</v>
      </c>
      <c r="B868" t="s">
        <v>2267</v>
      </c>
      <c r="C868">
        <v>1</v>
      </c>
      <c r="D868" t="s">
        <v>11</v>
      </c>
      <c r="E868" t="s">
        <v>21</v>
      </c>
      <c r="F868" t="s">
        <v>22</v>
      </c>
      <c r="H868" t="s">
        <v>71</v>
      </c>
      <c r="I868" t="s">
        <v>3617</v>
      </c>
      <c r="J868" t="s">
        <v>2266</v>
      </c>
      <c r="K868" t="s">
        <v>868</v>
      </c>
      <c r="L868" t="s">
        <v>3618</v>
      </c>
      <c r="M868" t="s">
        <v>2266</v>
      </c>
      <c r="N868" t="s">
        <v>2267</v>
      </c>
      <c r="Q868" t="s">
        <v>3599</v>
      </c>
      <c r="R868" t="s">
        <v>3599</v>
      </c>
      <c r="S868" t="s">
        <v>3599</v>
      </c>
      <c r="T868">
        <v>1</v>
      </c>
      <c r="U868" t="s">
        <v>868</v>
      </c>
      <c r="V868">
        <v>5</v>
      </c>
      <c r="W868">
        <v>0</v>
      </c>
      <c r="X868">
        <v>0</v>
      </c>
    </row>
    <row r="869" spans="1:24" x14ac:dyDescent="0.3">
      <c r="A869" t="s">
        <v>2268</v>
      </c>
      <c r="B869" t="s">
        <v>2269</v>
      </c>
      <c r="C869">
        <v>1</v>
      </c>
      <c r="D869" t="s">
        <v>11</v>
      </c>
      <c r="E869" t="s">
        <v>21</v>
      </c>
      <c r="F869" t="s">
        <v>22</v>
      </c>
      <c r="H869" t="s">
        <v>71</v>
      </c>
      <c r="I869" t="s">
        <v>3617</v>
      </c>
      <c r="J869" t="s">
        <v>2268</v>
      </c>
      <c r="K869" t="s">
        <v>868</v>
      </c>
      <c r="L869" t="s">
        <v>3618</v>
      </c>
      <c r="M869" t="s">
        <v>2268</v>
      </c>
      <c r="N869" t="s">
        <v>2269</v>
      </c>
      <c r="O869" t="s">
        <v>2270</v>
      </c>
      <c r="Q869" t="s">
        <v>3599</v>
      </c>
      <c r="R869" t="s">
        <v>3599</v>
      </c>
      <c r="S869" t="s">
        <v>3599</v>
      </c>
      <c r="T869">
        <v>1</v>
      </c>
      <c r="U869" t="s">
        <v>868</v>
      </c>
      <c r="V869">
        <v>5</v>
      </c>
      <c r="W869">
        <v>0</v>
      </c>
      <c r="X869">
        <v>0</v>
      </c>
    </row>
    <row r="870" spans="1:24" x14ac:dyDescent="0.3">
      <c r="A870" t="s">
        <v>2271</v>
      </c>
      <c r="B870" t="s">
        <v>2272</v>
      </c>
      <c r="C870">
        <v>1</v>
      </c>
      <c r="D870" t="s">
        <v>11</v>
      </c>
      <c r="E870" t="s">
        <v>21</v>
      </c>
      <c r="F870" t="s">
        <v>22</v>
      </c>
      <c r="H870" t="s">
        <v>71</v>
      </c>
      <c r="I870" t="s">
        <v>3617</v>
      </c>
      <c r="J870" t="s">
        <v>2271</v>
      </c>
      <c r="K870" t="s">
        <v>868</v>
      </c>
      <c r="L870" t="s">
        <v>3618</v>
      </c>
      <c r="M870" t="s">
        <v>2271</v>
      </c>
      <c r="N870" t="s">
        <v>2272</v>
      </c>
      <c r="Q870" t="s">
        <v>3599</v>
      </c>
      <c r="R870" t="s">
        <v>3599</v>
      </c>
      <c r="S870" t="s">
        <v>3599</v>
      </c>
      <c r="T870">
        <v>1</v>
      </c>
      <c r="U870" t="s">
        <v>868</v>
      </c>
      <c r="V870">
        <v>5</v>
      </c>
      <c r="W870">
        <v>0</v>
      </c>
      <c r="X870">
        <v>0</v>
      </c>
    </row>
    <row r="871" spans="1:24" x14ac:dyDescent="0.3">
      <c r="A871" t="s">
        <v>2273</v>
      </c>
      <c r="B871" t="s">
        <v>2274</v>
      </c>
      <c r="C871">
        <v>1</v>
      </c>
      <c r="D871" t="s">
        <v>11</v>
      </c>
      <c r="E871" t="s">
        <v>21</v>
      </c>
      <c r="F871" t="s">
        <v>22</v>
      </c>
      <c r="H871" t="s">
        <v>71</v>
      </c>
      <c r="I871" t="s">
        <v>3617</v>
      </c>
      <c r="J871" t="s">
        <v>2273</v>
      </c>
      <c r="K871" t="s">
        <v>868</v>
      </c>
      <c r="L871" t="s">
        <v>3618</v>
      </c>
      <c r="M871" t="s">
        <v>2273</v>
      </c>
      <c r="N871" t="s">
        <v>2274</v>
      </c>
      <c r="Q871" t="s">
        <v>3599</v>
      </c>
      <c r="R871" t="s">
        <v>3599</v>
      </c>
      <c r="S871" t="s">
        <v>3599</v>
      </c>
      <c r="T871">
        <v>1</v>
      </c>
      <c r="U871" t="s">
        <v>868</v>
      </c>
      <c r="V871">
        <v>5</v>
      </c>
      <c r="W871">
        <v>0</v>
      </c>
      <c r="X871">
        <v>0</v>
      </c>
    </row>
    <row r="872" spans="1:24" x14ac:dyDescent="0.3">
      <c r="A872" t="s">
        <v>2275</v>
      </c>
      <c r="B872" t="s">
        <v>2276</v>
      </c>
      <c r="C872">
        <v>1</v>
      </c>
      <c r="D872" t="s">
        <v>11</v>
      </c>
      <c r="E872" t="s">
        <v>21</v>
      </c>
      <c r="F872" t="s">
        <v>22</v>
      </c>
      <c r="H872" t="s">
        <v>71</v>
      </c>
      <c r="I872" t="s">
        <v>3617</v>
      </c>
      <c r="J872" t="s">
        <v>2275</v>
      </c>
      <c r="K872" t="s">
        <v>868</v>
      </c>
      <c r="L872" t="s">
        <v>3618</v>
      </c>
      <c r="M872" t="s">
        <v>2275</v>
      </c>
      <c r="N872" t="s">
        <v>2276</v>
      </c>
      <c r="Q872" t="s">
        <v>3599</v>
      </c>
      <c r="R872" t="s">
        <v>3599</v>
      </c>
      <c r="S872" t="s">
        <v>3599</v>
      </c>
      <c r="T872">
        <v>1</v>
      </c>
      <c r="U872" t="s">
        <v>868</v>
      </c>
      <c r="V872">
        <v>5</v>
      </c>
      <c r="W872">
        <v>0</v>
      </c>
      <c r="X872">
        <v>0</v>
      </c>
    </row>
    <row r="873" spans="1:24" x14ac:dyDescent="0.3">
      <c r="A873" t="s">
        <v>2277</v>
      </c>
      <c r="B873" t="s">
        <v>2278</v>
      </c>
      <c r="C873">
        <v>1</v>
      </c>
      <c r="D873" t="s">
        <v>11</v>
      </c>
      <c r="E873" t="s">
        <v>21</v>
      </c>
      <c r="F873" t="s">
        <v>22</v>
      </c>
      <c r="H873" t="s">
        <v>71</v>
      </c>
      <c r="I873" t="s">
        <v>3617</v>
      </c>
      <c r="J873" t="s">
        <v>2277</v>
      </c>
      <c r="K873" t="s">
        <v>868</v>
      </c>
      <c r="L873" t="s">
        <v>3618</v>
      </c>
      <c r="M873" t="s">
        <v>2277</v>
      </c>
      <c r="N873" t="s">
        <v>2278</v>
      </c>
      <c r="Q873" t="s">
        <v>3599</v>
      </c>
      <c r="R873" t="s">
        <v>3599</v>
      </c>
      <c r="S873" t="s">
        <v>3599</v>
      </c>
      <c r="T873">
        <v>1</v>
      </c>
      <c r="U873" t="s">
        <v>868</v>
      </c>
      <c r="V873">
        <v>5</v>
      </c>
      <c r="W873">
        <v>0</v>
      </c>
      <c r="X873">
        <v>0</v>
      </c>
    </row>
    <row r="874" spans="1:24" x14ac:dyDescent="0.3">
      <c r="A874" t="s">
        <v>2279</v>
      </c>
      <c r="B874" t="s">
        <v>2280</v>
      </c>
      <c r="C874">
        <v>1</v>
      </c>
      <c r="D874" t="s">
        <v>11</v>
      </c>
      <c r="E874" t="s">
        <v>21</v>
      </c>
      <c r="F874" t="s">
        <v>22</v>
      </c>
      <c r="H874" t="s">
        <v>71</v>
      </c>
      <c r="I874" t="s">
        <v>3617</v>
      </c>
      <c r="J874" t="s">
        <v>2279</v>
      </c>
      <c r="K874" t="s">
        <v>868</v>
      </c>
      <c r="L874" t="s">
        <v>3618</v>
      </c>
      <c r="M874" t="s">
        <v>2279</v>
      </c>
      <c r="N874" t="s">
        <v>2280</v>
      </c>
      <c r="Q874" t="s">
        <v>3599</v>
      </c>
      <c r="R874" t="s">
        <v>3599</v>
      </c>
      <c r="S874" t="s">
        <v>3599</v>
      </c>
      <c r="T874">
        <v>1</v>
      </c>
      <c r="U874" t="s">
        <v>868</v>
      </c>
      <c r="V874">
        <v>5</v>
      </c>
      <c r="W874">
        <v>0</v>
      </c>
      <c r="X874">
        <v>0</v>
      </c>
    </row>
    <row r="875" spans="1:24" x14ac:dyDescent="0.3">
      <c r="A875" t="s">
        <v>2281</v>
      </c>
      <c r="B875" t="s">
        <v>2282</v>
      </c>
      <c r="C875">
        <v>1</v>
      </c>
      <c r="D875" t="s">
        <v>11</v>
      </c>
      <c r="E875" t="s">
        <v>21</v>
      </c>
      <c r="F875" t="s">
        <v>22</v>
      </c>
      <c r="H875" t="s">
        <v>71</v>
      </c>
      <c r="I875" t="s">
        <v>3617</v>
      </c>
      <c r="J875" t="s">
        <v>2281</v>
      </c>
      <c r="K875" t="s">
        <v>868</v>
      </c>
      <c r="L875" t="s">
        <v>3618</v>
      </c>
      <c r="M875" t="s">
        <v>2281</v>
      </c>
      <c r="N875" t="s">
        <v>2282</v>
      </c>
      <c r="Q875" t="s">
        <v>3599</v>
      </c>
      <c r="R875" t="s">
        <v>3599</v>
      </c>
      <c r="S875" t="s">
        <v>3599</v>
      </c>
      <c r="T875">
        <v>1</v>
      </c>
      <c r="U875" t="s">
        <v>868</v>
      </c>
      <c r="V875">
        <v>5</v>
      </c>
      <c r="W875">
        <v>0</v>
      </c>
      <c r="X875">
        <v>0</v>
      </c>
    </row>
    <row r="876" spans="1:24" x14ac:dyDescent="0.3">
      <c r="A876" t="s">
        <v>2283</v>
      </c>
      <c r="B876" t="s">
        <v>2284</v>
      </c>
      <c r="C876">
        <v>1</v>
      </c>
      <c r="D876" t="s">
        <v>11</v>
      </c>
      <c r="E876" t="s">
        <v>21</v>
      </c>
      <c r="F876" t="s">
        <v>22</v>
      </c>
      <c r="H876" t="s">
        <v>71</v>
      </c>
      <c r="I876" t="s">
        <v>3617</v>
      </c>
      <c r="J876" t="s">
        <v>2283</v>
      </c>
      <c r="K876" t="s">
        <v>868</v>
      </c>
      <c r="L876" t="s">
        <v>3618</v>
      </c>
      <c r="M876" t="s">
        <v>2283</v>
      </c>
      <c r="N876" t="s">
        <v>2284</v>
      </c>
      <c r="Q876" t="s">
        <v>3599</v>
      </c>
      <c r="R876" t="s">
        <v>3599</v>
      </c>
      <c r="S876" t="s">
        <v>3599</v>
      </c>
      <c r="T876">
        <v>1</v>
      </c>
      <c r="U876" t="s">
        <v>868</v>
      </c>
      <c r="V876">
        <v>5</v>
      </c>
      <c r="W876">
        <v>0</v>
      </c>
      <c r="X876">
        <v>0</v>
      </c>
    </row>
    <row r="877" spans="1:24" x14ac:dyDescent="0.3">
      <c r="A877" t="s">
        <v>2285</v>
      </c>
      <c r="B877" t="s">
        <v>2286</v>
      </c>
      <c r="C877">
        <v>1</v>
      </c>
      <c r="D877" t="s">
        <v>11</v>
      </c>
      <c r="E877" t="s">
        <v>21</v>
      </c>
      <c r="F877" t="s">
        <v>22</v>
      </c>
      <c r="H877" t="s">
        <v>71</v>
      </c>
      <c r="I877" t="s">
        <v>3617</v>
      </c>
      <c r="J877" t="s">
        <v>2285</v>
      </c>
      <c r="K877" t="s">
        <v>868</v>
      </c>
      <c r="L877" t="s">
        <v>3618</v>
      </c>
      <c r="M877" t="s">
        <v>2285</v>
      </c>
      <c r="N877" t="s">
        <v>2286</v>
      </c>
      <c r="Q877" t="s">
        <v>3599</v>
      </c>
      <c r="R877" t="s">
        <v>3599</v>
      </c>
      <c r="S877" t="s">
        <v>3599</v>
      </c>
      <c r="T877">
        <v>1</v>
      </c>
      <c r="U877" t="s">
        <v>868</v>
      </c>
      <c r="V877">
        <v>5</v>
      </c>
      <c r="W877">
        <v>0</v>
      </c>
      <c r="X877">
        <v>0</v>
      </c>
    </row>
    <row r="878" spans="1:24" x14ac:dyDescent="0.3">
      <c r="A878" t="s">
        <v>2287</v>
      </c>
      <c r="B878" t="s">
        <v>2288</v>
      </c>
      <c r="C878">
        <v>1</v>
      </c>
      <c r="D878" t="s">
        <v>11</v>
      </c>
      <c r="E878" t="s">
        <v>21</v>
      </c>
      <c r="F878" t="s">
        <v>22</v>
      </c>
      <c r="H878" t="s">
        <v>71</v>
      </c>
      <c r="I878" t="s">
        <v>3617</v>
      </c>
      <c r="J878" t="s">
        <v>2287</v>
      </c>
      <c r="K878" t="s">
        <v>868</v>
      </c>
      <c r="L878" t="s">
        <v>3618</v>
      </c>
      <c r="M878" t="s">
        <v>2287</v>
      </c>
      <c r="N878" t="s">
        <v>2288</v>
      </c>
      <c r="Q878" t="s">
        <v>3599</v>
      </c>
      <c r="R878" t="s">
        <v>3599</v>
      </c>
      <c r="S878" t="s">
        <v>3599</v>
      </c>
      <c r="T878">
        <v>1</v>
      </c>
      <c r="U878" t="s">
        <v>868</v>
      </c>
      <c r="V878">
        <v>5</v>
      </c>
      <c r="W878">
        <v>0</v>
      </c>
      <c r="X878">
        <v>0</v>
      </c>
    </row>
    <row r="879" spans="1:24" x14ac:dyDescent="0.3">
      <c r="A879" t="s">
        <v>2289</v>
      </c>
      <c r="B879" t="s">
        <v>2290</v>
      </c>
      <c r="C879">
        <v>1</v>
      </c>
      <c r="D879" t="s">
        <v>11</v>
      </c>
      <c r="E879" t="s">
        <v>21</v>
      </c>
      <c r="F879" t="s">
        <v>22</v>
      </c>
      <c r="H879" t="s">
        <v>71</v>
      </c>
      <c r="I879" t="s">
        <v>3617</v>
      </c>
      <c r="J879" t="s">
        <v>2289</v>
      </c>
      <c r="K879" t="s">
        <v>868</v>
      </c>
      <c r="L879" t="s">
        <v>3618</v>
      </c>
      <c r="M879" t="s">
        <v>2289</v>
      </c>
      <c r="N879" t="s">
        <v>2290</v>
      </c>
      <c r="Q879" t="s">
        <v>3599</v>
      </c>
      <c r="R879" t="s">
        <v>3599</v>
      </c>
      <c r="S879" t="s">
        <v>3599</v>
      </c>
      <c r="T879">
        <v>1</v>
      </c>
      <c r="U879" t="s">
        <v>868</v>
      </c>
      <c r="V879">
        <v>5</v>
      </c>
      <c r="W879">
        <v>0</v>
      </c>
      <c r="X879">
        <v>0</v>
      </c>
    </row>
    <row r="880" spans="1:24" x14ac:dyDescent="0.3">
      <c r="A880" t="s">
        <v>2291</v>
      </c>
      <c r="B880" t="s">
        <v>2292</v>
      </c>
      <c r="C880">
        <v>1</v>
      </c>
      <c r="D880" t="s">
        <v>11</v>
      </c>
      <c r="E880" t="s">
        <v>21</v>
      </c>
      <c r="F880" t="s">
        <v>22</v>
      </c>
      <c r="H880" t="s">
        <v>71</v>
      </c>
      <c r="I880" t="s">
        <v>3617</v>
      </c>
      <c r="J880" t="s">
        <v>2291</v>
      </c>
      <c r="K880" t="s">
        <v>868</v>
      </c>
      <c r="L880" t="s">
        <v>3618</v>
      </c>
      <c r="M880" t="s">
        <v>2291</v>
      </c>
      <c r="N880" t="s">
        <v>2292</v>
      </c>
      <c r="O880" t="s">
        <v>2294</v>
      </c>
      <c r="P880" t="s">
        <v>2293</v>
      </c>
      <c r="Q880" t="s">
        <v>3599</v>
      </c>
      <c r="R880" t="s">
        <v>3599</v>
      </c>
      <c r="S880" t="s">
        <v>3599</v>
      </c>
      <c r="T880">
        <v>1</v>
      </c>
      <c r="U880" t="s">
        <v>868</v>
      </c>
      <c r="V880">
        <v>5</v>
      </c>
      <c r="W880">
        <v>0</v>
      </c>
      <c r="X880">
        <v>0</v>
      </c>
    </row>
    <row r="881" spans="1:24" x14ac:dyDescent="0.3">
      <c r="A881" t="s">
        <v>2295</v>
      </c>
      <c r="B881" t="s">
        <v>2296</v>
      </c>
      <c r="C881">
        <v>1</v>
      </c>
      <c r="D881" t="s">
        <v>11</v>
      </c>
      <c r="E881" t="s">
        <v>21</v>
      </c>
      <c r="F881" t="s">
        <v>22</v>
      </c>
      <c r="H881" t="s">
        <v>71</v>
      </c>
      <c r="I881" t="s">
        <v>3617</v>
      </c>
      <c r="J881" t="s">
        <v>2295</v>
      </c>
      <c r="K881" t="s">
        <v>868</v>
      </c>
      <c r="L881" t="s">
        <v>3618</v>
      </c>
      <c r="M881" t="s">
        <v>2295</v>
      </c>
      <c r="N881" t="s">
        <v>2296</v>
      </c>
      <c r="Q881" t="s">
        <v>3599</v>
      </c>
      <c r="R881" t="s">
        <v>3599</v>
      </c>
      <c r="S881" t="s">
        <v>3599</v>
      </c>
      <c r="T881">
        <v>1</v>
      </c>
      <c r="U881" t="s">
        <v>868</v>
      </c>
      <c r="V881">
        <v>5</v>
      </c>
      <c r="W881">
        <v>0</v>
      </c>
      <c r="X881">
        <v>0</v>
      </c>
    </row>
    <row r="882" spans="1:24" x14ac:dyDescent="0.3">
      <c r="A882" t="s">
        <v>2297</v>
      </c>
      <c r="B882" t="s">
        <v>2298</v>
      </c>
      <c r="C882">
        <v>1</v>
      </c>
      <c r="D882" t="s">
        <v>11</v>
      </c>
      <c r="E882" t="s">
        <v>21</v>
      </c>
      <c r="F882" t="s">
        <v>22</v>
      </c>
      <c r="H882" t="s">
        <v>71</v>
      </c>
      <c r="I882" t="s">
        <v>3617</v>
      </c>
      <c r="J882" t="s">
        <v>2297</v>
      </c>
      <c r="K882" t="s">
        <v>868</v>
      </c>
      <c r="L882" t="s">
        <v>3618</v>
      </c>
      <c r="M882" t="s">
        <v>2297</v>
      </c>
      <c r="N882" t="s">
        <v>2298</v>
      </c>
      <c r="Q882" t="s">
        <v>3599</v>
      </c>
      <c r="R882" t="s">
        <v>3599</v>
      </c>
      <c r="S882" t="s">
        <v>3599</v>
      </c>
      <c r="T882">
        <v>1</v>
      </c>
      <c r="U882" t="s">
        <v>868</v>
      </c>
      <c r="V882">
        <v>5</v>
      </c>
      <c r="W882">
        <v>0</v>
      </c>
      <c r="X882">
        <v>0</v>
      </c>
    </row>
    <row r="883" spans="1:24" x14ac:dyDescent="0.3">
      <c r="A883" t="s">
        <v>2299</v>
      </c>
      <c r="B883" t="s">
        <v>2300</v>
      </c>
      <c r="C883">
        <v>1</v>
      </c>
      <c r="D883" t="s">
        <v>11</v>
      </c>
      <c r="E883" t="s">
        <v>21</v>
      </c>
      <c r="F883" t="s">
        <v>22</v>
      </c>
      <c r="H883" t="s">
        <v>71</v>
      </c>
      <c r="I883" t="s">
        <v>3617</v>
      </c>
      <c r="J883" t="s">
        <v>2299</v>
      </c>
      <c r="K883" t="s">
        <v>868</v>
      </c>
      <c r="L883" t="s">
        <v>3618</v>
      </c>
      <c r="M883" t="s">
        <v>2299</v>
      </c>
      <c r="N883" t="s">
        <v>2300</v>
      </c>
      <c r="Q883" t="s">
        <v>3599</v>
      </c>
      <c r="R883" t="s">
        <v>3599</v>
      </c>
      <c r="S883" t="s">
        <v>3599</v>
      </c>
      <c r="T883">
        <v>1</v>
      </c>
      <c r="U883" t="s">
        <v>868</v>
      </c>
      <c r="V883">
        <v>5</v>
      </c>
      <c r="W883">
        <v>0</v>
      </c>
      <c r="X883">
        <v>0</v>
      </c>
    </row>
    <row r="884" spans="1:24" x14ac:dyDescent="0.3">
      <c r="A884" t="s">
        <v>2301</v>
      </c>
      <c r="B884" t="s">
        <v>2302</v>
      </c>
      <c r="C884">
        <v>1</v>
      </c>
      <c r="D884" t="s">
        <v>11</v>
      </c>
      <c r="E884" t="s">
        <v>21</v>
      </c>
      <c r="F884" t="s">
        <v>22</v>
      </c>
      <c r="H884" t="s">
        <v>71</v>
      </c>
      <c r="I884" t="s">
        <v>3617</v>
      </c>
      <c r="J884" t="s">
        <v>2301</v>
      </c>
      <c r="K884" t="s">
        <v>868</v>
      </c>
      <c r="L884" t="s">
        <v>3618</v>
      </c>
      <c r="M884" t="s">
        <v>2301</v>
      </c>
      <c r="N884" t="s">
        <v>2302</v>
      </c>
      <c r="O884" t="s">
        <v>2304</v>
      </c>
      <c r="P884" t="s">
        <v>2303</v>
      </c>
      <c r="Q884" t="s">
        <v>3599</v>
      </c>
      <c r="R884" t="s">
        <v>3599</v>
      </c>
      <c r="S884" t="s">
        <v>3599</v>
      </c>
      <c r="T884">
        <v>1</v>
      </c>
      <c r="U884" t="s">
        <v>868</v>
      </c>
      <c r="V884">
        <v>5</v>
      </c>
      <c r="W884">
        <v>0</v>
      </c>
      <c r="X884">
        <v>0</v>
      </c>
    </row>
    <row r="885" spans="1:24" x14ac:dyDescent="0.3">
      <c r="A885" t="s">
        <v>2305</v>
      </c>
      <c r="B885" t="s">
        <v>2306</v>
      </c>
      <c r="C885">
        <v>1</v>
      </c>
      <c r="D885" t="s">
        <v>11</v>
      </c>
      <c r="E885" t="s">
        <v>21</v>
      </c>
      <c r="F885" t="s">
        <v>22</v>
      </c>
      <c r="H885" t="s">
        <v>71</v>
      </c>
      <c r="I885" t="s">
        <v>3617</v>
      </c>
      <c r="J885" t="s">
        <v>2305</v>
      </c>
      <c r="K885" t="s">
        <v>868</v>
      </c>
      <c r="L885" t="s">
        <v>3618</v>
      </c>
      <c r="M885" t="s">
        <v>2305</v>
      </c>
      <c r="N885" t="s">
        <v>2306</v>
      </c>
      <c r="Q885" t="s">
        <v>3599</v>
      </c>
      <c r="R885" t="s">
        <v>3599</v>
      </c>
      <c r="S885" t="s">
        <v>3599</v>
      </c>
      <c r="T885">
        <v>1</v>
      </c>
      <c r="U885" t="s">
        <v>868</v>
      </c>
      <c r="V885">
        <v>5</v>
      </c>
      <c r="W885">
        <v>0</v>
      </c>
      <c r="X885">
        <v>0</v>
      </c>
    </row>
    <row r="886" spans="1:24" x14ac:dyDescent="0.3">
      <c r="A886" t="s">
        <v>2307</v>
      </c>
      <c r="B886" t="s">
        <v>2308</v>
      </c>
      <c r="C886">
        <v>1</v>
      </c>
      <c r="D886" t="s">
        <v>11</v>
      </c>
      <c r="E886" t="s">
        <v>21</v>
      </c>
      <c r="F886" t="s">
        <v>22</v>
      </c>
      <c r="H886" t="s">
        <v>71</v>
      </c>
      <c r="I886" t="s">
        <v>3617</v>
      </c>
      <c r="J886" t="s">
        <v>2307</v>
      </c>
      <c r="K886" t="s">
        <v>868</v>
      </c>
      <c r="L886" t="s">
        <v>3618</v>
      </c>
      <c r="M886" t="s">
        <v>2307</v>
      </c>
      <c r="N886" t="s">
        <v>2308</v>
      </c>
      <c r="Q886" t="s">
        <v>3599</v>
      </c>
      <c r="R886" t="s">
        <v>3599</v>
      </c>
      <c r="S886" t="s">
        <v>3599</v>
      </c>
      <c r="T886">
        <v>1</v>
      </c>
      <c r="U886" t="s">
        <v>868</v>
      </c>
      <c r="V886">
        <v>5</v>
      </c>
      <c r="W886">
        <v>0</v>
      </c>
      <c r="X886">
        <v>0</v>
      </c>
    </row>
    <row r="887" spans="1:24" x14ac:dyDescent="0.3">
      <c r="A887" t="s">
        <v>2309</v>
      </c>
      <c r="B887" t="s">
        <v>2310</v>
      </c>
      <c r="C887">
        <v>1</v>
      </c>
      <c r="D887" t="s">
        <v>11</v>
      </c>
      <c r="E887" t="s">
        <v>21</v>
      </c>
      <c r="F887" t="s">
        <v>22</v>
      </c>
      <c r="H887" t="s">
        <v>71</v>
      </c>
      <c r="I887" t="s">
        <v>3617</v>
      </c>
      <c r="J887" t="s">
        <v>2309</v>
      </c>
      <c r="K887" t="s">
        <v>868</v>
      </c>
      <c r="L887" t="s">
        <v>3618</v>
      </c>
      <c r="M887" t="s">
        <v>2309</v>
      </c>
      <c r="N887" t="s">
        <v>2310</v>
      </c>
      <c r="Q887" t="s">
        <v>3599</v>
      </c>
      <c r="R887" t="s">
        <v>3599</v>
      </c>
      <c r="S887" t="s">
        <v>3599</v>
      </c>
      <c r="T887">
        <v>1</v>
      </c>
      <c r="U887" t="s">
        <v>868</v>
      </c>
      <c r="V887">
        <v>5</v>
      </c>
      <c r="W887">
        <v>0</v>
      </c>
      <c r="X887">
        <v>0</v>
      </c>
    </row>
    <row r="888" spans="1:24" x14ac:dyDescent="0.3">
      <c r="A888" t="s">
        <v>2311</v>
      </c>
      <c r="B888" t="s">
        <v>2312</v>
      </c>
      <c r="C888">
        <v>1</v>
      </c>
      <c r="D888" t="s">
        <v>11</v>
      </c>
      <c r="E888" t="s">
        <v>21</v>
      </c>
      <c r="F888" t="s">
        <v>22</v>
      </c>
      <c r="H888" t="s">
        <v>71</v>
      </c>
      <c r="I888" t="s">
        <v>3617</v>
      </c>
      <c r="J888" t="s">
        <v>2311</v>
      </c>
      <c r="K888" t="s">
        <v>868</v>
      </c>
      <c r="L888" t="s">
        <v>3618</v>
      </c>
      <c r="M888" t="s">
        <v>2311</v>
      </c>
      <c r="N888" t="s">
        <v>2312</v>
      </c>
      <c r="Q888" t="s">
        <v>3599</v>
      </c>
      <c r="R888" t="s">
        <v>3599</v>
      </c>
      <c r="S888" t="s">
        <v>3599</v>
      </c>
      <c r="T888">
        <v>1</v>
      </c>
      <c r="U888" t="s">
        <v>868</v>
      </c>
      <c r="V888">
        <v>5</v>
      </c>
      <c r="W888">
        <v>0</v>
      </c>
      <c r="X888">
        <v>0</v>
      </c>
    </row>
    <row r="889" spans="1:24" x14ac:dyDescent="0.3">
      <c r="A889" t="s">
        <v>2313</v>
      </c>
      <c r="B889" t="s">
        <v>2314</v>
      </c>
      <c r="C889">
        <v>1</v>
      </c>
      <c r="D889" t="s">
        <v>11</v>
      </c>
      <c r="E889" t="s">
        <v>21</v>
      </c>
      <c r="F889" t="s">
        <v>22</v>
      </c>
      <c r="H889" t="s">
        <v>71</v>
      </c>
      <c r="I889" t="s">
        <v>3617</v>
      </c>
      <c r="J889" t="s">
        <v>2313</v>
      </c>
      <c r="K889" t="s">
        <v>868</v>
      </c>
      <c r="L889" t="s">
        <v>3618</v>
      </c>
      <c r="M889" t="s">
        <v>2313</v>
      </c>
      <c r="N889" t="s">
        <v>2314</v>
      </c>
      <c r="Q889" t="s">
        <v>3599</v>
      </c>
      <c r="R889" t="s">
        <v>3599</v>
      </c>
      <c r="S889" t="s">
        <v>3599</v>
      </c>
      <c r="T889">
        <v>1</v>
      </c>
      <c r="U889" t="s">
        <v>868</v>
      </c>
      <c r="V889">
        <v>5</v>
      </c>
      <c r="W889">
        <v>0</v>
      </c>
      <c r="X889">
        <v>0</v>
      </c>
    </row>
    <row r="890" spans="1:24" x14ac:dyDescent="0.3">
      <c r="A890" t="s">
        <v>2315</v>
      </c>
      <c r="B890" t="s">
        <v>2316</v>
      </c>
      <c r="C890">
        <v>1</v>
      </c>
      <c r="D890" t="s">
        <v>11</v>
      </c>
      <c r="E890" t="s">
        <v>21</v>
      </c>
      <c r="F890" t="s">
        <v>22</v>
      </c>
      <c r="H890" t="s">
        <v>71</v>
      </c>
      <c r="I890" t="s">
        <v>3617</v>
      </c>
      <c r="J890" t="s">
        <v>2315</v>
      </c>
      <c r="K890" t="s">
        <v>868</v>
      </c>
      <c r="L890" t="s">
        <v>3618</v>
      </c>
      <c r="M890" t="s">
        <v>2315</v>
      </c>
      <c r="N890" t="s">
        <v>2316</v>
      </c>
      <c r="Q890" t="s">
        <v>3599</v>
      </c>
      <c r="R890" t="s">
        <v>3599</v>
      </c>
      <c r="S890" t="s">
        <v>3599</v>
      </c>
      <c r="T890">
        <v>1</v>
      </c>
      <c r="U890" t="s">
        <v>868</v>
      </c>
      <c r="V890">
        <v>5</v>
      </c>
      <c r="W890">
        <v>0</v>
      </c>
      <c r="X890">
        <v>0</v>
      </c>
    </row>
    <row r="891" spans="1:24" x14ac:dyDescent="0.3">
      <c r="A891" t="s">
        <v>2317</v>
      </c>
      <c r="B891" t="s">
        <v>2318</v>
      </c>
      <c r="C891">
        <v>1</v>
      </c>
      <c r="D891" t="s">
        <v>11</v>
      </c>
      <c r="E891" t="s">
        <v>21</v>
      </c>
      <c r="F891" t="s">
        <v>22</v>
      </c>
      <c r="H891" t="s">
        <v>71</v>
      </c>
      <c r="I891" t="s">
        <v>3617</v>
      </c>
      <c r="J891" t="s">
        <v>2317</v>
      </c>
      <c r="K891" t="s">
        <v>868</v>
      </c>
      <c r="L891" t="s">
        <v>3618</v>
      </c>
      <c r="M891" t="s">
        <v>2317</v>
      </c>
      <c r="N891" t="s">
        <v>2318</v>
      </c>
      <c r="Q891" t="s">
        <v>3599</v>
      </c>
      <c r="R891" t="s">
        <v>3599</v>
      </c>
      <c r="S891" t="s">
        <v>3599</v>
      </c>
      <c r="T891">
        <v>1</v>
      </c>
      <c r="U891" t="s">
        <v>868</v>
      </c>
      <c r="V891">
        <v>5</v>
      </c>
      <c r="W891">
        <v>0</v>
      </c>
      <c r="X891">
        <v>0</v>
      </c>
    </row>
    <row r="892" spans="1:24" x14ac:dyDescent="0.3">
      <c r="A892" t="s">
        <v>2319</v>
      </c>
      <c r="B892" t="s">
        <v>2320</v>
      </c>
      <c r="C892">
        <v>1</v>
      </c>
      <c r="D892" t="s">
        <v>11</v>
      </c>
      <c r="E892" t="s">
        <v>21</v>
      </c>
      <c r="F892" t="s">
        <v>22</v>
      </c>
      <c r="H892" t="s">
        <v>71</v>
      </c>
      <c r="I892" t="s">
        <v>3617</v>
      </c>
      <c r="J892" t="s">
        <v>2319</v>
      </c>
      <c r="K892" t="s">
        <v>868</v>
      </c>
      <c r="L892" t="s">
        <v>3618</v>
      </c>
      <c r="M892" t="s">
        <v>2319</v>
      </c>
      <c r="N892" t="s">
        <v>2320</v>
      </c>
      <c r="Q892" t="s">
        <v>3599</v>
      </c>
      <c r="R892" t="s">
        <v>3599</v>
      </c>
      <c r="S892" t="s">
        <v>3599</v>
      </c>
      <c r="T892">
        <v>1</v>
      </c>
      <c r="U892" t="s">
        <v>868</v>
      </c>
      <c r="V892">
        <v>5</v>
      </c>
      <c r="W892">
        <v>0</v>
      </c>
      <c r="X892">
        <v>0</v>
      </c>
    </row>
    <row r="893" spans="1:24" x14ac:dyDescent="0.3">
      <c r="A893" t="s">
        <v>2321</v>
      </c>
      <c r="B893" t="s">
        <v>2322</v>
      </c>
      <c r="C893">
        <v>1</v>
      </c>
      <c r="D893" t="s">
        <v>11</v>
      </c>
      <c r="E893" t="s">
        <v>21</v>
      </c>
      <c r="F893" t="s">
        <v>22</v>
      </c>
      <c r="H893" t="s">
        <v>71</v>
      </c>
      <c r="I893" t="s">
        <v>3617</v>
      </c>
      <c r="J893" t="s">
        <v>2321</v>
      </c>
      <c r="K893" t="s">
        <v>868</v>
      </c>
      <c r="L893" t="s">
        <v>3618</v>
      </c>
      <c r="M893" t="s">
        <v>2321</v>
      </c>
      <c r="N893" t="s">
        <v>2322</v>
      </c>
      <c r="O893" t="s">
        <v>1409</v>
      </c>
      <c r="Q893" t="s">
        <v>3599</v>
      </c>
      <c r="R893" t="s">
        <v>3599</v>
      </c>
      <c r="S893" t="s">
        <v>3599</v>
      </c>
      <c r="T893">
        <v>1</v>
      </c>
      <c r="U893" t="s">
        <v>868</v>
      </c>
      <c r="V893">
        <v>5</v>
      </c>
      <c r="W893">
        <v>0</v>
      </c>
      <c r="X893">
        <v>0</v>
      </c>
    </row>
    <row r="894" spans="1:24" x14ac:dyDescent="0.3">
      <c r="A894" t="s">
        <v>2323</v>
      </c>
      <c r="B894" t="s">
        <v>2324</v>
      </c>
      <c r="C894">
        <v>1</v>
      </c>
      <c r="D894" t="s">
        <v>11</v>
      </c>
      <c r="E894" t="s">
        <v>21</v>
      </c>
      <c r="F894" t="s">
        <v>22</v>
      </c>
      <c r="H894" t="s">
        <v>71</v>
      </c>
      <c r="I894" t="s">
        <v>3617</v>
      </c>
      <c r="J894" t="s">
        <v>2323</v>
      </c>
      <c r="K894" t="s">
        <v>868</v>
      </c>
      <c r="L894" t="s">
        <v>3618</v>
      </c>
      <c r="M894" t="s">
        <v>2323</v>
      </c>
      <c r="N894" t="s">
        <v>2324</v>
      </c>
      <c r="O894" t="s">
        <v>2325</v>
      </c>
      <c r="Q894" t="s">
        <v>3599</v>
      </c>
      <c r="R894" t="s">
        <v>3599</v>
      </c>
      <c r="S894" t="s">
        <v>3599</v>
      </c>
      <c r="T894">
        <v>1</v>
      </c>
      <c r="U894" t="s">
        <v>868</v>
      </c>
      <c r="V894">
        <v>5</v>
      </c>
      <c r="W894">
        <v>0</v>
      </c>
      <c r="X894">
        <v>0</v>
      </c>
    </row>
    <row r="895" spans="1:24" x14ac:dyDescent="0.3">
      <c r="A895" t="s">
        <v>2326</v>
      </c>
      <c r="B895" t="s">
        <v>2327</v>
      </c>
      <c r="C895">
        <v>1</v>
      </c>
      <c r="D895" t="s">
        <v>11</v>
      </c>
      <c r="E895" t="s">
        <v>21</v>
      </c>
      <c r="F895" t="s">
        <v>22</v>
      </c>
      <c r="H895" t="s">
        <v>71</v>
      </c>
      <c r="I895" t="s">
        <v>3617</v>
      </c>
      <c r="J895" t="s">
        <v>2326</v>
      </c>
      <c r="K895" t="s">
        <v>868</v>
      </c>
      <c r="L895" t="s">
        <v>3618</v>
      </c>
      <c r="M895" t="s">
        <v>2326</v>
      </c>
      <c r="N895" t="s">
        <v>2327</v>
      </c>
      <c r="Q895" t="s">
        <v>3599</v>
      </c>
      <c r="R895" t="s">
        <v>3599</v>
      </c>
      <c r="S895" t="s">
        <v>3599</v>
      </c>
      <c r="T895">
        <v>1</v>
      </c>
      <c r="U895" t="s">
        <v>868</v>
      </c>
      <c r="V895">
        <v>5</v>
      </c>
      <c r="W895">
        <v>0</v>
      </c>
      <c r="X895">
        <v>0</v>
      </c>
    </row>
    <row r="896" spans="1:24" x14ac:dyDescent="0.3">
      <c r="A896" t="s">
        <v>2328</v>
      </c>
      <c r="B896" t="s">
        <v>2329</v>
      </c>
      <c r="C896">
        <v>1</v>
      </c>
      <c r="D896" t="s">
        <v>11</v>
      </c>
      <c r="E896" t="s">
        <v>21</v>
      </c>
      <c r="F896" t="s">
        <v>22</v>
      </c>
      <c r="H896" t="s">
        <v>71</v>
      </c>
      <c r="I896" t="s">
        <v>3617</v>
      </c>
      <c r="J896" t="s">
        <v>2328</v>
      </c>
      <c r="K896" t="s">
        <v>868</v>
      </c>
      <c r="L896" t="s">
        <v>3618</v>
      </c>
      <c r="M896" t="s">
        <v>2328</v>
      </c>
      <c r="N896" t="s">
        <v>2329</v>
      </c>
      <c r="Q896" t="s">
        <v>3599</v>
      </c>
      <c r="R896" t="s">
        <v>3599</v>
      </c>
      <c r="S896" t="s">
        <v>3599</v>
      </c>
      <c r="T896">
        <v>1</v>
      </c>
      <c r="U896" t="s">
        <v>868</v>
      </c>
      <c r="V896">
        <v>5</v>
      </c>
      <c r="W896">
        <v>0</v>
      </c>
      <c r="X896">
        <v>0</v>
      </c>
    </row>
    <row r="897" spans="1:24" x14ac:dyDescent="0.3">
      <c r="A897" t="s">
        <v>2330</v>
      </c>
      <c r="B897" t="s">
        <v>2331</v>
      </c>
      <c r="C897">
        <v>1</v>
      </c>
      <c r="D897" t="s">
        <v>11</v>
      </c>
      <c r="E897" t="s">
        <v>21</v>
      </c>
      <c r="F897" t="s">
        <v>22</v>
      </c>
      <c r="H897" t="s">
        <v>71</v>
      </c>
      <c r="I897" t="s">
        <v>3617</v>
      </c>
      <c r="J897" t="s">
        <v>2330</v>
      </c>
      <c r="K897" t="s">
        <v>868</v>
      </c>
      <c r="L897" t="s">
        <v>3618</v>
      </c>
      <c r="M897" t="s">
        <v>2330</v>
      </c>
      <c r="N897" t="s">
        <v>2331</v>
      </c>
      <c r="Q897" t="s">
        <v>3599</v>
      </c>
      <c r="R897" t="s">
        <v>3599</v>
      </c>
      <c r="S897" t="s">
        <v>3599</v>
      </c>
      <c r="T897">
        <v>1</v>
      </c>
      <c r="U897" t="s">
        <v>868</v>
      </c>
      <c r="V897">
        <v>5</v>
      </c>
      <c r="W897">
        <v>0</v>
      </c>
      <c r="X897">
        <v>0</v>
      </c>
    </row>
    <row r="898" spans="1:24" x14ac:dyDescent="0.3">
      <c r="A898" t="s">
        <v>2332</v>
      </c>
      <c r="B898" t="s">
        <v>2333</v>
      </c>
      <c r="C898">
        <v>1</v>
      </c>
      <c r="D898" t="s">
        <v>11</v>
      </c>
      <c r="E898" t="s">
        <v>21</v>
      </c>
      <c r="F898" t="s">
        <v>22</v>
      </c>
      <c r="H898" t="s">
        <v>71</v>
      </c>
      <c r="I898" t="s">
        <v>3617</v>
      </c>
      <c r="J898" t="s">
        <v>2332</v>
      </c>
      <c r="K898" t="s">
        <v>868</v>
      </c>
      <c r="L898" t="s">
        <v>3618</v>
      </c>
      <c r="M898" t="s">
        <v>2332</v>
      </c>
      <c r="N898" t="s">
        <v>2333</v>
      </c>
      <c r="Q898" t="s">
        <v>3599</v>
      </c>
      <c r="R898" t="s">
        <v>3599</v>
      </c>
      <c r="S898" t="s">
        <v>3599</v>
      </c>
      <c r="T898">
        <v>1</v>
      </c>
      <c r="U898" t="s">
        <v>868</v>
      </c>
      <c r="V898">
        <v>5</v>
      </c>
      <c r="W898">
        <v>0</v>
      </c>
      <c r="X898">
        <v>0</v>
      </c>
    </row>
    <row r="899" spans="1:24" x14ac:dyDescent="0.3">
      <c r="A899" t="s">
        <v>2334</v>
      </c>
      <c r="B899" t="s">
        <v>2335</v>
      </c>
      <c r="C899">
        <v>1</v>
      </c>
      <c r="D899" t="s">
        <v>11</v>
      </c>
      <c r="E899" t="s">
        <v>21</v>
      </c>
      <c r="F899" t="s">
        <v>22</v>
      </c>
      <c r="H899" t="s">
        <v>71</v>
      </c>
      <c r="I899" t="s">
        <v>3617</v>
      </c>
      <c r="J899" t="s">
        <v>2334</v>
      </c>
      <c r="K899" t="s">
        <v>868</v>
      </c>
      <c r="L899" t="s">
        <v>3618</v>
      </c>
      <c r="M899" t="s">
        <v>2334</v>
      </c>
      <c r="N899" t="s">
        <v>2335</v>
      </c>
      <c r="Q899" t="s">
        <v>3599</v>
      </c>
      <c r="R899" t="s">
        <v>3599</v>
      </c>
      <c r="S899" t="s">
        <v>3599</v>
      </c>
      <c r="T899">
        <v>1</v>
      </c>
      <c r="U899" t="s">
        <v>868</v>
      </c>
      <c r="V899">
        <v>5</v>
      </c>
      <c r="W899">
        <v>0</v>
      </c>
      <c r="X899">
        <v>0</v>
      </c>
    </row>
    <row r="900" spans="1:24" x14ac:dyDescent="0.3">
      <c r="A900" t="s">
        <v>2336</v>
      </c>
      <c r="B900" t="s">
        <v>2337</v>
      </c>
      <c r="C900">
        <v>1</v>
      </c>
      <c r="D900" t="s">
        <v>11</v>
      </c>
      <c r="E900" t="s">
        <v>21</v>
      </c>
      <c r="F900" t="s">
        <v>22</v>
      </c>
      <c r="H900" t="s">
        <v>71</v>
      </c>
      <c r="I900" t="s">
        <v>3617</v>
      </c>
      <c r="J900" t="s">
        <v>2336</v>
      </c>
      <c r="K900" t="s">
        <v>868</v>
      </c>
      <c r="L900" t="s">
        <v>3618</v>
      </c>
      <c r="M900" t="s">
        <v>2336</v>
      </c>
      <c r="N900" t="s">
        <v>2337</v>
      </c>
      <c r="Q900" t="s">
        <v>3599</v>
      </c>
      <c r="R900" t="s">
        <v>3599</v>
      </c>
      <c r="S900" t="s">
        <v>3599</v>
      </c>
      <c r="T900">
        <v>1</v>
      </c>
      <c r="U900" t="s">
        <v>868</v>
      </c>
      <c r="V900">
        <v>5</v>
      </c>
      <c r="W900">
        <v>0</v>
      </c>
      <c r="X900">
        <v>0</v>
      </c>
    </row>
    <row r="901" spans="1:24" x14ac:dyDescent="0.3">
      <c r="A901" t="s">
        <v>2338</v>
      </c>
      <c r="B901" t="s">
        <v>2339</v>
      </c>
      <c r="C901">
        <v>1</v>
      </c>
      <c r="D901" t="s">
        <v>11</v>
      </c>
      <c r="E901" t="s">
        <v>21</v>
      </c>
      <c r="F901" t="s">
        <v>22</v>
      </c>
      <c r="H901" t="s">
        <v>71</v>
      </c>
      <c r="I901" t="s">
        <v>3617</v>
      </c>
      <c r="J901" t="s">
        <v>2338</v>
      </c>
      <c r="K901" t="s">
        <v>868</v>
      </c>
      <c r="L901" t="s">
        <v>3618</v>
      </c>
      <c r="M901" t="s">
        <v>2338</v>
      </c>
      <c r="N901" t="s">
        <v>2339</v>
      </c>
      <c r="Q901" t="s">
        <v>3599</v>
      </c>
      <c r="R901" t="s">
        <v>3599</v>
      </c>
      <c r="S901" t="s">
        <v>3599</v>
      </c>
      <c r="T901">
        <v>1</v>
      </c>
      <c r="U901" t="s">
        <v>868</v>
      </c>
      <c r="V901">
        <v>5</v>
      </c>
      <c r="W901">
        <v>0</v>
      </c>
      <c r="X901">
        <v>0</v>
      </c>
    </row>
    <row r="902" spans="1:24" x14ac:dyDescent="0.3">
      <c r="A902" t="s">
        <v>2340</v>
      </c>
      <c r="B902" t="s">
        <v>2341</v>
      </c>
      <c r="C902">
        <v>1</v>
      </c>
      <c r="D902" t="s">
        <v>11</v>
      </c>
      <c r="E902" t="s">
        <v>21</v>
      </c>
      <c r="F902" t="s">
        <v>22</v>
      </c>
      <c r="H902" t="s">
        <v>71</v>
      </c>
      <c r="I902" t="s">
        <v>3617</v>
      </c>
      <c r="J902" t="s">
        <v>2340</v>
      </c>
      <c r="K902" t="s">
        <v>868</v>
      </c>
      <c r="L902" t="s">
        <v>3618</v>
      </c>
      <c r="M902" t="s">
        <v>2340</v>
      </c>
      <c r="N902" t="s">
        <v>2341</v>
      </c>
      <c r="Q902" t="s">
        <v>3599</v>
      </c>
      <c r="R902" t="s">
        <v>3599</v>
      </c>
      <c r="S902" t="s">
        <v>3599</v>
      </c>
      <c r="T902">
        <v>1</v>
      </c>
      <c r="U902" t="s">
        <v>868</v>
      </c>
      <c r="V902">
        <v>5</v>
      </c>
      <c r="W902">
        <v>0</v>
      </c>
      <c r="X902">
        <v>0</v>
      </c>
    </row>
    <row r="903" spans="1:24" x14ac:dyDescent="0.3">
      <c r="A903" t="s">
        <v>2342</v>
      </c>
      <c r="B903" t="s">
        <v>2343</v>
      </c>
      <c r="C903">
        <v>1</v>
      </c>
      <c r="D903" t="s">
        <v>11</v>
      </c>
      <c r="E903" t="s">
        <v>21</v>
      </c>
      <c r="F903" t="s">
        <v>22</v>
      </c>
      <c r="H903" t="s">
        <v>71</v>
      </c>
      <c r="I903" t="s">
        <v>3617</v>
      </c>
      <c r="J903" t="s">
        <v>2342</v>
      </c>
      <c r="K903" t="s">
        <v>868</v>
      </c>
      <c r="L903" t="s">
        <v>3618</v>
      </c>
      <c r="M903" t="s">
        <v>2342</v>
      </c>
      <c r="N903" t="s">
        <v>2343</v>
      </c>
      <c r="Q903" t="s">
        <v>3599</v>
      </c>
      <c r="R903" t="s">
        <v>3599</v>
      </c>
      <c r="S903" t="s">
        <v>3599</v>
      </c>
      <c r="T903">
        <v>1</v>
      </c>
      <c r="U903" t="s">
        <v>868</v>
      </c>
      <c r="V903">
        <v>5</v>
      </c>
      <c r="W903">
        <v>0</v>
      </c>
      <c r="X903">
        <v>0</v>
      </c>
    </row>
    <row r="904" spans="1:24" x14ac:dyDescent="0.3">
      <c r="A904" t="s">
        <v>2344</v>
      </c>
      <c r="B904" t="s">
        <v>2345</v>
      </c>
      <c r="C904">
        <v>1</v>
      </c>
      <c r="D904" t="s">
        <v>11</v>
      </c>
      <c r="E904" t="s">
        <v>21</v>
      </c>
      <c r="F904" t="s">
        <v>22</v>
      </c>
      <c r="H904" t="s">
        <v>71</v>
      </c>
      <c r="I904" t="s">
        <v>3617</v>
      </c>
      <c r="J904" t="s">
        <v>2344</v>
      </c>
      <c r="K904" t="s">
        <v>868</v>
      </c>
      <c r="L904" t="s">
        <v>3618</v>
      </c>
      <c r="M904" t="s">
        <v>2344</v>
      </c>
      <c r="N904" t="s">
        <v>2345</v>
      </c>
      <c r="Q904" t="s">
        <v>3599</v>
      </c>
      <c r="R904" t="s">
        <v>3599</v>
      </c>
      <c r="S904" t="s">
        <v>3599</v>
      </c>
      <c r="T904">
        <v>1</v>
      </c>
      <c r="U904" t="s">
        <v>868</v>
      </c>
      <c r="V904">
        <v>5</v>
      </c>
      <c r="W904">
        <v>0</v>
      </c>
      <c r="X904">
        <v>0</v>
      </c>
    </row>
    <row r="905" spans="1:24" x14ac:dyDescent="0.3">
      <c r="A905" t="s">
        <v>2346</v>
      </c>
      <c r="B905" t="s">
        <v>2347</v>
      </c>
      <c r="C905">
        <v>1</v>
      </c>
      <c r="D905" t="s">
        <v>11</v>
      </c>
      <c r="E905" t="s">
        <v>21</v>
      </c>
      <c r="F905" t="s">
        <v>22</v>
      </c>
      <c r="H905" t="s">
        <v>71</v>
      </c>
      <c r="I905" t="s">
        <v>3617</v>
      </c>
      <c r="J905" t="s">
        <v>2346</v>
      </c>
      <c r="K905" t="s">
        <v>868</v>
      </c>
      <c r="L905" t="s">
        <v>3618</v>
      </c>
      <c r="M905" t="s">
        <v>2346</v>
      </c>
      <c r="N905" t="s">
        <v>2347</v>
      </c>
      <c r="Q905" t="s">
        <v>3599</v>
      </c>
      <c r="R905" t="s">
        <v>3599</v>
      </c>
      <c r="S905" t="s">
        <v>3599</v>
      </c>
      <c r="T905">
        <v>1</v>
      </c>
      <c r="U905" t="s">
        <v>868</v>
      </c>
      <c r="V905">
        <v>5</v>
      </c>
      <c r="W905">
        <v>0</v>
      </c>
      <c r="X905">
        <v>0</v>
      </c>
    </row>
    <row r="906" spans="1:24" x14ac:dyDescent="0.3">
      <c r="A906" t="s">
        <v>2348</v>
      </c>
      <c r="B906" t="s">
        <v>2349</v>
      </c>
      <c r="C906">
        <v>1</v>
      </c>
      <c r="D906" t="s">
        <v>11</v>
      </c>
      <c r="E906" t="s">
        <v>21</v>
      </c>
      <c r="F906" t="s">
        <v>22</v>
      </c>
      <c r="H906" t="s">
        <v>71</v>
      </c>
      <c r="I906" t="s">
        <v>3617</v>
      </c>
      <c r="J906" t="s">
        <v>2348</v>
      </c>
      <c r="K906" t="s">
        <v>868</v>
      </c>
      <c r="L906" t="s">
        <v>3618</v>
      </c>
      <c r="M906" t="s">
        <v>2348</v>
      </c>
      <c r="N906" t="s">
        <v>2349</v>
      </c>
      <c r="O906" t="s">
        <v>2350</v>
      </c>
      <c r="Q906" t="s">
        <v>3599</v>
      </c>
      <c r="R906" t="s">
        <v>3599</v>
      </c>
      <c r="S906" t="s">
        <v>3599</v>
      </c>
      <c r="T906">
        <v>1</v>
      </c>
      <c r="U906" t="s">
        <v>868</v>
      </c>
      <c r="V906">
        <v>5</v>
      </c>
      <c r="W906">
        <v>0</v>
      </c>
      <c r="X906">
        <v>0</v>
      </c>
    </row>
    <row r="907" spans="1:24" x14ac:dyDescent="0.3">
      <c r="A907" t="s">
        <v>2351</v>
      </c>
      <c r="B907" t="s">
        <v>2352</v>
      </c>
      <c r="C907">
        <v>1</v>
      </c>
      <c r="D907" t="s">
        <v>11</v>
      </c>
      <c r="E907" t="s">
        <v>21</v>
      </c>
      <c r="F907" t="s">
        <v>22</v>
      </c>
      <c r="H907" t="s">
        <v>71</v>
      </c>
      <c r="I907" t="s">
        <v>3617</v>
      </c>
      <c r="K907" t="s">
        <v>868</v>
      </c>
      <c r="L907" t="s">
        <v>3618</v>
      </c>
      <c r="N907" t="s">
        <v>2352</v>
      </c>
      <c r="Q907" t="s">
        <v>3599</v>
      </c>
      <c r="R907" t="s">
        <v>3599</v>
      </c>
      <c r="S907" t="s">
        <v>3599</v>
      </c>
      <c r="T907">
        <v>1</v>
      </c>
      <c r="U907" t="s">
        <v>868</v>
      </c>
      <c r="V907">
        <v>5</v>
      </c>
      <c r="W907">
        <v>0</v>
      </c>
      <c r="X907">
        <v>0</v>
      </c>
    </row>
    <row r="908" spans="1:24" x14ac:dyDescent="0.3">
      <c r="A908" t="s">
        <v>2353</v>
      </c>
      <c r="B908" t="s">
        <v>1354</v>
      </c>
      <c r="C908">
        <v>1</v>
      </c>
      <c r="D908" t="s">
        <v>11</v>
      </c>
      <c r="E908" t="s">
        <v>21</v>
      </c>
      <c r="F908" t="s">
        <v>22</v>
      </c>
      <c r="H908" t="s">
        <v>71</v>
      </c>
      <c r="I908" t="s">
        <v>3617</v>
      </c>
      <c r="K908" t="s">
        <v>868</v>
      </c>
      <c r="L908" t="s">
        <v>3618</v>
      </c>
      <c r="N908" t="s">
        <v>1354</v>
      </c>
      <c r="Q908" t="s">
        <v>3599</v>
      </c>
      <c r="R908" t="s">
        <v>3599</v>
      </c>
      <c r="S908" t="s">
        <v>3599</v>
      </c>
      <c r="T908">
        <v>1</v>
      </c>
      <c r="U908" t="s">
        <v>868</v>
      </c>
      <c r="V908">
        <v>5</v>
      </c>
      <c r="W908">
        <v>0</v>
      </c>
      <c r="X908">
        <v>0</v>
      </c>
    </row>
    <row r="909" spans="1:24" x14ac:dyDescent="0.3">
      <c r="A909" t="s">
        <v>2354</v>
      </c>
      <c r="B909" t="s">
        <v>2355</v>
      </c>
      <c r="C909">
        <v>1</v>
      </c>
      <c r="D909" t="s">
        <v>11</v>
      </c>
      <c r="E909" t="s">
        <v>21</v>
      </c>
      <c r="F909" t="s">
        <v>22</v>
      </c>
      <c r="H909" t="s">
        <v>71</v>
      </c>
      <c r="I909" t="s">
        <v>3617</v>
      </c>
      <c r="K909" t="s">
        <v>868</v>
      </c>
      <c r="L909" t="s">
        <v>3618</v>
      </c>
      <c r="N909" t="s">
        <v>2355</v>
      </c>
      <c r="Q909" t="s">
        <v>3599</v>
      </c>
      <c r="R909" t="s">
        <v>3599</v>
      </c>
      <c r="S909" t="s">
        <v>3599</v>
      </c>
      <c r="T909">
        <v>1</v>
      </c>
      <c r="U909" t="s">
        <v>868</v>
      </c>
      <c r="V909">
        <v>5</v>
      </c>
      <c r="W909">
        <v>0</v>
      </c>
      <c r="X909">
        <v>0</v>
      </c>
    </row>
    <row r="910" spans="1:24" x14ac:dyDescent="0.3">
      <c r="A910" t="s">
        <v>2356</v>
      </c>
      <c r="B910" t="s">
        <v>2357</v>
      </c>
      <c r="C910">
        <v>1</v>
      </c>
      <c r="D910" t="s">
        <v>11</v>
      </c>
      <c r="E910" t="s">
        <v>21</v>
      </c>
      <c r="F910" t="s">
        <v>22</v>
      </c>
      <c r="H910" t="s">
        <v>71</v>
      </c>
      <c r="I910" t="s">
        <v>3617</v>
      </c>
      <c r="K910" t="s">
        <v>868</v>
      </c>
      <c r="L910" t="s">
        <v>3618</v>
      </c>
      <c r="N910" t="s">
        <v>2357</v>
      </c>
      <c r="Q910" t="s">
        <v>3599</v>
      </c>
      <c r="R910" t="s">
        <v>3599</v>
      </c>
      <c r="S910" t="s">
        <v>3599</v>
      </c>
      <c r="T910">
        <v>1</v>
      </c>
      <c r="U910" t="s">
        <v>868</v>
      </c>
      <c r="V910">
        <v>5</v>
      </c>
      <c r="W910">
        <v>0</v>
      </c>
      <c r="X910">
        <v>0</v>
      </c>
    </row>
    <row r="911" spans="1:24" x14ac:dyDescent="0.3">
      <c r="A911" t="s">
        <v>2358</v>
      </c>
      <c r="B911" t="s">
        <v>2359</v>
      </c>
      <c r="C911">
        <v>1</v>
      </c>
      <c r="D911" t="s">
        <v>11</v>
      </c>
      <c r="E911" t="s">
        <v>21</v>
      </c>
      <c r="F911" t="s">
        <v>22</v>
      </c>
      <c r="H911" t="s">
        <v>71</v>
      </c>
      <c r="I911" t="s">
        <v>3617</v>
      </c>
      <c r="J911" t="s">
        <v>2358</v>
      </c>
      <c r="K911" t="s">
        <v>868</v>
      </c>
      <c r="L911" t="s">
        <v>3618</v>
      </c>
      <c r="M911" t="s">
        <v>2358</v>
      </c>
      <c r="N911" t="s">
        <v>2359</v>
      </c>
      <c r="Q911" t="s">
        <v>3599</v>
      </c>
      <c r="R911" t="s">
        <v>3599</v>
      </c>
      <c r="S911" t="s">
        <v>3599</v>
      </c>
      <c r="T911">
        <v>1</v>
      </c>
      <c r="U911" t="s">
        <v>868</v>
      </c>
      <c r="V911">
        <v>5</v>
      </c>
      <c r="W911">
        <v>0</v>
      </c>
      <c r="X911">
        <v>0</v>
      </c>
    </row>
    <row r="912" spans="1:24" x14ac:dyDescent="0.3">
      <c r="A912" t="s">
        <v>2360</v>
      </c>
      <c r="B912" t="s">
        <v>2361</v>
      </c>
      <c r="C912">
        <v>1</v>
      </c>
      <c r="D912" t="s">
        <v>11</v>
      </c>
      <c r="E912" t="s">
        <v>21</v>
      </c>
      <c r="F912" t="s">
        <v>22</v>
      </c>
      <c r="H912" t="s">
        <v>71</v>
      </c>
      <c r="I912" t="s">
        <v>3617</v>
      </c>
      <c r="J912" t="s">
        <v>2360</v>
      </c>
      <c r="K912" t="s">
        <v>868</v>
      </c>
      <c r="L912" t="s">
        <v>3618</v>
      </c>
      <c r="M912" t="s">
        <v>2360</v>
      </c>
      <c r="N912" t="s">
        <v>2361</v>
      </c>
      <c r="Q912" t="s">
        <v>3599</v>
      </c>
      <c r="R912" t="s">
        <v>3599</v>
      </c>
      <c r="S912" t="s">
        <v>3599</v>
      </c>
      <c r="T912">
        <v>1</v>
      </c>
      <c r="U912" t="s">
        <v>868</v>
      </c>
      <c r="V912">
        <v>5</v>
      </c>
      <c r="W912">
        <v>0</v>
      </c>
      <c r="X912">
        <v>0</v>
      </c>
    </row>
    <row r="913" spans="1:24" x14ac:dyDescent="0.3">
      <c r="A913" t="s">
        <v>2362</v>
      </c>
      <c r="B913" t="s">
        <v>2363</v>
      </c>
      <c r="C913">
        <v>1</v>
      </c>
      <c r="D913" t="s">
        <v>11</v>
      </c>
      <c r="E913" t="s">
        <v>21</v>
      </c>
      <c r="F913" t="s">
        <v>22</v>
      </c>
      <c r="H913" t="s">
        <v>71</v>
      </c>
      <c r="I913" t="s">
        <v>3617</v>
      </c>
      <c r="J913" t="s">
        <v>2362</v>
      </c>
      <c r="K913" t="s">
        <v>868</v>
      </c>
      <c r="L913" t="s">
        <v>3618</v>
      </c>
      <c r="M913" t="s">
        <v>2362</v>
      </c>
      <c r="N913" t="s">
        <v>2363</v>
      </c>
      <c r="Q913" t="s">
        <v>3599</v>
      </c>
      <c r="R913" t="s">
        <v>3599</v>
      </c>
      <c r="S913" t="s">
        <v>3599</v>
      </c>
      <c r="T913">
        <v>1</v>
      </c>
      <c r="U913" t="s">
        <v>868</v>
      </c>
      <c r="V913">
        <v>5</v>
      </c>
      <c r="W913">
        <v>0</v>
      </c>
      <c r="X913">
        <v>0</v>
      </c>
    </row>
    <row r="914" spans="1:24" x14ac:dyDescent="0.3">
      <c r="A914" t="s">
        <v>2364</v>
      </c>
      <c r="B914" t="s">
        <v>2365</v>
      </c>
      <c r="C914">
        <v>1</v>
      </c>
      <c r="D914" t="s">
        <v>11</v>
      </c>
      <c r="E914" t="s">
        <v>21</v>
      </c>
      <c r="F914" t="s">
        <v>22</v>
      </c>
      <c r="H914" t="s">
        <v>71</v>
      </c>
      <c r="I914" t="s">
        <v>3617</v>
      </c>
      <c r="J914" t="s">
        <v>2364</v>
      </c>
      <c r="K914" t="s">
        <v>868</v>
      </c>
      <c r="L914" t="s">
        <v>3618</v>
      </c>
      <c r="M914" t="s">
        <v>2364</v>
      </c>
      <c r="N914" t="s">
        <v>2365</v>
      </c>
      <c r="O914" t="s">
        <v>2366</v>
      </c>
      <c r="Q914" t="s">
        <v>3599</v>
      </c>
      <c r="R914" t="s">
        <v>3599</v>
      </c>
      <c r="S914" t="s">
        <v>3599</v>
      </c>
      <c r="T914">
        <v>1</v>
      </c>
      <c r="U914" t="s">
        <v>868</v>
      </c>
      <c r="V914">
        <v>5</v>
      </c>
      <c r="W914">
        <v>0</v>
      </c>
      <c r="X914">
        <v>0</v>
      </c>
    </row>
    <row r="915" spans="1:24" x14ac:dyDescent="0.3">
      <c r="A915" t="s">
        <v>2367</v>
      </c>
      <c r="B915" t="s">
        <v>2368</v>
      </c>
      <c r="C915">
        <v>1</v>
      </c>
      <c r="D915" t="s">
        <v>11</v>
      </c>
      <c r="E915" t="s">
        <v>21</v>
      </c>
      <c r="F915" t="s">
        <v>22</v>
      </c>
      <c r="H915" t="s">
        <v>71</v>
      </c>
      <c r="I915" t="s">
        <v>3617</v>
      </c>
      <c r="J915" t="s">
        <v>2367</v>
      </c>
      <c r="K915" t="s">
        <v>868</v>
      </c>
      <c r="L915" t="s">
        <v>3618</v>
      </c>
      <c r="M915" t="s">
        <v>2367</v>
      </c>
      <c r="N915" t="s">
        <v>2368</v>
      </c>
      <c r="Q915" t="s">
        <v>3599</v>
      </c>
      <c r="R915" t="s">
        <v>3599</v>
      </c>
      <c r="S915" t="s">
        <v>3599</v>
      </c>
      <c r="T915">
        <v>1</v>
      </c>
      <c r="U915" t="s">
        <v>868</v>
      </c>
      <c r="V915">
        <v>5</v>
      </c>
      <c r="W915">
        <v>0</v>
      </c>
      <c r="X915">
        <v>0</v>
      </c>
    </row>
    <row r="916" spans="1:24" x14ac:dyDescent="0.3">
      <c r="A916" t="s">
        <v>2369</v>
      </c>
      <c r="B916" t="s">
        <v>2370</v>
      </c>
      <c r="C916">
        <v>1</v>
      </c>
      <c r="D916" t="s">
        <v>11</v>
      </c>
      <c r="E916" t="s">
        <v>21</v>
      </c>
      <c r="F916" t="s">
        <v>22</v>
      </c>
      <c r="H916" t="s">
        <v>71</v>
      </c>
      <c r="I916" t="s">
        <v>3617</v>
      </c>
      <c r="J916" t="s">
        <v>2369</v>
      </c>
      <c r="K916" t="s">
        <v>868</v>
      </c>
      <c r="L916" t="s">
        <v>3618</v>
      </c>
      <c r="M916" t="s">
        <v>2369</v>
      </c>
      <c r="N916" t="s">
        <v>2370</v>
      </c>
      <c r="Q916" t="s">
        <v>3599</v>
      </c>
      <c r="R916" t="s">
        <v>3599</v>
      </c>
      <c r="S916" t="s">
        <v>3599</v>
      </c>
      <c r="T916">
        <v>1</v>
      </c>
      <c r="U916" t="s">
        <v>868</v>
      </c>
      <c r="V916">
        <v>5</v>
      </c>
      <c r="W916">
        <v>0</v>
      </c>
      <c r="X916">
        <v>0</v>
      </c>
    </row>
    <row r="917" spans="1:24" x14ac:dyDescent="0.3">
      <c r="A917" t="s">
        <v>2371</v>
      </c>
      <c r="B917" t="s">
        <v>2372</v>
      </c>
      <c r="C917">
        <v>1</v>
      </c>
      <c r="D917" t="s">
        <v>11</v>
      </c>
      <c r="E917" t="s">
        <v>21</v>
      </c>
      <c r="F917" t="s">
        <v>22</v>
      </c>
      <c r="H917" t="s">
        <v>71</v>
      </c>
      <c r="I917" t="s">
        <v>3617</v>
      </c>
      <c r="J917" t="s">
        <v>2371</v>
      </c>
      <c r="K917" t="s">
        <v>868</v>
      </c>
      <c r="L917" t="s">
        <v>3618</v>
      </c>
      <c r="M917" t="s">
        <v>2371</v>
      </c>
      <c r="N917" t="s">
        <v>2372</v>
      </c>
      <c r="Q917" t="s">
        <v>3599</v>
      </c>
      <c r="R917" t="s">
        <v>3599</v>
      </c>
      <c r="S917" t="s">
        <v>3599</v>
      </c>
      <c r="T917">
        <v>1</v>
      </c>
      <c r="U917" t="s">
        <v>868</v>
      </c>
      <c r="V917">
        <v>5</v>
      </c>
      <c r="W917">
        <v>0</v>
      </c>
      <c r="X917">
        <v>0</v>
      </c>
    </row>
    <row r="918" spans="1:24" x14ac:dyDescent="0.3">
      <c r="A918" t="s">
        <v>2373</v>
      </c>
      <c r="B918" t="s">
        <v>2374</v>
      </c>
      <c r="C918">
        <v>1</v>
      </c>
      <c r="D918" t="s">
        <v>11</v>
      </c>
      <c r="E918" t="s">
        <v>21</v>
      </c>
      <c r="F918" t="s">
        <v>22</v>
      </c>
      <c r="H918" t="s">
        <v>71</v>
      </c>
      <c r="I918" t="s">
        <v>3617</v>
      </c>
      <c r="J918" t="s">
        <v>2373</v>
      </c>
      <c r="K918" t="s">
        <v>868</v>
      </c>
      <c r="L918" t="s">
        <v>3618</v>
      </c>
      <c r="M918" t="s">
        <v>2373</v>
      </c>
      <c r="N918" t="s">
        <v>2374</v>
      </c>
      <c r="O918" t="s">
        <v>2375</v>
      </c>
      <c r="Q918" t="s">
        <v>3599</v>
      </c>
      <c r="R918" t="s">
        <v>3599</v>
      </c>
      <c r="S918" t="s">
        <v>3599</v>
      </c>
      <c r="T918">
        <v>1</v>
      </c>
      <c r="U918" t="s">
        <v>868</v>
      </c>
      <c r="V918">
        <v>5</v>
      </c>
      <c r="W918">
        <v>0</v>
      </c>
      <c r="X918">
        <v>0</v>
      </c>
    </row>
    <row r="919" spans="1:24" x14ac:dyDescent="0.3">
      <c r="A919" t="s">
        <v>2376</v>
      </c>
      <c r="B919" t="s">
        <v>2377</v>
      </c>
      <c r="C919">
        <v>1</v>
      </c>
      <c r="D919" t="s">
        <v>11</v>
      </c>
      <c r="E919" t="s">
        <v>21</v>
      </c>
      <c r="F919" t="s">
        <v>22</v>
      </c>
      <c r="H919" t="s">
        <v>71</v>
      </c>
      <c r="I919" t="s">
        <v>3617</v>
      </c>
      <c r="J919" t="s">
        <v>2376</v>
      </c>
      <c r="K919" t="s">
        <v>868</v>
      </c>
      <c r="L919" t="s">
        <v>3618</v>
      </c>
      <c r="M919" t="s">
        <v>2376</v>
      </c>
      <c r="N919" t="s">
        <v>2377</v>
      </c>
      <c r="Q919" t="s">
        <v>3599</v>
      </c>
      <c r="R919" t="s">
        <v>3599</v>
      </c>
      <c r="S919" t="s">
        <v>3599</v>
      </c>
      <c r="T919">
        <v>1</v>
      </c>
      <c r="U919" t="s">
        <v>868</v>
      </c>
      <c r="V919">
        <v>5</v>
      </c>
      <c r="W919">
        <v>0</v>
      </c>
      <c r="X919">
        <v>0</v>
      </c>
    </row>
    <row r="920" spans="1:24" x14ac:dyDescent="0.3">
      <c r="A920" t="s">
        <v>2378</v>
      </c>
      <c r="B920" t="s">
        <v>2379</v>
      </c>
      <c r="C920">
        <v>1</v>
      </c>
      <c r="D920" t="s">
        <v>11</v>
      </c>
      <c r="E920" t="s">
        <v>21</v>
      </c>
      <c r="F920" t="s">
        <v>22</v>
      </c>
      <c r="H920" t="s">
        <v>71</v>
      </c>
      <c r="I920" t="s">
        <v>3617</v>
      </c>
      <c r="J920" t="s">
        <v>2378</v>
      </c>
      <c r="K920" t="s">
        <v>868</v>
      </c>
      <c r="L920" t="s">
        <v>3618</v>
      </c>
      <c r="M920" t="s">
        <v>2378</v>
      </c>
      <c r="N920" t="s">
        <v>2379</v>
      </c>
      <c r="Q920" t="s">
        <v>3599</v>
      </c>
      <c r="R920" t="s">
        <v>3599</v>
      </c>
      <c r="S920" t="s">
        <v>3599</v>
      </c>
      <c r="T920">
        <v>1</v>
      </c>
      <c r="U920" t="s">
        <v>868</v>
      </c>
      <c r="V920">
        <v>5</v>
      </c>
      <c r="W920">
        <v>0</v>
      </c>
      <c r="X920">
        <v>0</v>
      </c>
    </row>
    <row r="921" spans="1:24" x14ac:dyDescent="0.3">
      <c r="A921" t="s">
        <v>2380</v>
      </c>
      <c r="B921" t="s">
        <v>2381</v>
      </c>
      <c r="C921">
        <v>1</v>
      </c>
      <c r="D921" t="s">
        <v>11</v>
      </c>
      <c r="E921" t="s">
        <v>21</v>
      </c>
      <c r="F921" t="s">
        <v>22</v>
      </c>
      <c r="H921" t="s">
        <v>71</v>
      </c>
      <c r="I921" t="s">
        <v>3617</v>
      </c>
      <c r="J921" t="s">
        <v>2380</v>
      </c>
      <c r="K921" t="s">
        <v>868</v>
      </c>
      <c r="L921" t="s">
        <v>3618</v>
      </c>
      <c r="M921" t="s">
        <v>2380</v>
      </c>
      <c r="N921" t="s">
        <v>2381</v>
      </c>
      <c r="Q921" t="s">
        <v>3599</v>
      </c>
      <c r="R921" t="s">
        <v>3599</v>
      </c>
      <c r="S921" t="s">
        <v>3599</v>
      </c>
      <c r="T921">
        <v>1</v>
      </c>
      <c r="U921" t="s">
        <v>868</v>
      </c>
      <c r="V921">
        <v>5</v>
      </c>
      <c r="W921">
        <v>0</v>
      </c>
      <c r="X921">
        <v>0</v>
      </c>
    </row>
    <row r="922" spans="1:24" x14ac:dyDescent="0.3">
      <c r="A922" t="s">
        <v>2382</v>
      </c>
      <c r="B922" t="s">
        <v>2383</v>
      </c>
      <c r="C922">
        <v>1</v>
      </c>
      <c r="D922" t="s">
        <v>11</v>
      </c>
      <c r="E922" t="s">
        <v>21</v>
      </c>
      <c r="F922" t="s">
        <v>22</v>
      </c>
      <c r="H922" t="s">
        <v>71</v>
      </c>
      <c r="I922" t="s">
        <v>3617</v>
      </c>
      <c r="K922" t="s">
        <v>868</v>
      </c>
      <c r="L922" t="s">
        <v>3618</v>
      </c>
      <c r="N922" t="s">
        <v>2383</v>
      </c>
      <c r="Q922" t="s">
        <v>3599</v>
      </c>
      <c r="R922" t="s">
        <v>3599</v>
      </c>
      <c r="S922" t="s">
        <v>3599</v>
      </c>
      <c r="T922">
        <v>1</v>
      </c>
      <c r="U922" t="s">
        <v>868</v>
      </c>
      <c r="V922">
        <v>5</v>
      </c>
      <c r="W922">
        <v>0</v>
      </c>
      <c r="X922">
        <v>0</v>
      </c>
    </row>
    <row r="923" spans="1:24" x14ac:dyDescent="0.3">
      <c r="A923" t="s">
        <v>2384</v>
      </c>
      <c r="B923" t="s">
        <v>2385</v>
      </c>
      <c r="C923">
        <v>1</v>
      </c>
      <c r="D923" t="s">
        <v>11</v>
      </c>
      <c r="E923" t="s">
        <v>21</v>
      </c>
      <c r="F923" t="s">
        <v>22</v>
      </c>
      <c r="H923" t="s">
        <v>71</v>
      </c>
      <c r="I923" t="s">
        <v>3617</v>
      </c>
      <c r="J923" t="s">
        <v>2384</v>
      </c>
      <c r="K923" t="s">
        <v>868</v>
      </c>
      <c r="L923" t="s">
        <v>3618</v>
      </c>
      <c r="M923" t="s">
        <v>2384</v>
      </c>
      <c r="N923" t="s">
        <v>2385</v>
      </c>
      <c r="Q923" t="s">
        <v>3599</v>
      </c>
      <c r="R923" t="s">
        <v>3599</v>
      </c>
      <c r="S923" t="s">
        <v>3599</v>
      </c>
      <c r="T923">
        <v>1</v>
      </c>
      <c r="U923" t="s">
        <v>868</v>
      </c>
      <c r="V923">
        <v>5</v>
      </c>
      <c r="W923">
        <v>0</v>
      </c>
      <c r="X923">
        <v>0</v>
      </c>
    </row>
    <row r="924" spans="1:24" x14ac:dyDescent="0.3">
      <c r="A924" t="s">
        <v>2386</v>
      </c>
      <c r="B924" t="s">
        <v>2387</v>
      </c>
      <c r="C924">
        <v>1</v>
      </c>
      <c r="D924" t="s">
        <v>11</v>
      </c>
      <c r="E924" t="s">
        <v>21</v>
      </c>
      <c r="F924" t="s">
        <v>22</v>
      </c>
      <c r="H924" t="s">
        <v>71</v>
      </c>
      <c r="I924" t="s">
        <v>3617</v>
      </c>
      <c r="J924" t="s">
        <v>2386</v>
      </c>
      <c r="K924" t="s">
        <v>868</v>
      </c>
      <c r="L924" t="s">
        <v>3618</v>
      </c>
      <c r="M924" t="s">
        <v>2386</v>
      </c>
      <c r="N924" t="s">
        <v>2387</v>
      </c>
      <c r="Q924" t="s">
        <v>3599</v>
      </c>
      <c r="R924" t="s">
        <v>3599</v>
      </c>
      <c r="S924" t="s">
        <v>3599</v>
      </c>
      <c r="T924">
        <v>1</v>
      </c>
      <c r="U924" t="s">
        <v>868</v>
      </c>
      <c r="V924">
        <v>5</v>
      </c>
      <c r="W924">
        <v>0</v>
      </c>
      <c r="X924">
        <v>0</v>
      </c>
    </row>
    <row r="925" spans="1:24" x14ac:dyDescent="0.3">
      <c r="A925" t="s">
        <v>2388</v>
      </c>
      <c r="B925" t="s">
        <v>2389</v>
      </c>
      <c r="C925">
        <v>1</v>
      </c>
      <c r="D925" t="s">
        <v>11</v>
      </c>
      <c r="E925" t="s">
        <v>21</v>
      </c>
      <c r="F925" t="s">
        <v>22</v>
      </c>
      <c r="H925" t="s">
        <v>71</v>
      </c>
      <c r="I925" t="s">
        <v>3617</v>
      </c>
      <c r="J925" t="s">
        <v>2388</v>
      </c>
      <c r="K925" t="s">
        <v>868</v>
      </c>
      <c r="L925" t="s">
        <v>3618</v>
      </c>
      <c r="M925" t="s">
        <v>2388</v>
      </c>
      <c r="N925" t="s">
        <v>2389</v>
      </c>
      <c r="Q925" t="s">
        <v>3599</v>
      </c>
      <c r="R925" t="s">
        <v>3599</v>
      </c>
      <c r="S925" t="s">
        <v>3599</v>
      </c>
      <c r="T925">
        <v>1</v>
      </c>
      <c r="U925" t="s">
        <v>868</v>
      </c>
      <c r="V925">
        <v>5</v>
      </c>
      <c r="W925">
        <v>0</v>
      </c>
      <c r="X925">
        <v>0</v>
      </c>
    </row>
    <row r="926" spans="1:24" x14ac:dyDescent="0.3">
      <c r="A926" t="s">
        <v>2390</v>
      </c>
      <c r="B926" t="s">
        <v>2391</v>
      </c>
      <c r="C926">
        <v>1</v>
      </c>
      <c r="D926" t="s">
        <v>11</v>
      </c>
      <c r="E926" t="s">
        <v>21</v>
      </c>
      <c r="F926" t="s">
        <v>22</v>
      </c>
      <c r="H926" t="s">
        <v>71</v>
      </c>
      <c r="I926" t="s">
        <v>3617</v>
      </c>
      <c r="J926" t="s">
        <v>2390</v>
      </c>
      <c r="K926" t="s">
        <v>868</v>
      </c>
      <c r="L926" t="s">
        <v>3618</v>
      </c>
      <c r="M926" t="s">
        <v>2390</v>
      </c>
      <c r="N926" t="s">
        <v>2391</v>
      </c>
      <c r="Q926" t="s">
        <v>3599</v>
      </c>
      <c r="R926" t="s">
        <v>3599</v>
      </c>
      <c r="S926" t="s">
        <v>3599</v>
      </c>
      <c r="T926">
        <v>1</v>
      </c>
      <c r="U926" t="s">
        <v>868</v>
      </c>
      <c r="V926">
        <v>5</v>
      </c>
      <c r="W926">
        <v>0</v>
      </c>
      <c r="X926">
        <v>0</v>
      </c>
    </row>
    <row r="927" spans="1:24" x14ac:dyDescent="0.3">
      <c r="A927" t="s">
        <v>2392</v>
      </c>
      <c r="B927" t="s">
        <v>2393</v>
      </c>
      <c r="C927">
        <v>1</v>
      </c>
      <c r="D927" t="s">
        <v>11</v>
      </c>
      <c r="E927" t="s">
        <v>21</v>
      </c>
      <c r="F927" t="s">
        <v>22</v>
      </c>
      <c r="H927" t="s">
        <v>71</v>
      </c>
      <c r="I927" t="s">
        <v>3617</v>
      </c>
      <c r="J927" t="s">
        <v>2392</v>
      </c>
      <c r="K927" t="s">
        <v>868</v>
      </c>
      <c r="L927" t="s">
        <v>3618</v>
      </c>
      <c r="M927" t="s">
        <v>2392</v>
      </c>
      <c r="N927" t="s">
        <v>2393</v>
      </c>
      <c r="Q927" t="s">
        <v>3599</v>
      </c>
      <c r="R927" t="s">
        <v>3599</v>
      </c>
      <c r="S927" t="s">
        <v>3599</v>
      </c>
      <c r="T927">
        <v>1</v>
      </c>
      <c r="U927" t="s">
        <v>868</v>
      </c>
      <c r="V927">
        <v>5</v>
      </c>
      <c r="W927">
        <v>0</v>
      </c>
      <c r="X927">
        <v>0</v>
      </c>
    </row>
    <row r="928" spans="1:24" x14ac:dyDescent="0.3">
      <c r="A928" t="s">
        <v>2394</v>
      </c>
      <c r="B928" t="s">
        <v>1718</v>
      </c>
      <c r="C928">
        <v>1</v>
      </c>
      <c r="D928" t="s">
        <v>11</v>
      </c>
      <c r="E928" t="s">
        <v>21</v>
      </c>
      <c r="F928" t="s">
        <v>22</v>
      </c>
      <c r="H928" t="s">
        <v>71</v>
      </c>
      <c r="I928" t="s">
        <v>3617</v>
      </c>
      <c r="J928" t="s">
        <v>2394</v>
      </c>
      <c r="K928" t="s">
        <v>868</v>
      </c>
      <c r="L928" t="s">
        <v>3618</v>
      </c>
      <c r="M928" t="s">
        <v>2394</v>
      </c>
      <c r="N928" t="s">
        <v>1718</v>
      </c>
      <c r="O928" t="s">
        <v>2395</v>
      </c>
      <c r="Q928" t="s">
        <v>3599</v>
      </c>
      <c r="R928" t="s">
        <v>3599</v>
      </c>
      <c r="S928" t="s">
        <v>3599</v>
      </c>
      <c r="T928">
        <v>1</v>
      </c>
      <c r="U928" t="s">
        <v>868</v>
      </c>
      <c r="V928">
        <v>5</v>
      </c>
      <c r="W928">
        <v>0</v>
      </c>
      <c r="X928">
        <v>0</v>
      </c>
    </row>
    <row r="929" spans="1:24" x14ac:dyDescent="0.3">
      <c r="A929" t="s">
        <v>2396</v>
      </c>
      <c r="B929" t="s">
        <v>2397</v>
      </c>
      <c r="C929">
        <v>1</v>
      </c>
      <c r="D929" t="s">
        <v>11</v>
      </c>
      <c r="E929" t="s">
        <v>21</v>
      </c>
      <c r="F929" t="s">
        <v>22</v>
      </c>
      <c r="H929" t="s">
        <v>71</v>
      </c>
      <c r="I929" t="s">
        <v>3617</v>
      </c>
      <c r="J929" t="s">
        <v>2396</v>
      </c>
      <c r="K929" t="s">
        <v>868</v>
      </c>
      <c r="L929" t="s">
        <v>3618</v>
      </c>
      <c r="M929" t="s">
        <v>2396</v>
      </c>
      <c r="N929" t="s">
        <v>2397</v>
      </c>
      <c r="Q929" t="s">
        <v>3599</v>
      </c>
      <c r="R929" t="s">
        <v>3599</v>
      </c>
      <c r="S929" t="s">
        <v>3599</v>
      </c>
      <c r="T929">
        <v>1</v>
      </c>
      <c r="U929" t="s">
        <v>868</v>
      </c>
      <c r="V929">
        <v>5</v>
      </c>
      <c r="W929">
        <v>0</v>
      </c>
      <c r="X929">
        <v>0</v>
      </c>
    </row>
    <row r="930" spans="1:24" x14ac:dyDescent="0.3">
      <c r="A930" t="s">
        <v>2398</v>
      </c>
      <c r="B930" t="s">
        <v>2399</v>
      </c>
      <c r="C930">
        <v>1</v>
      </c>
      <c r="D930" t="s">
        <v>11</v>
      </c>
      <c r="E930" t="s">
        <v>21</v>
      </c>
      <c r="F930" t="s">
        <v>22</v>
      </c>
      <c r="H930" t="s">
        <v>71</v>
      </c>
      <c r="I930" t="s">
        <v>3617</v>
      </c>
      <c r="J930" t="s">
        <v>2398</v>
      </c>
      <c r="K930" t="s">
        <v>868</v>
      </c>
      <c r="L930" t="s">
        <v>3618</v>
      </c>
      <c r="M930" t="s">
        <v>2398</v>
      </c>
      <c r="N930" t="s">
        <v>2399</v>
      </c>
      <c r="Q930" t="s">
        <v>3599</v>
      </c>
      <c r="R930" t="s">
        <v>3599</v>
      </c>
      <c r="S930" t="s">
        <v>3599</v>
      </c>
      <c r="T930">
        <v>1</v>
      </c>
      <c r="U930" t="s">
        <v>868</v>
      </c>
      <c r="V930">
        <v>5</v>
      </c>
      <c r="W930">
        <v>0</v>
      </c>
      <c r="X930">
        <v>0</v>
      </c>
    </row>
    <row r="931" spans="1:24" x14ac:dyDescent="0.3">
      <c r="A931" t="s">
        <v>2400</v>
      </c>
      <c r="B931" t="s">
        <v>2401</v>
      </c>
      <c r="C931">
        <v>1</v>
      </c>
      <c r="D931" t="s">
        <v>11</v>
      </c>
      <c r="E931" t="s">
        <v>21</v>
      </c>
      <c r="F931" t="s">
        <v>22</v>
      </c>
      <c r="H931" t="s">
        <v>71</v>
      </c>
      <c r="I931" t="s">
        <v>3617</v>
      </c>
      <c r="K931" t="s">
        <v>868</v>
      </c>
      <c r="L931" t="s">
        <v>3618</v>
      </c>
      <c r="N931" t="s">
        <v>2401</v>
      </c>
      <c r="Q931" t="s">
        <v>3599</v>
      </c>
      <c r="R931" t="s">
        <v>3599</v>
      </c>
      <c r="S931" t="s">
        <v>3599</v>
      </c>
      <c r="T931">
        <v>1</v>
      </c>
      <c r="U931" t="s">
        <v>868</v>
      </c>
      <c r="V931">
        <v>5</v>
      </c>
      <c r="W931">
        <v>0</v>
      </c>
      <c r="X931">
        <v>0</v>
      </c>
    </row>
    <row r="932" spans="1:24" x14ac:dyDescent="0.3">
      <c r="A932" t="s">
        <v>2402</v>
      </c>
      <c r="B932" t="s">
        <v>2403</v>
      </c>
      <c r="C932">
        <v>1</v>
      </c>
      <c r="D932" t="s">
        <v>11</v>
      </c>
      <c r="E932" t="s">
        <v>21</v>
      </c>
      <c r="F932" t="s">
        <v>22</v>
      </c>
      <c r="H932" t="s">
        <v>71</v>
      </c>
      <c r="I932" t="s">
        <v>3617</v>
      </c>
      <c r="J932" t="s">
        <v>2402</v>
      </c>
      <c r="K932" t="s">
        <v>868</v>
      </c>
      <c r="L932" t="s">
        <v>3618</v>
      </c>
      <c r="M932" t="s">
        <v>2402</v>
      </c>
      <c r="N932" t="s">
        <v>2403</v>
      </c>
      <c r="Q932" t="s">
        <v>3599</v>
      </c>
      <c r="R932" t="s">
        <v>3599</v>
      </c>
      <c r="S932" t="s">
        <v>3599</v>
      </c>
      <c r="T932">
        <v>1</v>
      </c>
      <c r="U932" t="s">
        <v>868</v>
      </c>
      <c r="V932">
        <v>5</v>
      </c>
      <c r="W932">
        <v>0</v>
      </c>
      <c r="X932">
        <v>0</v>
      </c>
    </row>
    <row r="933" spans="1:24" x14ac:dyDescent="0.3">
      <c r="A933" t="s">
        <v>2404</v>
      </c>
      <c r="B933" t="s">
        <v>2405</v>
      </c>
      <c r="C933">
        <v>1</v>
      </c>
      <c r="D933" t="s">
        <v>11</v>
      </c>
      <c r="E933" t="s">
        <v>21</v>
      </c>
      <c r="F933" t="s">
        <v>22</v>
      </c>
      <c r="H933" t="s">
        <v>71</v>
      </c>
      <c r="I933" t="s">
        <v>3617</v>
      </c>
      <c r="J933" t="s">
        <v>2404</v>
      </c>
      <c r="K933" t="s">
        <v>868</v>
      </c>
      <c r="L933" t="s">
        <v>3618</v>
      </c>
      <c r="M933" t="s">
        <v>2404</v>
      </c>
      <c r="N933" t="s">
        <v>2405</v>
      </c>
      <c r="Q933" t="s">
        <v>3599</v>
      </c>
      <c r="R933" t="s">
        <v>3599</v>
      </c>
      <c r="S933" t="s">
        <v>3599</v>
      </c>
      <c r="T933">
        <v>1</v>
      </c>
      <c r="U933" t="s">
        <v>868</v>
      </c>
      <c r="V933">
        <v>5</v>
      </c>
      <c r="W933">
        <v>0</v>
      </c>
      <c r="X933">
        <v>0</v>
      </c>
    </row>
    <row r="934" spans="1:24" x14ac:dyDescent="0.3">
      <c r="A934" t="s">
        <v>2406</v>
      </c>
      <c r="B934" t="s">
        <v>2407</v>
      </c>
      <c r="C934">
        <v>1</v>
      </c>
      <c r="D934" t="s">
        <v>11</v>
      </c>
      <c r="E934" t="s">
        <v>21</v>
      </c>
      <c r="F934" t="s">
        <v>22</v>
      </c>
      <c r="H934" t="s">
        <v>71</v>
      </c>
      <c r="I934" t="s">
        <v>3617</v>
      </c>
      <c r="J934" t="s">
        <v>2406</v>
      </c>
      <c r="K934" t="s">
        <v>868</v>
      </c>
      <c r="L934" t="s">
        <v>3618</v>
      </c>
      <c r="M934" t="s">
        <v>2406</v>
      </c>
      <c r="N934" t="s">
        <v>2407</v>
      </c>
      <c r="Q934" t="s">
        <v>3599</v>
      </c>
      <c r="R934" t="s">
        <v>3599</v>
      </c>
      <c r="S934" t="s">
        <v>3599</v>
      </c>
      <c r="T934">
        <v>1</v>
      </c>
      <c r="U934" t="s">
        <v>868</v>
      </c>
      <c r="V934">
        <v>5</v>
      </c>
      <c r="W934">
        <v>0</v>
      </c>
      <c r="X934">
        <v>0</v>
      </c>
    </row>
    <row r="935" spans="1:24" x14ac:dyDescent="0.3">
      <c r="A935" t="s">
        <v>2408</v>
      </c>
      <c r="B935" t="s">
        <v>2409</v>
      </c>
      <c r="C935">
        <v>1</v>
      </c>
      <c r="D935" t="s">
        <v>11</v>
      </c>
      <c r="E935" t="s">
        <v>21</v>
      </c>
      <c r="F935" t="s">
        <v>22</v>
      </c>
      <c r="H935" t="s">
        <v>71</v>
      </c>
      <c r="I935" t="s">
        <v>3617</v>
      </c>
      <c r="J935" t="s">
        <v>2408</v>
      </c>
      <c r="K935" t="s">
        <v>868</v>
      </c>
      <c r="L935" t="s">
        <v>3618</v>
      </c>
      <c r="M935" t="s">
        <v>2408</v>
      </c>
      <c r="N935" t="s">
        <v>2409</v>
      </c>
      <c r="Q935" t="s">
        <v>3599</v>
      </c>
      <c r="R935" t="s">
        <v>3599</v>
      </c>
      <c r="S935" t="s">
        <v>3599</v>
      </c>
      <c r="T935">
        <v>1</v>
      </c>
      <c r="U935" t="s">
        <v>868</v>
      </c>
      <c r="V935">
        <v>5</v>
      </c>
      <c r="W935">
        <v>0</v>
      </c>
      <c r="X935">
        <v>0</v>
      </c>
    </row>
    <row r="936" spans="1:24" x14ac:dyDescent="0.3">
      <c r="A936" t="s">
        <v>2410</v>
      </c>
      <c r="B936" t="s">
        <v>2411</v>
      </c>
      <c r="C936">
        <v>1</v>
      </c>
      <c r="D936" t="s">
        <v>11</v>
      </c>
      <c r="E936" t="s">
        <v>21</v>
      </c>
      <c r="F936" t="s">
        <v>22</v>
      </c>
      <c r="H936" t="s">
        <v>71</v>
      </c>
      <c r="I936" t="s">
        <v>3617</v>
      </c>
      <c r="J936" t="s">
        <v>2410</v>
      </c>
      <c r="K936" t="s">
        <v>868</v>
      </c>
      <c r="L936" t="s">
        <v>3618</v>
      </c>
      <c r="M936" t="s">
        <v>2410</v>
      </c>
      <c r="N936" t="s">
        <v>2411</v>
      </c>
      <c r="Q936" t="s">
        <v>3599</v>
      </c>
      <c r="R936" t="s">
        <v>3599</v>
      </c>
      <c r="S936" t="s">
        <v>3599</v>
      </c>
      <c r="T936">
        <v>1</v>
      </c>
      <c r="U936" t="s">
        <v>868</v>
      </c>
      <c r="V936">
        <v>5</v>
      </c>
      <c r="W936">
        <v>0</v>
      </c>
      <c r="X936">
        <v>0</v>
      </c>
    </row>
    <row r="937" spans="1:24" x14ac:dyDescent="0.3">
      <c r="A937" t="s">
        <v>2412</v>
      </c>
      <c r="B937" t="s">
        <v>2413</v>
      </c>
      <c r="C937">
        <v>1</v>
      </c>
      <c r="D937" t="s">
        <v>11</v>
      </c>
      <c r="E937" t="s">
        <v>21</v>
      </c>
      <c r="F937" t="s">
        <v>22</v>
      </c>
      <c r="H937" t="s">
        <v>71</v>
      </c>
      <c r="I937" t="s">
        <v>3617</v>
      </c>
      <c r="J937" t="s">
        <v>2412</v>
      </c>
      <c r="K937" t="s">
        <v>868</v>
      </c>
      <c r="L937" t="s">
        <v>3618</v>
      </c>
      <c r="M937" t="s">
        <v>2412</v>
      </c>
      <c r="N937" t="s">
        <v>2413</v>
      </c>
      <c r="Q937" t="s">
        <v>3599</v>
      </c>
      <c r="R937" t="s">
        <v>3599</v>
      </c>
      <c r="S937" t="s">
        <v>3599</v>
      </c>
      <c r="T937">
        <v>1</v>
      </c>
      <c r="U937" t="s">
        <v>868</v>
      </c>
      <c r="V937">
        <v>5</v>
      </c>
      <c r="W937">
        <v>0</v>
      </c>
      <c r="X937">
        <v>0</v>
      </c>
    </row>
    <row r="938" spans="1:24" x14ac:dyDescent="0.3">
      <c r="A938" t="s">
        <v>2414</v>
      </c>
      <c r="B938" t="s">
        <v>2415</v>
      </c>
      <c r="C938">
        <v>1</v>
      </c>
      <c r="D938" t="s">
        <v>11</v>
      </c>
      <c r="E938" t="s">
        <v>21</v>
      </c>
      <c r="F938" t="s">
        <v>22</v>
      </c>
      <c r="H938" t="s">
        <v>71</v>
      </c>
      <c r="I938" t="s">
        <v>3617</v>
      </c>
      <c r="K938" t="s">
        <v>868</v>
      </c>
      <c r="L938" t="s">
        <v>3618</v>
      </c>
      <c r="N938" t="s">
        <v>2415</v>
      </c>
      <c r="Q938" t="s">
        <v>3599</v>
      </c>
      <c r="R938" t="s">
        <v>3599</v>
      </c>
      <c r="S938" t="s">
        <v>3599</v>
      </c>
      <c r="T938">
        <v>1</v>
      </c>
      <c r="U938" t="s">
        <v>868</v>
      </c>
      <c r="V938">
        <v>5</v>
      </c>
      <c r="W938">
        <v>0</v>
      </c>
      <c r="X938">
        <v>0</v>
      </c>
    </row>
    <row r="939" spans="1:24" x14ac:dyDescent="0.3">
      <c r="A939" t="s">
        <v>2416</v>
      </c>
      <c r="B939" t="s">
        <v>2417</v>
      </c>
      <c r="C939">
        <v>1</v>
      </c>
      <c r="D939" t="s">
        <v>11</v>
      </c>
      <c r="E939" t="s">
        <v>21</v>
      </c>
      <c r="F939" t="s">
        <v>22</v>
      </c>
      <c r="H939" t="s">
        <v>71</v>
      </c>
      <c r="I939" t="s">
        <v>3617</v>
      </c>
      <c r="K939" t="s">
        <v>868</v>
      </c>
      <c r="L939" t="s">
        <v>3618</v>
      </c>
      <c r="N939" t="s">
        <v>2417</v>
      </c>
      <c r="Q939" t="s">
        <v>3599</v>
      </c>
      <c r="R939" t="s">
        <v>3599</v>
      </c>
      <c r="S939" t="s">
        <v>3599</v>
      </c>
      <c r="T939">
        <v>1</v>
      </c>
      <c r="U939" t="s">
        <v>868</v>
      </c>
      <c r="V939">
        <v>5</v>
      </c>
      <c r="W939">
        <v>0</v>
      </c>
      <c r="X939">
        <v>0</v>
      </c>
    </row>
    <row r="940" spans="1:24" x14ac:dyDescent="0.3">
      <c r="A940" t="s">
        <v>2418</v>
      </c>
      <c r="B940" t="s">
        <v>2419</v>
      </c>
      <c r="C940">
        <v>1</v>
      </c>
      <c r="D940" t="s">
        <v>11</v>
      </c>
      <c r="E940" t="s">
        <v>21</v>
      </c>
      <c r="F940" t="s">
        <v>22</v>
      </c>
      <c r="H940" t="s">
        <v>71</v>
      </c>
      <c r="I940" t="s">
        <v>3617</v>
      </c>
      <c r="K940" t="s">
        <v>868</v>
      </c>
      <c r="L940" t="s">
        <v>3618</v>
      </c>
      <c r="N940" t="s">
        <v>2419</v>
      </c>
      <c r="Q940" t="s">
        <v>3599</v>
      </c>
      <c r="R940" t="s">
        <v>3599</v>
      </c>
      <c r="S940" t="s">
        <v>3599</v>
      </c>
      <c r="T940">
        <v>1</v>
      </c>
      <c r="U940" t="s">
        <v>868</v>
      </c>
      <c r="V940">
        <v>5</v>
      </c>
      <c r="W940">
        <v>0</v>
      </c>
      <c r="X940">
        <v>0</v>
      </c>
    </row>
    <row r="941" spans="1:24" x14ac:dyDescent="0.3">
      <c r="A941" t="s">
        <v>2420</v>
      </c>
      <c r="B941" t="s">
        <v>2421</v>
      </c>
      <c r="C941">
        <v>1</v>
      </c>
      <c r="D941" t="s">
        <v>11</v>
      </c>
      <c r="E941" t="s">
        <v>21</v>
      </c>
      <c r="F941" t="s">
        <v>22</v>
      </c>
      <c r="H941" t="s">
        <v>71</v>
      </c>
      <c r="I941" t="s">
        <v>3617</v>
      </c>
      <c r="K941" t="s">
        <v>868</v>
      </c>
      <c r="L941" t="s">
        <v>3618</v>
      </c>
      <c r="N941" t="s">
        <v>2421</v>
      </c>
      <c r="Q941" t="s">
        <v>3599</v>
      </c>
      <c r="R941" t="s">
        <v>3599</v>
      </c>
      <c r="S941" t="s">
        <v>3599</v>
      </c>
      <c r="T941">
        <v>1</v>
      </c>
      <c r="U941" t="s">
        <v>868</v>
      </c>
      <c r="V941">
        <v>5</v>
      </c>
      <c r="W941">
        <v>0</v>
      </c>
      <c r="X941">
        <v>0</v>
      </c>
    </row>
    <row r="942" spans="1:24" x14ac:dyDescent="0.3">
      <c r="A942" t="s">
        <v>2422</v>
      </c>
      <c r="B942" t="s">
        <v>2423</v>
      </c>
      <c r="C942">
        <v>1</v>
      </c>
      <c r="D942" t="s">
        <v>11</v>
      </c>
      <c r="E942" t="s">
        <v>21</v>
      </c>
      <c r="F942" t="s">
        <v>22</v>
      </c>
      <c r="H942" t="s">
        <v>71</v>
      </c>
      <c r="I942" t="s">
        <v>3617</v>
      </c>
      <c r="J942" t="s">
        <v>2422</v>
      </c>
      <c r="K942" t="s">
        <v>868</v>
      </c>
      <c r="L942" t="s">
        <v>3618</v>
      </c>
      <c r="M942" t="s">
        <v>2422</v>
      </c>
      <c r="N942" t="s">
        <v>2423</v>
      </c>
      <c r="Q942" t="s">
        <v>3599</v>
      </c>
      <c r="R942" t="s">
        <v>3599</v>
      </c>
      <c r="S942" t="s">
        <v>3599</v>
      </c>
      <c r="T942">
        <v>1</v>
      </c>
      <c r="U942" t="s">
        <v>868</v>
      </c>
      <c r="V942">
        <v>5</v>
      </c>
      <c r="W942">
        <v>0</v>
      </c>
      <c r="X942">
        <v>0</v>
      </c>
    </row>
    <row r="943" spans="1:24" x14ac:dyDescent="0.3">
      <c r="A943" t="s">
        <v>2424</v>
      </c>
      <c r="B943" t="s">
        <v>2425</v>
      </c>
      <c r="C943">
        <v>1</v>
      </c>
      <c r="D943" t="s">
        <v>11</v>
      </c>
      <c r="E943" t="s">
        <v>21</v>
      </c>
      <c r="F943" t="s">
        <v>22</v>
      </c>
      <c r="H943" t="s">
        <v>71</v>
      </c>
      <c r="I943" t="s">
        <v>3617</v>
      </c>
      <c r="J943" t="s">
        <v>2424</v>
      </c>
      <c r="K943" t="s">
        <v>868</v>
      </c>
      <c r="L943" t="s">
        <v>3618</v>
      </c>
      <c r="M943" t="s">
        <v>2424</v>
      </c>
      <c r="N943" t="s">
        <v>2425</v>
      </c>
      <c r="Q943" t="s">
        <v>3599</v>
      </c>
      <c r="R943" t="s">
        <v>3599</v>
      </c>
      <c r="S943" t="s">
        <v>3599</v>
      </c>
      <c r="T943">
        <v>1</v>
      </c>
      <c r="U943" t="s">
        <v>868</v>
      </c>
      <c r="V943">
        <v>5</v>
      </c>
      <c r="W943">
        <v>0</v>
      </c>
      <c r="X943">
        <v>0</v>
      </c>
    </row>
    <row r="944" spans="1:24" x14ac:dyDescent="0.3">
      <c r="A944" t="s">
        <v>2426</v>
      </c>
      <c r="B944" t="s">
        <v>2427</v>
      </c>
      <c r="C944">
        <v>1</v>
      </c>
      <c r="D944" t="s">
        <v>11</v>
      </c>
      <c r="E944" t="s">
        <v>21</v>
      </c>
      <c r="F944" t="s">
        <v>22</v>
      </c>
      <c r="H944" t="s">
        <v>71</v>
      </c>
      <c r="I944" t="s">
        <v>3617</v>
      </c>
      <c r="J944" t="s">
        <v>2426</v>
      </c>
      <c r="K944" t="s">
        <v>868</v>
      </c>
      <c r="L944" t="s">
        <v>3618</v>
      </c>
      <c r="M944" t="s">
        <v>2426</v>
      </c>
      <c r="N944" t="s">
        <v>2427</v>
      </c>
      <c r="Q944" t="s">
        <v>3599</v>
      </c>
      <c r="R944" t="s">
        <v>3599</v>
      </c>
      <c r="S944" t="s">
        <v>3599</v>
      </c>
      <c r="T944">
        <v>1</v>
      </c>
      <c r="U944" t="s">
        <v>868</v>
      </c>
      <c r="V944">
        <v>5</v>
      </c>
      <c r="W944">
        <v>0</v>
      </c>
      <c r="X944">
        <v>0</v>
      </c>
    </row>
    <row r="945" spans="1:24" x14ac:dyDescent="0.3">
      <c r="A945" t="s">
        <v>2428</v>
      </c>
      <c r="B945" t="s">
        <v>2429</v>
      </c>
      <c r="C945">
        <v>1</v>
      </c>
      <c r="D945" t="s">
        <v>11</v>
      </c>
      <c r="E945" t="s">
        <v>21</v>
      </c>
      <c r="F945" t="s">
        <v>22</v>
      </c>
      <c r="H945" t="s">
        <v>71</v>
      </c>
      <c r="I945" t="s">
        <v>3617</v>
      </c>
      <c r="J945" t="s">
        <v>2428</v>
      </c>
      <c r="K945" t="s">
        <v>868</v>
      </c>
      <c r="L945" t="s">
        <v>3618</v>
      </c>
      <c r="M945" t="s">
        <v>2428</v>
      </c>
      <c r="N945" t="s">
        <v>2429</v>
      </c>
      <c r="O945" t="s">
        <v>2430</v>
      </c>
      <c r="Q945" t="s">
        <v>3599</v>
      </c>
      <c r="R945" t="s">
        <v>3599</v>
      </c>
      <c r="S945" t="s">
        <v>3599</v>
      </c>
      <c r="T945">
        <v>1</v>
      </c>
      <c r="U945" t="s">
        <v>868</v>
      </c>
      <c r="V945">
        <v>5</v>
      </c>
      <c r="W945">
        <v>0</v>
      </c>
      <c r="X945">
        <v>0</v>
      </c>
    </row>
    <row r="946" spans="1:24" x14ac:dyDescent="0.3">
      <c r="A946" t="s">
        <v>2431</v>
      </c>
      <c r="B946" t="s">
        <v>2432</v>
      </c>
      <c r="C946">
        <v>1</v>
      </c>
      <c r="D946" t="s">
        <v>11</v>
      </c>
      <c r="E946" t="s">
        <v>21</v>
      </c>
      <c r="F946" t="s">
        <v>22</v>
      </c>
      <c r="H946" t="s">
        <v>71</v>
      </c>
      <c r="I946" t="s">
        <v>3617</v>
      </c>
      <c r="J946" t="s">
        <v>2431</v>
      </c>
      <c r="K946" t="s">
        <v>868</v>
      </c>
      <c r="L946" t="s">
        <v>3618</v>
      </c>
      <c r="M946" t="s">
        <v>2431</v>
      </c>
      <c r="N946" t="s">
        <v>2432</v>
      </c>
      <c r="Q946" t="s">
        <v>3599</v>
      </c>
      <c r="R946" t="s">
        <v>3599</v>
      </c>
      <c r="S946" t="s">
        <v>3599</v>
      </c>
      <c r="T946">
        <v>1</v>
      </c>
      <c r="U946" t="s">
        <v>868</v>
      </c>
      <c r="V946">
        <v>5</v>
      </c>
      <c r="W946">
        <v>0</v>
      </c>
      <c r="X946">
        <v>0</v>
      </c>
    </row>
    <row r="947" spans="1:24" x14ac:dyDescent="0.3">
      <c r="A947" t="s">
        <v>2433</v>
      </c>
      <c r="B947" t="s">
        <v>2434</v>
      </c>
      <c r="C947">
        <v>1</v>
      </c>
      <c r="D947" t="s">
        <v>11</v>
      </c>
      <c r="E947" t="s">
        <v>21</v>
      </c>
      <c r="F947" t="s">
        <v>22</v>
      </c>
      <c r="H947" t="s">
        <v>71</v>
      </c>
      <c r="I947" t="s">
        <v>3617</v>
      </c>
      <c r="K947" t="s">
        <v>868</v>
      </c>
      <c r="L947" t="s">
        <v>3618</v>
      </c>
      <c r="N947" t="s">
        <v>2434</v>
      </c>
      <c r="Q947" t="s">
        <v>3599</v>
      </c>
      <c r="R947" t="s">
        <v>3599</v>
      </c>
      <c r="S947" t="s">
        <v>3599</v>
      </c>
      <c r="T947">
        <v>1</v>
      </c>
      <c r="U947" t="s">
        <v>868</v>
      </c>
      <c r="V947">
        <v>5</v>
      </c>
      <c r="W947">
        <v>0</v>
      </c>
      <c r="X947">
        <v>0</v>
      </c>
    </row>
    <row r="948" spans="1:24" x14ac:dyDescent="0.3">
      <c r="A948" t="s">
        <v>2435</v>
      </c>
      <c r="B948" t="s">
        <v>2436</v>
      </c>
      <c r="C948">
        <v>1</v>
      </c>
      <c r="D948" t="s">
        <v>11</v>
      </c>
      <c r="E948" t="s">
        <v>21</v>
      </c>
      <c r="F948" t="s">
        <v>22</v>
      </c>
      <c r="H948" t="s">
        <v>71</v>
      </c>
      <c r="I948" t="s">
        <v>3617</v>
      </c>
      <c r="J948" t="s">
        <v>2435</v>
      </c>
      <c r="K948" t="s">
        <v>868</v>
      </c>
      <c r="L948" t="s">
        <v>3618</v>
      </c>
      <c r="M948" t="s">
        <v>2435</v>
      </c>
      <c r="N948" t="s">
        <v>2436</v>
      </c>
      <c r="Q948" t="s">
        <v>3599</v>
      </c>
      <c r="R948" t="s">
        <v>3599</v>
      </c>
      <c r="S948" t="s">
        <v>3599</v>
      </c>
      <c r="T948">
        <v>1</v>
      </c>
      <c r="U948" t="s">
        <v>868</v>
      </c>
      <c r="V948">
        <v>5</v>
      </c>
      <c r="W948">
        <v>0</v>
      </c>
      <c r="X948">
        <v>0</v>
      </c>
    </row>
    <row r="949" spans="1:24" x14ac:dyDescent="0.3">
      <c r="A949" t="s">
        <v>2437</v>
      </c>
      <c r="B949" t="s">
        <v>2438</v>
      </c>
      <c r="C949">
        <v>1</v>
      </c>
      <c r="D949" t="s">
        <v>11</v>
      </c>
      <c r="E949" t="s">
        <v>21</v>
      </c>
      <c r="F949" t="s">
        <v>22</v>
      </c>
      <c r="H949" t="s">
        <v>71</v>
      </c>
      <c r="I949" t="s">
        <v>3617</v>
      </c>
      <c r="J949" t="s">
        <v>2437</v>
      </c>
      <c r="K949" t="s">
        <v>868</v>
      </c>
      <c r="L949" t="s">
        <v>3618</v>
      </c>
      <c r="M949" t="s">
        <v>2437</v>
      </c>
      <c r="N949" t="s">
        <v>2438</v>
      </c>
      <c r="Q949" t="s">
        <v>3599</v>
      </c>
      <c r="R949" t="s">
        <v>3599</v>
      </c>
      <c r="S949" t="s">
        <v>3599</v>
      </c>
      <c r="T949">
        <v>1</v>
      </c>
      <c r="U949" t="s">
        <v>868</v>
      </c>
      <c r="V949">
        <v>5</v>
      </c>
      <c r="W949">
        <v>0</v>
      </c>
      <c r="X949">
        <v>0</v>
      </c>
    </row>
    <row r="950" spans="1:24" x14ac:dyDescent="0.3">
      <c r="A950" t="s">
        <v>2439</v>
      </c>
      <c r="B950" t="s">
        <v>2440</v>
      </c>
      <c r="C950">
        <v>1</v>
      </c>
      <c r="D950" t="s">
        <v>11</v>
      </c>
      <c r="E950" t="s">
        <v>21</v>
      </c>
      <c r="F950" t="s">
        <v>22</v>
      </c>
      <c r="H950" t="s">
        <v>71</v>
      </c>
      <c r="I950" t="s">
        <v>3617</v>
      </c>
      <c r="J950" t="s">
        <v>2439</v>
      </c>
      <c r="K950" t="s">
        <v>868</v>
      </c>
      <c r="L950" t="s">
        <v>3618</v>
      </c>
      <c r="M950" t="s">
        <v>2439</v>
      </c>
      <c r="N950" t="s">
        <v>2440</v>
      </c>
      <c r="Q950" t="s">
        <v>3599</v>
      </c>
      <c r="R950" t="s">
        <v>3599</v>
      </c>
      <c r="S950" t="s">
        <v>3599</v>
      </c>
      <c r="T950">
        <v>1</v>
      </c>
      <c r="U950" t="s">
        <v>868</v>
      </c>
      <c r="V950">
        <v>5</v>
      </c>
      <c r="W950">
        <v>0</v>
      </c>
      <c r="X950">
        <v>0</v>
      </c>
    </row>
    <row r="951" spans="1:24" x14ac:dyDescent="0.3">
      <c r="A951" t="s">
        <v>2441</v>
      </c>
      <c r="B951" t="s">
        <v>2442</v>
      </c>
      <c r="C951">
        <v>1</v>
      </c>
      <c r="D951" t="s">
        <v>11</v>
      </c>
      <c r="E951" t="s">
        <v>21</v>
      </c>
      <c r="F951" t="s">
        <v>22</v>
      </c>
      <c r="H951" t="s">
        <v>71</v>
      </c>
      <c r="I951" t="s">
        <v>3617</v>
      </c>
      <c r="J951" t="s">
        <v>2441</v>
      </c>
      <c r="K951" t="s">
        <v>868</v>
      </c>
      <c r="L951" t="s">
        <v>3618</v>
      </c>
      <c r="M951" t="s">
        <v>2441</v>
      </c>
      <c r="N951" t="s">
        <v>2442</v>
      </c>
      <c r="Q951" t="s">
        <v>3599</v>
      </c>
      <c r="R951" t="s">
        <v>3599</v>
      </c>
      <c r="S951" t="s">
        <v>3599</v>
      </c>
      <c r="T951">
        <v>1</v>
      </c>
      <c r="U951" t="s">
        <v>868</v>
      </c>
      <c r="V951">
        <v>5</v>
      </c>
      <c r="W951">
        <v>0</v>
      </c>
      <c r="X951">
        <v>0</v>
      </c>
    </row>
    <row r="952" spans="1:24" x14ac:dyDescent="0.3">
      <c r="A952" t="s">
        <v>2443</v>
      </c>
      <c r="B952" t="s">
        <v>2444</v>
      </c>
      <c r="C952">
        <v>1</v>
      </c>
      <c r="D952" t="s">
        <v>11</v>
      </c>
      <c r="E952" t="s">
        <v>21</v>
      </c>
      <c r="F952" t="s">
        <v>22</v>
      </c>
      <c r="H952" t="s">
        <v>71</v>
      </c>
      <c r="I952" t="s">
        <v>3617</v>
      </c>
      <c r="J952" t="s">
        <v>2443</v>
      </c>
      <c r="K952" t="s">
        <v>868</v>
      </c>
      <c r="L952" t="s">
        <v>3618</v>
      </c>
      <c r="M952" t="s">
        <v>2443</v>
      </c>
      <c r="N952" t="s">
        <v>2444</v>
      </c>
      <c r="Q952" t="s">
        <v>3599</v>
      </c>
      <c r="R952" t="s">
        <v>3599</v>
      </c>
      <c r="S952" t="s">
        <v>3599</v>
      </c>
      <c r="T952">
        <v>1</v>
      </c>
      <c r="U952" t="s">
        <v>868</v>
      </c>
      <c r="V952">
        <v>5</v>
      </c>
      <c r="W952">
        <v>0</v>
      </c>
      <c r="X952">
        <v>0</v>
      </c>
    </row>
    <row r="953" spans="1:24" x14ac:dyDescent="0.3">
      <c r="A953" t="s">
        <v>2445</v>
      </c>
      <c r="B953" t="s">
        <v>2446</v>
      </c>
      <c r="C953">
        <v>1</v>
      </c>
      <c r="D953" t="s">
        <v>11</v>
      </c>
      <c r="E953" t="s">
        <v>21</v>
      </c>
      <c r="F953" t="s">
        <v>22</v>
      </c>
      <c r="H953" t="s">
        <v>71</v>
      </c>
      <c r="I953" t="s">
        <v>3617</v>
      </c>
      <c r="J953" t="s">
        <v>2445</v>
      </c>
      <c r="K953" t="s">
        <v>868</v>
      </c>
      <c r="L953" t="s">
        <v>3618</v>
      </c>
      <c r="M953" t="s">
        <v>2445</v>
      </c>
      <c r="N953" t="s">
        <v>2446</v>
      </c>
      <c r="Q953" t="s">
        <v>3599</v>
      </c>
      <c r="R953" t="s">
        <v>3599</v>
      </c>
      <c r="S953" t="s">
        <v>3599</v>
      </c>
      <c r="T953">
        <v>1</v>
      </c>
      <c r="U953" t="s">
        <v>868</v>
      </c>
      <c r="V953">
        <v>5</v>
      </c>
      <c r="W953">
        <v>0</v>
      </c>
      <c r="X953">
        <v>0</v>
      </c>
    </row>
    <row r="954" spans="1:24" x14ac:dyDescent="0.3">
      <c r="A954" t="s">
        <v>2447</v>
      </c>
      <c r="B954" t="s">
        <v>2448</v>
      </c>
      <c r="C954">
        <v>1</v>
      </c>
      <c r="D954" t="s">
        <v>11</v>
      </c>
      <c r="E954" t="s">
        <v>21</v>
      </c>
      <c r="F954" t="s">
        <v>22</v>
      </c>
      <c r="H954" t="s">
        <v>71</v>
      </c>
      <c r="I954" t="s">
        <v>3617</v>
      </c>
      <c r="J954" t="s">
        <v>2447</v>
      </c>
      <c r="K954" t="s">
        <v>868</v>
      </c>
      <c r="L954" t="s">
        <v>3618</v>
      </c>
      <c r="M954" t="s">
        <v>2447</v>
      </c>
      <c r="N954" t="s">
        <v>2448</v>
      </c>
      <c r="Q954" t="s">
        <v>3599</v>
      </c>
      <c r="R954" t="s">
        <v>3599</v>
      </c>
      <c r="S954" t="s">
        <v>3599</v>
      </c>
      <c r="T954">
        <v>1</v>
      </c>
      <c r="U954" t="s">
        <v>868</v>
      </c>
      <c r="V954">
        <v>5</v>
      </c>
      <c r="W954">
        <v>0</v>
      </c>
      <c r="X954">
        <v>0</v>
      </c>
    </row>
    <row r="955" spans="1:24" x14ac:dyDescent="0.3">
      <c r="A955" t="s">
        <v>2449</v>
      </c>
      <c r="B955" t="s">
        <v>2450</v>
      </c>
      <c r="C955">
        <v>1</v>
      </c>
      <c r="D955" t="s">
        <v>11</v>
      </c>
      <c r="E955" t="s">
        <v>21</v>
      </c>
      <c r="F955" t="s">
        <v>22</v>
      </c>
      <c r="H955" t="s">
        <v>71</v>
      </c>
      <c r="I955" t="s">
        <v>3617</v>
      </c>
      <c r="J955" t="s">
        <v>2449</v>
      </c>
      <c r="K955" t="s">
        <v>868</v>
      </c>
      <c r="L955" t="s">
        <v>3618</v>
      </c>
      <c r="M955" t="s">
        <v>2449</v>
      </c>
      <c r="N955" t="s">
        <v>2450</v>
      </c>
      <c r="Q955" t="s">
        <v>3599</v>
      </c>
      <c r="R955" t="s">
        <v>3599</v>
      </c>
      <c r="S955" t="s">
        <v>3599</v>
      </c>
      <c r="T955">
        <v>1</v>
      </c>
      <c r="U955" t="s">
        <v>868</v>
      </c>
      <c r="V955">
        <v>5</v>
      </c>
      <c r="W955">
        <v>0</v>
      </c>
      <c r="X955">
        <v>0</v>
      </c>
    </row>
    <row r="956" spans="1:24" x14ac:dyDescent="0.3">
      <c r="A956" t="s">
        <v>2451</v>
      </c>
      <c r="B956" t="s">
        <v>2452</v>
      </c>
      <c r="C956">
        <v>1</v>
      </c>
      <c r="D956" t="s">
        <v>11</v>
      </c>
      <c r="E956" t="s">
        <v>21</v>
      </c>
      <c r="F956" t="s">
        <v>22</v>
      </c>
      <c r="H956" t="s">
        <v>71</v>
      </c>
      <c r="I956" t="s">
        <v>3617</v>
      </c>
      <c r="J956" t="s">
        <v>2451</v>
      </c>
      <c r="K956" t="s">
        <v>868</v>
      </c>
      <c r="L956" t="s">
        <v>3618</v>
      </c>
      <c r="M956" t="s">
        <v>2451</v>
      </c>
      <c r="N956" t="s">
        <v>2452</v>
      </c>
      <c r="Q956" t="s">
        <v>3599</v>
      </c>
      <c r="R956" t="s">
        <v>3599</v>
      </c>
      <c r="S956" t="s">
        <v>3599</v>
      </c>
      <c r="T956">
        <v>1</v>
      </c>
      <c r="U956" t="s">
        <v>868</v>
      </c>
      <c r="V956">
        <v>5</v>
      </c>
      <c r="W956">
        <v>0</v>
      </c>
      <c r="X956">
        <v>0</v>
      </c>
    </row>
    <row r="957" spans="1:24" x14ac:dyDescent="0.3">
      <c r="A957" t="s">
        <v>2453</v>
      </c>
      <c r="B957" t="s">
        <v>2454</v>
      </c>
      <c r="C957">
        <v>1</v>
      </c>
      <c r="D957" t="s">
        <v>11</v>
      </c>
      <c r="E957" t="s">
        <v>21</v>
      </c>
      <c r="F957" t="s">
        <v>22</v>
      </c>
      <c r="H957" t="s">
        <v>71</v>
      </c>
      <c r="I957" t="s">
        <v>3617</v>
      </c>
      <c r="J957" t="s">
        <v>2453</v>
      </c>
      <c r="K957" t="s">
        <v>868</v>
      </c>
      <c r="L957" t="s">
        <v>3618</v>
      </c>
      <c r="M957" t="s">
        <v>2453</v>
      </c>
      <c r="N957" t="s">
        <v>2454</v>
      </c>
      <c r="Q957" t="s">
        <v>3599</v>
      </c>
      <c r="R957" t="s">
        <v>3599</v>
      </c>
      <c r="S957" t="s">
        <v>3599</v>
      </c>
      <c r="T957">
        <v>1</v>
      </c>
      <c r="U957" t="s">
        <v>868</v>
      </c>
      <c r="V957">
        <v>5</v>
      </c>
      <c r="W957">
        <v>0</v>
      </c>
      <c r="X957">
        <v>0</v>
      </c>
    </row>
    <row r="958" spans="1:24" x14ac:dyDescent="0.3">
      <c r="A958" t="s">
        <v>2455</v>
      </c>
      <c r="B958" t="s">
        <v>2456</v>
      </c>
      <c r="C958">
        <v>1</v>
      </c>
      <c r="D958" t="s">
        <v>11</v>
      </c>
      <c r="E958" t="s">
        <v>21</v>
      </c>
      <c r="F958" t="s">
        <v>22</v>
      </c>
      <c r="H958" t="s">
        <v>71</v>
      </c>
      <c r="I958" t="s">
        <v>3617</v>
      </c>
      <c r="J958" t="s">
        <v>2455</v>
      </c>
      <c r="K958" t="s">
        <v>868</v>
      </c>
      <c r="L958" t="s">
        <v>3618</v>
      </c>
      <c r="M958" t="s">
        <v>2455</v>
      </c>
      <c r="N958" t="s">
        <v>2456</v>
      </c>
      <c r="Q958" t="s">
        <v>3599</v>
      </c>
      <c r="R958" t="s">
        <v>3599</v>
      </c>
      <c r="S958" t="s">
        <v>3599</v>
      </c>
      <c r="T958">
        <v>1</v>
      </c>
      <c r="U958" t="s">
        <v>868</v>
      </c>
      <c r="V958">
        <v>5</v>
      </c>
      <c r="W958">
        <v>0</v>
      </c>
      <c r="X958">
        <v>0</v>
      </c>
    </row>
    <row r="959" spans="1:24" x14ac:dyDescent="0.3">
      <c r="A959" t="s">
        <v>2457</v>
      </c>
      <c r="B959" t="s">
        <v>2458</v>
      </c>
      <c r="C959">
        <v>1</v>
      </c>
      <c r="D959" t="s">
        <v>11</v>
      </c>
      <c r="E959" t="s">
        <v>21</v>
      </c>
      <c r="F959" t="s">
        <v>22</v>
      </c>
      <c r="H959" t="s">
        <v>71</v>
      </c>
      <c r="I959" t="s">
        <v>3617</v>
      </c>
      <c r="J959" t="s">
        <v>2457</v>
      </c>
      <c r="K959" t="s">
        <v>868</v>
      </c>
      <c r="L959" t="s">
        <v>3618</v>
      </c>
      <c r="M959" t="s">
        <v>2457</v>
      </c>
      <c r="N959" t="s">
        <v>2458</v>
      </c>
      <c r="Q959" t="s">
        <v>3599</v>
      </c>
      <c r="R959" t="s">
        <v>3599</v>
      </c>
      <c r="S959" t="s">
        <v>3599</v>
      </c>
      <c r="T959">
        <v>1</v>
      </c>
      <c r="U959" t="s">
        <v>868</v>
      </c>
      <c r="V959">
        <v>5</v>
      </c>
      <c r="W959">
        <v>0</v>
      </c>
      <c r="X959">
        <v>0</v>
      </c>
    </row>
    <row r="960" spans="1:24" x14ac:dyDescent="0.3">
      <c r="A960" t="s">
        <v>2459</v>
      </c>
      <c r="B960" t="s">
        <v>2460</v>
      </c>
      <c r="C960">
        <v>1</v>
      </c>
      <c r="D960" t="s">
        <v>11</v>
      </c>
      <c r="E960" t="s">
        <v>21</v>
      </c>
      <c r="F960" t="s">
        <v>22</v>
      </c>
      <c r="H960" t="s">
        <v>71</v>
      </c>
      <c r="I960" t="s">
        <v>3617</v>
      </c>
      <c r="J960" t="s">
        <v>2459</v>
      </c>
      <c r="K960" t="s">
        <v>868</v>
      </c>
      <c r="L960" t="s">
        <v>3618</v>
      </c>
      <c r="M960" t="s">
        <v>2459</v>
      </c>
      <c r="N960" t="s">
        <v>2460</v>
      </c>
      <c r="Q960" t="s">
        <v>3599</v>
      </c>
      <c r="R960" t="s">
        <v>3599</v>
      </c>
      <c r="S960" t="s">
        <v>3599</v>
      </c>
      <c r="T960">
        <v>1</v>
      </c>
      <c r="U960" t="s">
        <v>868</v>
      </c>
      <c r="V960">
        <v>5</v>
      </c>
      <c r="W960">
        <v>0</v>
      </c>
      <c r="X960">
        <v>0</v>
      </c>
    </row>
    <row r="961" spans="1:24" x14ac:dyDescent="0.3">
      <c r="A961" t="s">
        <v>2461</v>
      </c>
      <c r="B961" t="s">
        <v>2462</v>
      </c>
      <c r="C961">
        <v>1</v>
      </c>
      <c r="D961" t="s">
        <v>11</v>
      </c>
      <c r="E961" t="s">
        <v>21</v>
      </c>
      <c r="F961" t="s">
        <v>22</v>
      </c>
      <c r="H961" t="s">
        <v>71</v>
      </c>
      <c r="I961" t="s">
        <v>3617</v>
      </c>
      <c r="J961" t="s">
        <v>2461</v>
      </c>
      <c r="K961" t="s">
        <v>868</v>
      </c>
      <c r="L961" t="s">
        <v>3618</v>
      </c>
      <c r="M961" t="s">
        <v>2461</v>
      </c>
      <c r="N961" t="s">
        <v>2462</v>
      </c>
      <c r="Q961" t="s">
        <v>3599</v>
      </c>
      <c r="R961" t="s">
        <v>3599</v>
      </c>
      <c r="S961" t="s">
        <v>3599</v>
      </c>
      <c r="T961">
        <v>1</v>
      </c>
      <c r="U961" t="s">
        <v>868</v>
      </c>
      <c r="V961">
        <v>5</v>
      </c>
      <c r="W961">
        <v>0</v>
      </c>
      <c r="X961">
        <v>0</v>
      </c>
    </row>
    <row r="962" spans="1:24" x14ac:dyDescent="0.3">
      <c r="A962" t="s">
        <v>2463</v>
      </c>
      <c r="B962" t="s">
        <v>2464</v>
      </c>
      <c r="C962">
        <v>1</v>
      </c>
      <c r="D962" t="s">
        <v>11</v>
      </c>
      <c r="E962" t="s">
        <v>21</v>
      </c>
      <c r="F962" t="s">
        <v>22</v>
      </c>
      <c r="H962" t="s">
        <v>71</v>
      </c>
      <c r="I962" t="s">
        <v>3617</v>
      </c>
      <c r="J962" t="s">
        <v>2463</v>
      </c>
      <c r="K962" t="s">
        <v>868</v>
      </c>
      <c r="L962" t="s">
        <v>3618</v>
      </c>
      <c r="M962" t="s">
        <v>2463</v>
      </c>
      <c r="N962" t="s">
        <v>2464</v>
      </c>
      <c r="Q962" t="s">
        <v>3599</v>
      </c>
      <c r="R962" t="s">
        <v>3599</v>
      </c>
      <c r="S962" t="s">
        <v>3599</v>
      </c>
      <c r="T962">
        <v>1</v>
      </c>
      <c r="U962" t="s">
        <v>868</v>
      </c>
      <c r="V962">
        <v>5</v>
      </c>
      <c r="W962">
        <v>0</v>
      </c>
      <c r="X962">
        <v>0</v>
      </c>
    </row>
    <row r="963" spans="1:24" x14ac:dyDescent="0.3">
      <c r="A963" t="s">
        <v>2465</v>
      </c>
      <c r="B963" t="s">
        <v>2466</v>
      </c>
      <c r="C963">
        <v>1</v>
      </c>
      <c r="D963" t="s">
        <v>11</v>
      </c>
      <c r="E963" t="s">
        <v>21</v>
      </c>
      <c r="F963" t="s">
        <v>22</v>
      </c>
      <c r="H963" t="s">
        <v>71</v>
      </c>
      <c r="I963" t="s">
        <v>3617</v>
      </c>
      <c r="J963" t="s">
        <v>2465</v>
      </c>
      <c r="K963" t="s">
        <v>868</v>
      </c>
      <c r="L963" t="s">
        <v>3618</v>
      </c>
      <c r="M963" t="s">
        <v>2465</v>
      </c>
      <c r="N963" t="s">
        <v>2466</v>
      </c>
      <c r="Q963" t="s">
        <v>3599</v>
      </c>
      <c r="R963" t="s">
        <v>3599</v>
      </c>
      <c r="S963" t="s">
        <v>3599</v>
      </c>
      <c r="T963">
        <v>1</v>
      </c>
      <c r="U963" t="s">
        <v>868</v>
      </c>
      <c r="V963">
        <v>5</v>
      </c>
      <c r="W963">
        <v>0</v>
      </c>
      <c r="X963">
        <v>0</v>
      </c>
    </row>
    <row r="964" spans="1:24" x14ac:dyDescent="0.3">
      <c r="A964" t="s">
        <v>2071</v>
      </c>
      <c r="B964" t="s">
        <v>2072</v>
      </c>
      <c r="C964">
        <v>1</v>
      </c>
      <c r="D964" t="s">
        <v>11</v>
      </c>
      <c r="E964" t="s">
        <v>21</v>
      </c>
      <c r="F964" t="s">
        <v>22</v>
      </c>
      <c r="H964" t="s">
        <v>71</v>
      </c>
      <c r="I964" t="s">
        <v>3617</v>
      </c>
      <c r="J964" t="s">
        <v>2071</v>
      </c>
      <c r="K964" t="s">
        <v>868</v>
      </c>
      <c r="L964" t="s">
        <v>3618</v>
      </c>
      <c r="M964" t="s">
        <v>2071</v>
      </c>
      <c r="N964" t="s">
        <v>2072</v>
      </c>
      <c r="Q964" t="s">
        <v>3599</v>
      </c>
      <c r="R964" t="s">
        <v>3599</v>
      </c>
      <c r="S964" t="s">
        <v>3599</v>
      </c>
      <c r="T964">
        <v>1</v>
      </c>
      <c r="U964" t="s">
        <v>868</v>
      </c>
      <c r="V964">
        <v>5</v>
      </c>
      <c r="W964">
        <v>0</v>
      </c>
      <c r="X964">
        <v>0</v>
      </c>
    </row>
    <row r="965" spans="1:24" x14ac:dyDescent="0.3">
      <c r="A965" t="s">
        <v>2467</v>
      </c>
      <c r="B965" t="s">
        <v>2468</v>
      </c>
      <c r="C965">
        <v>1</v>
      </c>
      <c r="D965" t="s">
        <v>11</v>
      </c>
      <c r="E965" t="s">
        <v>21</v>
      </c>
      <c r="F965" t="s">
        <v>22</v>
      </c>
      <c r="H965" t="s">
        <v>71</v>
      </c>
      <c r="I965" t="s">
        <v>3617</v>
      </c>
      <c r="J965" t="s">
        <v>2467</v>
      </c>
      <c r="K965" t="s">
        <v>868</v>
      </c>
      <c r="L965" t="s">
        <v>3618</v>
      </c>
      <c r="M965" t="s">
        <v>2467</v>
      </c>
      <c r="N965" t="s">
        <v>2468</v>
      </c>
      <c r="Q965" t="s">
        <v>3599</v>
      </c>
      <c r="R965" t="s">
        <v>3599</v>
      </c>
      <c r="S965" t="s">
        <v>3599</v>
      </c>
      <c r="T965">
        <v>1</v>
      </c>
      <c r="U965" t="s">
        <v>868</v>
      </c>
      <c r="V965">
        <v>5</v>
      </c>
      <c r="W965">
        <v>0</v>
      </c>
      <c r="X965">
        <v>0</v>
      </c>
    </row>
    <row r="966" spans="1:24" x14ac:dyDescent="0.3">
      <c r="A966" t="s">
        <v>2469</v>
      </c>
      <c r="B966" t="s">
        <v>2470</v>
      </c>
      <c r="C966">
        <v>1</v>
      </c>
      <c r="D966" t="s">
        <v>11</v>
      </c>
      <c r="E966" t="s">
        <v>21</v>
      </c>
      <c r="F966" t="s">
        <v>22</v>
      </c>
      <c r="H966" t="s">
        <v>71</v>
      </c>
      <c r="I966" t="s">
        <v>3617</v>
      </c>
      <c r="J966" t="s">
        <v>2469</v>
      </c>
      <c r="K966" t="s">
        <v>868</v>
      </c>
      <c r="L966" t="s">
        <v>3618</v>
      </c>
      <c r="M966" t="s">
        <v>2469</v>
      </c>
      <c r="N966" t="s">
        <v>2470</v>
      </c>
      <c r="Q966" t="s">
        <v>3599</v>
      </c>
      <c r="R966" t="s">
        <v>3599</v>
      </c>
      <c r="S966" t="s">
        <v>3599</v>
      </c>
      <c r="T966">
        <v>1</v>
      </c>
      <c r="U966" t="s">
        <v>868</v>
      </c>
      <c r="V966">
        <v>5</v>
      </c>
      <c r="W966">
        <v>0</v>
      </c>
      <c r="X966">
        <v>0</v>
      </c>
    </row>
    <row r="967" spans="1:24" x14ac:dyDescent="0.3">
      <c r="A967" t="s">
        <v>2471</v>
      </c>
      <c r="B967" t="s">
        <v>2472</v>
      </c>
      <c r="C967">
        <v>1</v>
      </c>
      <c r="D967" t="s">
        <v>11</v>
      </c>
      <c r="E967" t="s">
        <v>21</v>
      </c>
      <c r="F967" t="s">
        <v>22</v>
      </c>
      <c r="H967" t="s">
        <v>71</v>
      </c>
      <c r="I967" t="s">
        <v>3617</v>
      </c>
      <c r="J967" t="s">
        <v>2471</v>
      </c>
      <c r="K967" t="s">
        <v>868</v>
      </c>
      <c r="L967" t="s">
        <v>3618</v>
      </c>
      <c r="M967" t="s">
        <v>2471</v>
      </c>
      <c r="N967" t="s">
        <v>2472</v>
      </c>
      <c r="Q967" t="s">
        <v>3599</v>
      </c>
      <c r="R967" t="s">
        <v>3599</v>
      </c>
      <c r="S967" t="s">
        <v>3599</v>
      </c>
      <c r="T967">
        <v>1</v>
      </c>
      <c r="U967" t="s">
        <v>868</v>
      </c>
      <c r="V967">
        <v>5</v>
      </c>
      <c r="W967">
        <v>0</v>
      </c>
      <c r="X967">
        <v>0</v>
      </c>
    </row>
    <row r="968" spans="1:24" x14ac:dyDescent="0.3">
      <c r="A968" t="s">
        <v>2473</v>
      </c>
      <c r="B968" t="s">
        <v>2474</v>
      </c>
      <c r="C968">
        <v>1</v>
      </c>
      <c r="D968" t="s">
        <v>11</v>
      </c>
      <c r="E968" t="s">
        <v>21</v>
      </c>
      <c r="F968" t="s">
        <v>22</v>
      </c>
      <c r="H968" t="s">
        <v>71</v>
      </c>
      <c r="I968" t="s">
        <v>3617</v>
      </c>
      <c r="J968" t="s">
        <v>2473</v>
      </c>
      <c r="K968" t="s">
        <v>868</v>
      </c>
      <c r="L968" t="s">
        <v>3618</v>
      </c>
      <c r="M968" t="s">
        <v>2473</v>
      </c>
      <c r="N968" t="s">
        <v>2474</v>
      </c>
      <c r="Q968" t="s">
        <v>3599</v>
      </c>
      <c r="R968" t="s">
        <v>3599</v>
      </c>
      <c r="S968" t="s">
        <v>3599</v>
      </c>
      <c r="T968">
        <v>1</v>
      </c>
      <c r="U968" t="s">
        <v>868</v>
      </c>
      <c r="V968">
        <v>5</v>
      </c>
      <c r="W968">
        <v>0</v>
      </c>
      <c r="X968">
        <v>0</v>
      </c>
    </row>
    <row r="969" spans="1:24" x14ac:dyDescent="0.3">
      <c r="A969" t="s">
        <v>2475</v>
      </c>
      <c r="B969" t="s">
        <v>2476</v>
      </c>
      <c r="C969">
        <v>1</v>
      </c>
      <c r="D969" t="s">
        <v>11</v>
      </c>
      <c r="E969" t="s">
        <v>21</v>
      </c>
      <c r="F969" t="s">
        <v>22</v>
      </c>
      <c r="H969" t="s">
        <v>71</v>
      </c>
      <c r="I969" t="s">
        <v>3617</v>
      </c>
      <c r="K969" t="s">
        <v>868</v>
      </c>
      <c r="L969" t="s">
        <v>3618</v>
      </c>
      <c r="N969" t="s">
        <v>2476</v>
      </c>
      <c r="Q969" t="s">
        <v>3599</v>
      </c>
      <c r="R969" t="s">
        <v>3599</v>
      </c>
      <c r="S969" t="s">
        <v>3599</v>
      </c>
      <c r="T969">
        <v>1</v>
      </c>
      <c r="U969" t="s">
        <v>868</v>
      </c>
      <c r="V969">
        <v>5</v>
      </c>
      <c r="W969">
        <v>0</v>
      </c>
      <c r="X969">
        <v>0</v>
      </c>
    </row>
    <row r="970" spans="1:24" x14ac:dyDescent="0.3">
      <c r="A970" t="s">
        <v>2477</v>
      </c>
      <c r="B970" t="s">
        <v>2478</v>
      </c>
      <c r="C970">
        <v>1</v>
      </c>
      <c r="D970" t="s">
        <v>11</v>
      </c>
      <c r="E970" t="s">
        <v>21</v>
      </c>
      <c r="F970" t="s">
        <v>22</v>
      </c>
      <c r="H970" t="s">
        <v>71</v>
      </c>
      <c r="I970" t="s">
        <v>3617</v>
      </c>
      <c r="J970" t="s">
        <v>2477</v>
      </c>
      <c r="K970" t="s">
        <v>868</v>
      </c>
      <c r="L970" t="s">
        <v>3618</v>
      </c>
      <c r="M970" t="s">
        <v>2477</v>
      </c>
      <c r="N970" t="s">
        <v>2478</v>
      </c>
      <c r="Q970" t="s">
        <v>3599</v>
      </c>
      <c r="R970" t="s">
        <v>3599</v>
      </c>
      <c r="S970" t="s">
        <v>3599</v>
      </c>
      <c r="T970">
        <v>1</v>
      </c>
      <c r="U970" t="s">
        <v>868</v>
      </c>
      <c r="V970">
        <v>5</v>
      </c>
      <c r="W970">
        <v>0</v>
      </c>
      <c r="X970">
        <v>0</v>
      </c>
    </row>
    <row r="971" spans="1:24" x14ac:dyDescent="0.3">
      <c r="A971" t="s">
        <v>2479</v>
      </c>
      <c r="B971" t="s">
        <v>2480</v>
      </c>
      <c r="C971">
        <v>1</v>
      </c>
      <c r="D971" t="s">
        <v>11</v>
      </c>
      <c r="E971" t="s">
        <v>21</v>
      </c>
      <c r="F971" t="s">
        <v>22</v>
      </c>
      <c r="H971" t="s">
        <v>71</v>
      </c>
      <c r="I971" t="s">
        <v>3617</v>
      </c>
      <c r="J971" t="s">
        <v>2479</v>
      </c>
      <c r="K971" t="s">
        <v>868</v>
      </c>
      <c r="L971" t="s">
        <v>3618</v>
      </c>
      <c r="M971" t="s">
        <v>2479</v>
      </c>
      <c r="N971" t="s">
        <v>2480</v>
      </c>
      <c r="O971" t="s">
        <v>2481</v>
      </c>
      <c r="Q971" t="s">
        <v>3599</v>
      </c>
      <c r="R971" t="s">
        <v>3599</v>
      </c>
      <c r="S971" t="s">
        <v>3599</v>
      </c>
      <c r="T971">
        <v>1</v>
      </c>
      <c r="U971" t="s">
        <v>868</v>
      </c>
      <c r="V971">
        <v>5</v>
      </c>
      <c r="W971">
        <v>0</v>
      </c>
      <c r="X971">
        <v>0</v>
      </c>
    </row>
    <row r="972" spans="1:24" x14ac:dyDescent="0.3">
      <c r="A972" t="s">
        <v>2482</v>
      </c>
      <c r="B972" t="s">
        <v>2483</v>
      </c>
      <c r="C972">
        <v>1</v>
      </c>
      <c r="D972" t="s">
        <v>11</v>
      </c>
      <c r="E972" t="s">
        <v>21</v>
      </c>
      <c r="F972" t="s">
        <v>22</v>
      </c>
      <c r="H972" t="s">
        <v>71</v>
      </c>
      <c r="I972" t="s">
        <v>3617</v>
      </c>
      <c r="J972" t="s">
        <v>2482</v>
      </c>
      <c r="K972" t="s">
        <v>868</v>
      </c>
      <c r="L972" t="s">
        <v>3618</v>
      </c>
      <c r="M972" t="s">
        <v>2482</v>
      </c>
      <c r="N972" t="s">
        <v>2483</v>
      </c>
      <c r="Q972" t="s">
        <v>3599</v>
      </c>
      <c r="R972" t="s">
        <v>3599</v>
      </c>
      <c r="S972" t="s">
        <v>3599</v>
      </c>
      <c r="T972">
        <v>1</v>
      </c>
      <c r="U972" t="s">
        <v>868</v>
      </c>
      <c r="V972">
        <v>5</v>
      </c>
      <c r="W972">
        <v>0</v>
      </c>
      <c r="X972">
        <v>0</v>
      </c>
    </row>
    <row r="973" spans="1:24" x14ac:dyDescent="0.3">
      <c r="A973" t="s">
        <v>2484</v>
      </c>
      <c r="B973" t="s">
        <v>2485</v>
      </c>
      <c r="C973">
        <v>1</v>
      </c>
      <c r="D973" t="s">
        <v>11</v>
      </c>
      <c r="E973" t="s">
        <v>21</v>
      </c>
      <c r="F973" t="s">
        <v>22</v>
      </c>
      <c r="H973" t="s">
        <v>71</v>
      </c>
      <c r="I973" t="s">
        <v>3617</v>
      </c>
      <c r="J973" t="s">
        <v>2484</v>
      </c>
      <c r="K973" t="s">
        <v>868</v>
      </c>
      <c r="L973" t="s">
        <v>3618</v>
      </c>
      <c r="M973" t="s">
        <v>2484</v>
      </c>
      <c r="N973" t="s">
        <v>2485</v>
      </c>
      <c r="Q973" t="s">
        <v>3599</v>
      </c>
      <c r="R973" t="s">
        <v>3599</v>
      </c>
      <c r="S973" t="s">
        <v>3599</v>
      </c>
      <c r="T973">
        <v>1</v>
      </c>
      <c r="U973" t="s">
        <v>868</v>
      </c>
      <c r="V973">
        <v>5</v>
      </c>
      <c r="W973">
        <v>0</v>
      </c>
      <c r="X973">
        <v>0</v>
      </c>
    </row>
    <row r="974" spans="1:24" x14ac:dyDescent="0.3">
      <c r="A974" t="s">
        <v>2486</v>
      </c>
      <c r="B974" t="s">
        <v>2487</v>
      </c>
      <c r="C974">
        <v>1</v>
      </c>
      <c r="D974" t="s">
        <v>11</v>
      </c>
      <c r="E974" t="s">
        <v>21</v>
      </c>
      <c r="F974" t="s">
        <v>22</v>
      </c>
      <c r="H974" t="s">
        <v>71</v>
      </c>
      <c r="I974" t="s">
        <v>3617</v>
      </c>
      <c r="J974" t="s">
        <v>2486</v>
      </c>
      <c r="K974" t="s">
        <v>868</v>
      </c>
      <c r="L974" t="s">
        <v>3618</v>
      </c>
      <c r="M974" t="s">
        <v>2486</v>
      </c>
      <c r="N974" t="s">
        <v>2487</v>
      </c>
      <c r="Q974" t="s">
        <v>3599</v>
      </c>
      <c r="R974" t="s">
        <v>3599</v>
      </c>
      <c r="S974" t="s">
        <v>3599</v>
      </c>
      <c r="T974">
        <v>1</v>
      </c>
      <c r="U974" t="s">
        <v>868</v>
      </c>
      <c r="V974">
        <v>5</v>
      </c>
      <c r="W974">
        <v>0</v>
      </c>
      <c r="X974">
        <v>0</v>
      </c>
    </row>
    <row r="975" spans="1:24" x14ac:dyDescent="0.3">
      <c r="A975" t="s">
        <v>2488</v>
      </c>
      <c r="B975" t="s">
        <v>2489</v>
      </c>
      <c r="C975">
        <v>1</v>
      </c>
      <c r="D975" t="s">
        <v>11</v>
      </c>
      <c r="E975" t="s">
        <v>21</v>
      </c>
      <c r="F975" t="s">
        <v>22</v>
      </c>
      <c r="H975" t="s">
        <v>71</v>
      </c>
      <c r="I975" t="s">
        <v>3617</v>
      </c>
      <c r="J975" t="s">
        <v>2488</v>
      </c>
      <c r="K975" t="s">
        <v>868</v>
      </c>
      <c r="L975" t="s">
        <v>3618</v>
      </c>
      <c r="M975" t="s">
        <v>2488</v>
      </c>
      <c r="N975" t="s">
        <v>2489</v>
      </c>
      <c r="Q975" t="s">
        <v>3599</v>
      </c>
      <c r="R975" t="s">
        <v>3599</v>
      </c>
      <c r="S975" t="s">
        <v>3599</v>
      </c>
      <c r="T975">
        <v>1</v>
      </c>
      <c r="U975" t="s">
        <v>868</v>
      </c>
      <c r="V975">
        <v>5</v>
      </c>
      <c r="W975">
        <v>0</v>
      </c>
      <c r="X975">
        <v>0</v>
      </c>
    </row>
    <row r="976" spans="1:24" x14ac:dyDescent="0.3">
      <c r="A976" t="s">
        <v>2490</v>
      </c>
      <c r="B976" t="s">
        <v>2491</v>
      </c>
      <c r="C976">
        <v>1</v>
      </c>
      <c r="D976" t="s">
        <v>11</v>
      </c>
      <c r="E976" t="s">
        <v>21</v>
      </c>
      <c r="F976" t="s">
        <v>22</v>
      </c>
      <c r="H976" t="s">
        <v>71</v>
      </c>
      <c r="I976" t="s">
        <v>3617</v>
      </c>
      <c r="J976" t="s">
        <v>2490</v>
      </c>
      <c r="K976" t="s">
        <v>868</v>
      </c>
      <c r="L976" t="s">
        <v>3618</v>
      </c>
      <c r="M976" t="s">
        <v>2490</v>
      </c>
      <c r="N976" t="s">
        <v>2491</v>
      </c>
      <c r="Q976" t="s">
        <v>3599</v>
      </c>
      <c r="R976" t="s">
        <v>3599</v>
      </c>
      <c r="S976" t="s">
        <v>3599</v>
      </c>
      <c r="T976">
        <v>1</v>
      </c>
      <c r="U976" t="s">
        <v>868</v>
      </c>
      <c r="V976">
        <v>5</v>
      </c>
      <c r="W976">
        <v>0</v>
      </c>
      <c r="X976">
        <v>0</v>
      </c>
    </row>
    <row r="977" spans="1:24" x14ac:dyDescent="0.3">
      <c r="A977" t="s">
        <v>2492</v>
      </c>
      <c r="B977" t="s">
        <v>2493</v>
      </c>
      <c r="C977">
        <v>1</v>
      </c>
      <c r="D977" t="s">
        <v>11</v>
      </c>
      <c r="E977" t="s">
        <v>21</v>
      </c>
      <c r="F977" t="s">
        <v>22</v>
      </c>
      <c r="H977" t="s">
        <v>71</v>
      </c>
      <c r="I977" t="s">
        <v>3617</v>
      </c>
      <c r="J977" t="s">
        <v>2492</v>
      </c>
      <c r="K977" t="s">
        <v>868</v>
      </c>
      <c r="L977" t="s">
        <v>3618</v>
      </c>
      <c r="M977" t="s">
        <v>2492</v>
      </c>
      <c r="N977" t="s">
        <v>2493</v>
      </c>
      <c r="Q977" t="s">
        <v>3599</v>
      </c>
      <c r="R977" t="s">
        <v>3599</v>
      </c>
      <c r="S977" t="s">
        <v>3599</v>
      </c>
      <c r="T977">
        <v>1</v>
      </c>
      <c r="U977" t="s">
        <v>868</v>
      </c>
      <c r="V977">
        <v>5</v>
      </c>
      <c r="W977">
        <v>0</v>
      </c>
      <c r="X977">
        <v>0</v>
      </c>
    </row>
    <row r="978" spans="1:24" x14ac:dyDescent="0.3">
      <c r="A978" t="s">
        <v>2494</v>
      </c>
      <c r="B978" t="s">
        <v>2495</v>
      </c>
      <c r="C978">
        <v>1</v>
      </c>
      <c r="D978" t="s">
        <v>11</v>
      </c>
      <c r="E978" t="s">
        <v>21</v>
      </c>
      <c r="F978" t="s">
        <v>22</v>
      </c>
      <c r="H978" t="s">
        <v>71</v>
      </c>
      <c r="I978" t="s">
        <v>3617</v>
      </c>
      <c r="J978" t="s">
        <v>2494</v>
      </c>
      <c r="K978" t="s">
        <v>868</v>
      </c>
      <c r="L978" t="s">
        <v>3618</v>
      </c>
      <c r="M978" t="s">
        <v>2494</v>
      </c>
      <c r="N978" t="s">
        <v>2495</v>
      </c>
      <c r="Q978" t="s">
        <v>3599</v>
      </c>
      <c r="R978" t="s">
        <v>3599</v>
      </c>
      <c r="S978" t="s">
        <v>3599</v>
      </c>
      <c r="T978">
        <v>1</v>
      </c>
      <c r="U978" t="s">
        <v>868</v>
      </c>
      <c r="V978">
        <v>5</v>
      </c>
      <c r="W978">
        <v>0</v>
      </c>
      <c r="X978">
        <v>0</v>
      </c>
    </row>
    <row r="979" spans="1:24" x14ac:dyDescent="0.3">
      <c r="A979" t="s">
        <v>2496</v>
      </c>
      <c r="B979" t="s">
        <v>2497</v>
      </c>
      <c r="C979">
        <v>1</v>
      </c>
      <c r="D979" t="s">
        <v>11</v>
      </c>
      <c r="E979" t="s">
        <v>21</v>
      </c>
      <c r="F979" t="s">
        <v>22</v>
      </c>
      <c r="H979" t="s">
        <v>71</v>
      </c>
      <c r="I979" t="s">
        <v>3617</v>
      </c>
      <c r="J979" t="s">
        <v>2496</v>
      </c>
      <c r="K979" t="s">
        <v>868</v>
      </c>
      <c r="L979" t="s">
        <v>3618</v>
      </c>
      <c r="M979" t="s">
        <v>2496</v>
      </c>
      <c r="N979" t="s">
        <v>2497</v>
      </c>
      <c r="Q979" t="s">
        <v>3599</v>
      </c>
      <c r="R979" t="s">
        <v>3599</v>
      </c>
      <c r="S979" t="s">
        <v>3599</v>
      </c>
      <c r="T979">
        <v>1</v>
      </c>
      <c r="U979" t="s">
        <v>868</v>
      </c>
      <c r="V979">
        <v>5</v>
      </c>
      <c r="W979">
        <v>0</v>
      </c>
      <c r="X979">
        <v>0</v>
      </c>
    </row>
    <row r="980" spans="1:24" x14ac:dyDescent="0.3">
      <c r="A980" t="s">
        <v>2498</v>
      </c>
      <c r="B980" t="s">
        <v>2499</v>
      </c>
      <c r="C980">
        <v>1</v>
      </c>
      <c r="D980" t="s">
        <v>11</v>
      </c>
      <c r="E980" t="s">
        <v>21</v>
      </c>
      <c r="F980" t="s">
        <v>22</v>
      </c>
      <c r="H980" t="s">
        <v>71</v>
      </c>
      <c r="I980" t="s">
        <v>3617</v>
      </c>
      <c r="J980" t="s">
        <v>2498</v>
      </c>
      <c r="K980" t="s">
        <v>868</v>
      </c>
      <c r="L980" t="s">
        <v>3618</v>
      </c>
      <c r="M980" t="s">
        <v>2498</v>
      </c>
      <c r="N980" t="s">
        <v>2499</v>
      </c>
      <c r="Q980" t="s">
        <v>3599</v>
      </c>
      <c r="R980" t="s">
        <v>3599</v>
      </c>
      <c r="S980" t="s">
        <v>3599</v>
      </c>
      <c r="T980">
        <v>1</v>
      </c>
      <c r="U980" t="s">
        <v>868</v>
      </c>
      <c r="V980">
        <v>5</v>
      </c>
      <c r="W980">
        <v>0</v>
      </c>
      <c r="X980">
        <v>0</v>
      </c>
    </row>
    <row r="981" spans="1:24" x14ac:dyDescent="0.3">
      <c r="A981" t="s">
        <v>2500</v>
      </c>
      <c r="B981" t="s">
        <v>2501</v>
      </c>
      <c r="C981">
        <v>1</v>
      </c>
      <c r="D981" t="s">
        <v>11</v>
      </c>
      <c r="E981" t="s">
        <v>21</v>
      </c>
      <c r="F981" t="s">
        <v>22</v>
      </c>
      <c r="H981" t="s">
        <v>71</v>
      </c>
      <c r="I981" t="s">
        <v>3617</v>
      </c>
      <c r="J981" t="s">
        <v>2500</v>
      </c>
      <c r="K981" t="s">
        <v>868</v>
      </c>
      <c r="L981" t="s">
        <v>3618</v>
      </c>
      <c r="M981" t="s">
        <v>2500</v>
      </c>
      <c r="N981" t="s">
        <v>2501</v>
      </c>
      <c r="Q981" t="s">
        <v>3599</v>
      </c>
      <c r="R981" t="s">
        <v>3599</v>
      </c>
      <c r="S981" t="s">
        <v>3599</v>
      </c>
      <c r="T981">
        <v>1</v>
      </c>
      <c r="U981" t="s">
        <v>868</v>
      </c>
      <c r="V981">
        <v>5</v>
      </c>
      <c r="W981">
        <v>0</v>
      </c>
      <c r="X981">
        <v>0</v>
      </c>
    </row>
    <row r="982" spans="1:24" x14ac:dyDescent="0.3">
      <c r="A982" t="s">
        <v>2502</v>
      </c>
      <c r="B982" t="s">
        <v>2503</v>
      </c>
      <c r="C982">
        <v>1</v>
      </c>
      <c r="D982" t="s">
        <v>11</v>
      </c>
      <c r="E982" t="s">
        <v>21</v>
      </c>
      <c r="F982" t="s">
        <v>22</v>
      </c>
      <c r="H982" t="s">
        <v>71</v>
      </c>
      <c r="I982" t="s">
        <v>3617</v>
      </c>
      <c r="J982" t="s">
        <v>2502</v>
      </c>
      <c r="K982" t="s">
        <v>868</v>
      </c>
      <c r="L982" t="s">
        <v>3618</v>
      </c>
      <c r="M982" t="s">
        <v>2502</v>
      </c>
      <c r="N982" t="s">
        <v>2503</v>
      </c>
      <c r="Q982" t="s">
        <v>3599</v>
      </c>
      <c r="R982" t="s">
        <v>3599</v>
      </c>
      <c r="S982" t="s">
        <v>3599</v>
      </c>
      <c r="T982">
        <v>1</v>
      </c>
      <c r="U982" t="s">
        <v>868</v>
      </c>
      <c r="V982">
        <v>5</v>
      </c>
      <c r="W982">
        <v>0</v>
      </c>
      <c r="X982">
        <v>0</v>
      </c>
    </row>
    <row r="983" spans="1:24" x14ac:dyDescent="0.3">
      <c r="A983" t="s">
        <v>2504</v>
      </c>
      <c r="B983" t="s">
        <v>2505</v>
      </c>
      <c r="C983">
        <v>1</v>
      </c>
      <c r="D983" t="s">
        <v>11</v>
      </c>
      <c r="E983" t="s">
        <v>21</v>
      </c>
      <c r="F983" t="s">
        <v>22</v>
      </c>
      <c r="H983" t="s">
        <v>71</v>
      </c>
      <c r="I983" t="s">
        <v>3617</v>
      </c>
      <c r="J983" t="s">
        <v>2504</v>
      </c>
      <c r="K983" t="s">
        <v>868</v>
      </c>
      <c r="L983" t="s">
        <v>3618</v>
      </c>
      <c r="M983" t="s">
        <v>2504</v>
      </c>
      <c r="N983" t="s">
        <v>2505</v>
      </c>
      <c r="Q983" t="s">
        <v>3599</v>
      </c>
      <c r="R983" t="s">
        <v>3599</v>
      </c>
      <c r="S983" t="s">
        <v>3599</v>
      </c>
      <c r="T983">
        <v>1</v>
      </c>
      <c r="U983" t="s">
        <v>868</v>
      </c>
      <c r="V983">
        <v>5</v>
      </c>
      <c r="W983">
        <v>0</v>
      </c>
      <c r="X983">
        <v>0</v>
      </c>
    </row>
    <row r="984" spans="1:24" x14ac:dyDescent="0.3">
      <c r="A984" t="s">
        <v>2506</v>
      </c>
      <c r="B984" t="s">
        <v>2507</v>
      </c>
      <c r="C984">
        <v>1</v>
      </c>
      <c r="D984" t="s">
        <v>11</v>
      </c>
      <c r="E984" t="s">
        <v>21</v>
      </c>
      <c r="F984" t="s">
        <v>22</v>
      </c>
      <c r="H984" t="s">
        <v>71</v>
      </c>
      <c r="I984" t="s">
        <v>3617</v>
      </c>
      <c r="J984" t="s">
        <v>2506</v>
      </c>
      <c r="K984" t="s">
        <v>868</v>
      </c>
      <c r="L984" t="s">
        <v>3618</v>
      </c>
      <c r="M984" t="s">
        <v>2506</v>
      </c>
      <c r="N984" t="s">
        <v>2507</v>
      </c>
      <c r="Q984" t="s">
        <v>3599</v>
      </c>
      <c r="R984" t="s">
        <v>3599</v>
      </c>
      <c r="S984" t="s">
        <v>3599</v>
      </c>
      <c r="T984">
        <v>1</v>
      </c>
      <c r="U984" t="s">
        <v>868</v>
      </c>
      <c r="V984">
        <v>5</v>
      </c>
      <c r="W984">
        <v>0</v>
      </c>
      <c r="X984">
        <v>0</v>
      </c>
    </row>
    <row r="985" spans="1:24" x14ac:dyDescent="0.3">
      <c r="A985" t="s">
        <v>2508</v>
      </c>
      <c r="B985" t="s">
        <v>2509</v>
      </c>
      <c r="C985">
        <v>1</v>
      </c>
      <c r="D985" t="s">
        <v>11</v>
      </c>
      <c r="E985" t="s">
        <v>21</v>
      </c>
      <c r="F985" t="s">
        <v>22</v>
      </c>
      <c r="H985" t="s">
        <v>71</v>
      </c>
      <c r="I985" t="s">
        <v>3617</v>
      </c>
      <c r="J985" t="s">
        <v>2508</v>
      </c>
      <c r="K985" t="s">
        <v>868</v>
      </c>
      <c r="L985" t="s">
        <v>3618</v>
      </c>
      <c r="M985" t="s">
        <v>2508</v>
      </c>
      <c r="N985" t="s">
        <v>2509</v>
      </c>
      <c r="Q985" t="s">
        <v>3599</v>
      </c>
      <c r="R985" t="s">
        <v>3599</v>
      </c>
      <c r="S985" t="s">
        <v>3599</v>
      </c>
      <c r="T985">
        <v>1</v>
      </c>
      <c r="U985" t="s">
        <v>868</v>
      </c>
      <c r="V985">
        <v>5</v>
      </c>
      <c r="W985">
        <v>0</v>
      </c>
      <c r="X985">
        <v>0</v>
      </c>
    </row>
    <row r="986" spans="1:24" x14ac:dyDescent="0.3">
      <c r="A986" t="s">
        <v>2510</v>
      </c>
      <c r="B986" t="s">
        <v>2511</v>
      </c>
      <c r="C986">
        <v>1</v>
      </c>
      <c r="D986" t="s">
        <v>11</v>
      </c>
      <c r="E986" t="s">
        <v>21</v>
      </c>
      <c r="F986" t="s">
        <v>22</v>
      </c>
      <c r="H986" t="s">
        <v>71</v>
      </c>
      <c r="I986" t="s">
        <v>3617</v>
      </c>
      <c r="J986" t="s">
        <v>2510</v>
      </c>
      <c r="K986" t="s">
        <v>868</v>
      </c>
      <c r="L986" t="s">
        <v>3618</v>
      </c>
      <c r="M986" t="s">
        <v>2510</v>
      </c>
      <c r="N986" t="s">
        <v>2511</v>
      </c>
      <c r="Q986" t="s">
        <v>3599</v>
      </c>
      <c r="R986" t="s">
        <v>3599</v>
      </c>
      <c r="S986" t="s">
        <v>3599</v>
      </c>
      <c r="T986">
        <v>1</v>
      </c>
      <c r="U986" t="s">
        <v>868</v>
      </c>
      <c r="V986">
        <v>5</v>
      </c>
      <c r="W986">
        <v>0</v>
      </c>
      <c r="X986">
        <v>0</v>
      </c>
    </row>
    <row r="987" spans="1:24" x14ac:dyDescent="0.3">
      <c r="A987" t="s">
        <v>2512</v>
      </c>
      <c r="B987" t="s">
        <v>2513</v>
      </c>
      <c r="C987">
        <v>1</v>
      </c>
      <c r="D987" t="s">
        <v>11</v>
      </c>
      <c r="E987" t="s">
        <v>21</v>
      </c>
      <c r="F987" t="s">
        <v>22</v>
      </c>
      <c r="H987" t="s">
        <v>71</v>
      </c>
      <c r="I987" t="s">
        <v>3617</v>
      </c>
      <c r="J987" t="s">
        <v>2512</v>
      </c>
      <c r="K987" t="s">
        <v>868</v>
      </c>
      <c r="L987" t="s">
        <v>3618</v>
      </c>
      <c r="M987" t="s">
        <v>2512</v>
      </c>
      <c r="N987" t="s">
        <v>2513</v>
      </c>
      <c r="Q987" t="s">
        <v>3599</v>
      </c>
      <c r="R987" t="s">
        <v>3599</v>
      </c>
      <c r="S987" t="s">
        <v>3599</v>
      </c>
      <c r="T987">
        <v>1</v>
      </c>
      <c r="U987" t="s">
        <v>868</v>
      </c>
      <c r="V987">
        <v>5</v>
      </c>
      <c r="W987">
        <v>0</v>
      </c>
      <c r="X987">
        <v>0</v>
      </c>
    </row>
    <row r="988" spans="1:24" x14ac:dyDescent="0.3">
      <c r="A988" t="s">
        <v>2514</v>
      </c>
      <c r="B988" t="s">
        <v>2515</v>
      </c>
      <c r="C988">
        <v>1</v>
      </c>
      <c r="D988" t="s">
        <v>11</v>
      </c>
      <c r="E988" t="s">
        <v>21</v>
      </c>
      <c r="F988" t="s">
        <v>22</v>
      </c>
      <c r="H988" t="s">
        <v>71</v>
      </c>
      <c r="I988" t="s">
        <v>3617</v>
      </c>
      <c r="J988" t="s">
        <v>2514</v>
      </c>
      <c r="K988" t="s">
        <v>868</v>
      </c>
      <c r="L988" t="s">
        <v>3618</v>
      </c>
      <c r="M988" t="s">
        <v>2514</v>
      </c>
      <c r="N988" t="s">
        <v>2515</v>
      </c>
      <c r="Q988" t="s">
        <v>3599</v>
      </c>
      <c r="R988" t="s">
        <v>3599</v>
      </c>
      <c r="S988" t="s">
        <v>3599</v>
      </c>
      <c r="T988">
        <v>1</v>
      </c>
      <c r="U988" t="s">
        <v>868</v>
      </c>
      <c r="V988">
        <v>5</v>
      </c>
      <c r="W988">
        <v>0</v>
      </c>
      <c r="X988">
        <v>0</v>
      </c>
    </row>
    <row r="989" spans="1:24" x14ac:dyDescent="0.3">
      <c r="A989" t="s">
        <v>1861</v>
      </c>
      <c r="B989" t="s">
        <v>1862</v>
      </c>
      <c r="C989">
        <v>1</v>
      </c>
      <c r="D989" t="s">
        <v>11</v>
      </c>
      <c r="E989" t="s">
        <v>21</v>
      </c>
      <c r="F989" t="s">
        <v>22</v>
      </c>
      <c r="H989" t="s">
        <v>71</v>
      </c>
      <c r="I989" t="s">
        <v>3617</v>
      </c>
      <c r="J989" t="s">
        <v>1861</v>
      </c>
      <c r="K989" t="s">
        <v>868</v>
      </c>
      <c r="L989" t="s">
        <v>3618</v>
      </c>
      <c r="M989" t="s">
        <v>1861</v>
      </c>
      <c r="N989" t="s">
        <v>1862</v>
      </c>
      <c r="Q989" t="s">
        <v>3599</v>
      </c>
      <c r="R989" t="s">
        <v>3599</v>
      </c>
      <c r="S989" t="s">
        <v>3599</v>
      </c>
      <c r="T989">
        <v>1</v>
      </c>
      <c r="U989" t="s">
        <v>868</v>
      </c>
      <c r="V989">
        <v>5</v>
      </c>
      <c r="W989">
        <v>0</v>
      </c>
      <c r="X989">
        <v>0</v>
      </c>
    </row>
    <row r="990" spans="1:24" x14ac:dyDescent="0.3">
      <c r="A990" t="s">
        <v>2516</v>
      </c>
      <c r="B990" t="s">
        <v>2517</v>
      </c>
      <c r="C990">
        <v>1</v>
      </c>
      <c r="D990" t="s">
        <v>11</v>
      </c>
      <c r="E990" t="s">
        <v>21</v>
      </c>
      <c r="F990" t="s">
        <v>22</v>
      </c>
      <c r="H990" t="s">
        <v>71</v>
      </c>
      <c r="I990" t="s">
        <v>3617</v>
      </c>
      <c r="J990" t="s">
        <v>2516</v>
      </c>
      <c r="K990" t="s">
        <v>868</v>
      </c>
      <c r="L990" t="s">
        <v>3618</v>
      </c>
      <c r="M990" t="s">
        <v>2516</v>
      </c>
      <c r="N990" t="s">
        <v>2517</v>
      </c>
      <c r="Q990" t="s">
        <v>3599</v>
      </c>
      <c r="R990" t="s">
        <v>3599</v>
      </c>
      <c r="S990" t="s">
        <v>3599</v>
      </c>
      <c r="T990">
        <v>1</v>
      </c>
      <c r="U990" t="s">
        <v>868</v>
      </c>
      <c r="V990">
        <v>5</v>
      </c>
      <c r="W990">
        <v>0</v>
      </c>
      <c r="X990">
        <v>0</v>
      </c>
    </row>
    <row r="991" spans="1:24" x14ac:dyDescent="0.3">
      <c r="A991" t="s">
        <v>2518</v>
      </c>
      <c r="B991" t="s">
        <v>2519</v>
      </c>
      <c r="C991">
        <v>1</v>
      </c>
      <c r="D991" t="s">
        <v>11</v>
      </c>
      <c r="E991" t="s">
        <v>21</v>
      </c>
      <c r="F991" t="s">
        <v>22</v>
      </c>
      <c r="H991" t="s">
        <v>71</v>
      </c>
      <c r="I991" t="s">
        <v>3617</v>
      </c>
      <c r="J991" t="s">
        <v>2518</v>
      </c>
      <c r="K991" t="s">
        <v>868</v>
      </c>
      <c r="L991" t="s">
        <v>3618</v>
      </c>
      <c r="M991" t="s">
        <v>2518</v>
      </c>
      <c r="N991" t="s">
        <v>2519</v>
      </c>
      <c r="Q991" t="s">
        <v>3599</v>
      </c>
      <c r="R991" t="s">
        <v>3599</v>
      </c>
      <c r="S991" t="s">
        <v>3599</v>
      </c>
      <c r="T991">
        <v>1</v>
      </c>
      <c r="U991" t="s">
        <v>868</v>
      </c>
      <c r="V991">
        <v>5</v>
      </c>
      <c r="W991">
        <v>0</v>
      </c>
      <c r="X991">
        <v>0</v>
      </c>
    </row>
    <row r="992" spans="1:24" x14ac:dyDescent="0.3">
      <c r="A992" t="s">
        <v>2520</v>
      </c>
      <c r="B992" t="s">
        <v>2521</v>
      </c>
      <c r="C992">
        <v>1</v>
      </c>
      <c r="D992" t="s">
        <v>11</v>
      </c>
      <c r="E992" t="s">
        <v>21</v>
      </c>
      <c r="F992" t="s">
        <v>22</v>
      </c>
      <c r="H992" t="s">
        <v>71</v>
      </c>
      <c r="I992" t="s">
        <v>3617</v>
      </c>
      <c r="J992" t="s">
        <v>2520</v>
      </c>
      <c r="K992" t="s">
        <v>868</v>
      </c>
      <c r="L992" t="s">
        <v>3618</v>
      </c>
      <c r="M992" t="s">
        <v>2520</v>
      </c>
      <c r="N992" t="s">
        <v>2521</v>
      </c>
      <c r="Q992" t="s">
        <v>3599</v>
      </c>
      <c r="R992" t="s">
        <v>3599</v>
      </c>
      <c r="S992" t="s">
        <v>3599</v>
      </c>
      <c r="T992">
        <v>1</v>
      </c>
      <c r="U992" t="s">
        <v>868</v>
      </c>
      <c r="V992">
        <v>5</v>
      </c>
      <c r="W992">
        <v>0</v>
      </c>
      <c r="X992">
        <v>0</v>
      </c>
    </row>
    <row r="993" spans="1:24" x14ac:dyDescent="0.3">
      <c r="A993" t="s">
        <v>2522</v>
      </c>
      <c r="B993" t="s">
        <v>2523</v>
      </c>
      <c r="C993">
        <v>1</v>
      </c>
      <c r="D993" t="s">
        <v>11</v>
      </c>
      <c r="E993" t="s">
        <v>21</v>
      </c>
      <c r="F993" t="s">
        <v>22</v>
      </c>
      <c r="H993" t="s">
        <v>71</v>
      </c>
      <c r="I993" t="s">
        <v>3617</v>
      </c>
      <c r="J993" t="s">
        <v>2522</v>
      </c>
      <c r="K993" t="s">
        <v>868</v>
      </c>
      <c r="L993" t="s">
        <v>3618</v>
      </c>
      <c r="M993" t="s">
        <v>2522</v>
      </c>
      <c r="N993" t="s">
        <v>2523</v>
      </c>
      <c r="Q993" t="s">
        <v>3599</v>
      </c>
      <c r="R993" t="s">
        <v>3599</v>
      </c>
      <c r="S993" t="s">
        <v>3599</v>
      </c>
      <c r="T993">
        <v>1</v>
      </c>
      <c r="U993" t="s">
        <v>868</v>
      </c>
      <c r="V993">
        <v>5</v>
      </c>
      <c r="W993">
        <v>0</v>
      </c>
      <c r="X993">
        <v>0</v>
      </c>
    </row>
    <row r="994" spans="1:24" x14ac:dyDescent="0.3">
      <c r="A994" t="s">
        <v>2524</v>
      </c>
      <c r="B994" t="s">
        <v>2525</v>
      </c>
      <c r="C994">
        <v>1</v>
      </c>
      <c r="D994" t="s">
        <v>11</v>
      </c>
      <c r="E994" t="s">
        <v>21</v>
      </c>
      <c r="F994" t="s">
        <v>22</v>
      </c>
      <c r="H994" t="s">
        <v>71</v>
      </c>
      <c r="I994" t="s">
        <v>3617</v>
      </c>
      <c r="J994" t="s">
        <v>2524</v>
      </c>
      <c r="K994" t="s">
        <v>868</v>
      </c>
      <c r="L994" t="s">
        <v>3618</v>
      </c>
      <c r="M994" t="s">
        <v>2524</v>
      </c>
      <c r="N994" t="s">
        <v>2525</v>
      </c>
      <c r="Q994" t="s">
        <v>3599</v>
      </c>
      <c r="R994" t="s">
        <v>3599</v>
      </c>
      <c r="S994" t="s">
        <v>3599</v>
      </c>
      <c r="T994">
        <v>1</v>
      </c>
      <c r="U994" t="s">
        <v>868</v>
      </c>
      <c r="V994">
        <v>5</v>
      </c>
      <c r="W994">
        <v>0</v>
      </c>
      <c r="X994">
        <v>0</v>
      </c>
    </row>
    <row r="995" spans="1:24" x14ac:dyDescent="0.3">
      <c r="A995" t="s">
        <v>2526</v>
      </c>
      <c r="B995" t="s">
        <v>2527</v>
      </c>
      <c r="C995">
        <v>1</v>
      </c>
      <c r="D995" t="s">
        <v>11</v>
      </c>
      <c r="E995" t="s">
        <v>21</v>
      </c>
      <c r="F995" t="s">
        <v>22</v>
      </c>
      <c r="H995" t="s">
        <v>71</v>
      </c>
      <c r="I995" t="s">
        <v>3617</v>
      </c>
      <c r="J995" t="s">
        <v>2526</v>
      </c>
      <c r="K995" t="s">
        <v>868</v>
      </c>
      <c r="L995" t="s">
        <v>3618</v>
      </c>
      <c r="M995" t="s">
        <v>2526</v>
      </c>
      <c r="N995" t="s">
        <v>2527</v>
      </c>
      <c r="Q995" t="s">
        <v>3599</v>
      </c>
      <c r="R995" t="s">
        <v>3599</v>
      </c>
      <c r="S995" t="s">
        <v>3599</v>
      </c>
      <c r="T995">
        <v>1</v>
      </c>
      <c r="U995" t="s">
        <v>868</v>
      </c>
      <c r="V995">
        <v>5</v>
      </c>
      <c r="W995">
        <v>0</v>
      </c>
      <c r="X995">
        <v>0</v>
      </c>
    </row>
    <row r="996" spans="1:24" x14ac:dyDescent="0.3">
      <c r="A996" t="s">
        <v>2528</v>
      </c>
      <c r="B996" t="s">
        <v>2529</v>
      </c>
      <c r="C996">
        <v>1</v>
      </c>
      <c r="D996" t="s">
        <v>11</v>
      </c>
      <c r="E996" t="s">
        <v>21</v>
      </c>
      <c r="F996" t="s">
        <v>22</v>
      </c>
      <c r="H996" t="s">
        <v>71</v>
      </c>
      <c r="I996" t="s">
        <v>3617</v>
      </c>
      <c r="J996" t="s">
        <v>2528</v>
      </c>
      <c r="K996" t="s">
        <v>868</v>
      </c>
      <c r="L996" t="s">
        <v>3618</v>
      </c>
      <c r="M996" t="s">
        <v>2528</v>
      </c>
      <c r="N996" t="s">
        <v>2529</v>
      </c>
      <c r="Q996" t="s">
        <v>3599</v>
      </c>
      <c r="R996" t="s">
        <v>3599</v>
      </c>
      <c r="S996" t="s">
        <v>3599</v>
      </c>
      <c r="T996">
        <v>1</v>
      </c>
      <c r="U996" t="s">
        <v>868</v>
      </c>
      <c r="V996">
        <v>5</v>
      </c>
      <c r="W996">
        <v>0</v>
      </c>
      <c r="X996">
        <v>0</v>
      </c>
    </row>
    <row r="997" spans="1:24" x14ac:dyDescent="0.3">
      <c r="A997" t="s">
        <v>2530</v>
      </c>
      <c r="B997" t="s">
        <v>2531</v>
      </c>
      <c r="C997">
        <v>1</v>
      </c>
      <c r="D997" t="s">
        <v>11</v>
      </c>
      <c r="E997" t="s">
        <v>21</v>
      </c>
      <c r="F997" t="s">
        <v>22</v>
      </c>
      <c r="H997" t="s">
        <v>71</v>
      </c>
      <c r="I997" t="s">
        <v>3617</v>
      </c>
      <c r="J997" t="s">
        <v>2530</v>
      </c>
      <c r="K997" t="s">
        <v>868</v>
      </c>
      <c r="L997" t="s">
        <v>3618</v>
      </c>
      <c r="M997" t="s">
        <v>2530</v>
      </c>
      <c r="N997" t="s">
        <v>2531</v>
      </c>
      <c r="Q997" t="s">
        <v>3599</v>
      </c>
      <c r="R997" t="s">
        <v>3599</v>
      </c>
      <c r="S997" t="s">
        <v>3599</v>
      </c>
      <c r="T997">
        <v>1</v>
      </c>
      <c r="U997" t="s">
        <v>868</v>
      </c>
      <c r="V997">
        <v>5</v>
      </c>
      <c r="W997">
        <v>0</v>
      </c>
      <c r="X997">
        <v>0</v>
      </c>
    </row>
    <row r="998" spans="1:24" x14ac:dyDescent="0.3">
      <c r="A998" t="s">
        <v>2532</v>
      </c>
      <c r="B998" t="s">
        <v>2533</v>
      </c>
      <c r="C998">
        <v>1</v>
      </c>
      <c r="D998" t="s">
        <v>11</v>
      </c>
      <c r="E998" t="s">
        <v>21</v>
      </c>
      <c r="F998" t="s">
        <v>22</v>
      </c>
      <c r="H998" t="s">
        <v>71</v>
      </c>
      <c r="I998" t="s">
        <v>3617</v>
      </c>
      <c r="J998" t="s">
        <v>2532</v>
      </c>
      <c r="K998" t="s">
        <v>868</v>
      </c>
      <c r="L998" t="s">
        <v>3618</v>
      </c>
      <c r="M998" t="s">
        <v>2532</v>
      </c>
      <c r="N998" t="s">
        <v>2533</v>
      </c>
      <c r="Q998" t="s">
        <v>3599</v>
      </c>
      <c r="R998" t="s">
        <v>3599</v>
      </c>
      <c r="S998" t="s">
        <v>3599</v>
      </c>
      <c r="T998">
        <v>1</v>
      </c>
      <c r="U998" t="s">
        <v>868</v>
      </c>
      <c r="V998">
        <v>5</v>
      </c>
      <c r="W998">
        <v>0</v>
      </c>
      <c r="X998">
        <v>0</v>
      </c>
    </row>
    <row r="999" spans="1:24" x14ac:dyDescent="0.3">
      <c r="A999" t="s">
        <v>2534</v>
      </c>
      <c r="B999" t="s">
        <v>2535</v>
      </c>
      <c r="C999">
        <v>1</v>
      </c>
      <c r="D999" t="s">
        <v>11</v>
      </c>
      <c r="E999" t="s">
        <v>21</v>
      </c>
      <c r="F999" t="s">
        <v>22</v>
      </c>
      <c r="H999" t="s">
        <v>71</v>
      </c>
      <c r="I999" t="s">
        <v>3617</v>
      </c>
      <c r="J999" t="s">
        <v>2534</v>
      </c>
      <c r="K999" t="s">
        <v>868</v>
      </c>
      <c r="L999" t="s">
        <v>3618</v>
      </c>
      <c r="M999" t="s">
        <v>2534</v>
      </c>
      <c r="N999" t="s">
        <v>2535</v>
      </c>
      <c r="Q999" t="s">
        <v>3599</v>
      </c>
      <c r="R999" t="s">
        <v>3599</v>
      </c>
      <c r="S999" t="s">
        <v>3599</v>
      </c>
      <c r="T999">
        <v>1</v>
      </c>
      <c r="U999" t="s">
        <v>868</v>
      </c>
      <c r="V999">
        <v>5</v>
      </c>
      <c r="W999">
        <v>0</v>
      </c>
      <c r="X999">
        <v>0</v>
      </c>
    </row>
    <row r="1000" spans="1:24" x14ac:dyDescent="0.3">
      <c r="A1000" t="s">
        <v>2536</v>
      </c>
      <c r="B1000" t="s">
        <v>2537</v>
      </c>
      <c r="C1000">
        <v>1</v>
      </c>
      <c r="D1000" t="s">
        <v>11</v>
      </c>
      <c r="E1000" t="s">
        <v>21</v>
      </c>
      <c r="F1000" t="s">
        <v>22</v>
      </c>
      <c r="H1000" t="s">
        <v>71</v>
      </c>
      <c r="I1000" t="s">
        <v>3617</v>
      </c>
      <c r="J1000" t="s">
        <v>2536</v>
      </c>
      <c r="K1000" t="s">
        <v>868</v>
      </c>
      <c r="L1000" t="s">
        <v>3618</v>
      </c>
      <c r="M1000" t="s">
        <v>2536</v>
      </c>
      <c r="N1000" t="s">
        <v>2537</v>
      </c>
      <c r="Q1000" t="s">
        <v>3599</v>
      </c>
      <c r="R1000" t="s">
        <v>3599</v>
      </c>
      <c r="S1000" t="s">
        <v>3599</v>
      </c>
      <c r="T1000">
        <v>1</v>
      </c>
      <c r="U1000" t="s">
        <v>868</v>
      </c>
      <c r="V1000">
        <v>5</v>
      </c>
      <c r="W1000">
        <v>0</v>
      </c>
      <c r="X1000">
        <v>0</v>
      </c>
    </row>
    <row r="1001" spans="1:24" x14ac:dyDescent="0.3">
      <c r="A1001" t="s">
        <v>2538</v>
      </c>
      <c r="B1001" t="s">
        <v>2539</v>
      </c>
      <c r="C1001">
        <v>1</v>
      </c>
      <c r="D1001" t="s">
        <v>11</v>
      </c>
      <c r="E1001" t="s">
        <v>21</v>
      </c>
      <c r="F1001" t="s">
        <v>22</v>
      </c>
      <c r="H1001" t="s">
        <v>71</v>
      </c>
      <c r="I1001" t="s">
        <v>3617</v>
      </c>
      <c r="K1001" t="s">
        <v>868</v>
      </c>
      <c r="L1001" t="s">
        <v>3618</v>
      </c>
      <c r="N1001" t="s">
        <v>2539</v>
      </c>
      <c r="Q1001" t="s">
        <v>3599</v>
      </c>
      <c r="R1001" t="s">
        <v>3599</v>
      </c>
      <c r="S1001" t="s">
        <v>3599</v>
      </c>
      <c r="T1001">
        <v>1</v>
      </c>
      <c r="U1001" t="s">
        <v>868</v>
      </c>
      <c r="V1001">
        <v>5</v>
      </c>
      <c r="W1001">
        <v>0</v>
      </c>
      <c r="X1001">
        <v>0</v>
      </c>
    </row>
    <row r="1002" spans="1:24" x14ac:dyDescent="0.3">
      <c r="A1002" t="s">
        <v>2540</v>
      </c>
      <c r="B1002" t="s">
        <v>2541</v>
      </c>
      <c r="C1002">
        <v>1</v>
      </c>
      <c r="D1002" t="s">
        <v>11</v>
      </c>
      <c r="E1002" t="s">
        <v>21</v>
      </c>
      <c r="F1002" t="s">
        <v>22</v>
      </c>
      <c r="H1002" t="s">
        <v>71</v>
      </c>
      <c r="I1002" t="s">
        <v>3617</v>
      </c>
      <c r="J1002" t="s">
        <v>2540</v>
      </c>
      <c r="K1002" t="s">
        <v>868</v>
      </c>
      <c r="L1002" t="s">
        <v>3618</v>
      </c>
      <c r="M1002" t="s">
        <v>2540</v>
      </c>
      <c r="N1002" t="s">
        <v>2541</v>
      </c>
      <c r="Q1002" t="s">
        <v>3599</v>
      </c>
      <c r="R1002" t="s">
        <v>3599</v>
      </c>
      <c r="S1002" t="s">
        <v>3599</v>
      </c>
      <c r="T1002">
        <v>1</v>
      </c>
      <c r="U1002" t="s">
        <v>868</v>
      </c>
      <c r="V1002">
        <v>5</v>
      </c>
      <c r="W1002">
        <v>0</v>
      </c>
      <c r="X1002">
        <v>0</v>
      </c>
    </row>
    <row r="1003" spans="1:24" x14ac:dyDescent="0.3">
      <c r="A1003" t="s">
        <v>2542</v>
      </c>
      <c r="B1003" t="s">
        <v>2543</v>
      </c>
      <c r="C1003">
        <v>1</v>
      </c>
      <c r="D1003" t="s">
        <v>11</v>
      </c>
      <c r="E1003" t="s">
        <v>21</v>
      </c>
      <c r="F1003" t="s">
        <v>22</v>
      </c>
      <c r="H1003" t="s">
        <v>71</v>
      </c>
      <c r="I1003" t="s">
        <v>3617</v>
      </c>
      <c r="J1003" t="s">
        <v>2542</v>
      </c>
      <c r="K1003" t="s">
        <v>868</v>
      </c>
      <c r="L1003" t="s">
        <v>3618</v>
      </c>
      <c r="M1003" t="s">
        <v>2542</v>
      </c>
      <c r="N1003" t="s">
        <v>2543</v>
      </c>
      <c r="Q1003" t="s">
        <v>3599</v>
      </c>
      <c r="R1003" t="s">
        <v>3599</v>
      </c>
      <c r="S1003" t="s">
        <v>3599</v>
      </c>
      <c r="T1003">
        <v>1</v>
      </c>
      <c r="U1003" t="s">
        <v>868</v>
      </c>
      <c r="V1003">
        <v>5</v>
      </c>
      <c r="W1003">
        <v>0</v>
      </c>
      <c r="X1003">
        <v>0</v>
      </c>
    </row>
    <row r="1004" spans="1:24" x14ac:dyDescent="0.3">
      <c r="A1004" t="s">
        <v>2544</v>
      </c>
      <c r="B1004" t="s">
        <v>2545</v>
      </c>
      <c r="C1004">
        <v>1</v>
      </c>
      <c r="D1004" t="s">
        <v>11</v>
      </c>
      <c r="E1004" t="s">
        <v>21</v>
      </c>
      <c r="F1004" t="s">
        <v>22</v>
      </c>
      <c r="H1004" t="s">
        <v>71</v>
      </c>
      <c r="I1004" t="s">
        <v>3617</v>
      </c>
      <c r="J1004" t="s">
        <v>2544</v>
      </c>
      <c r="K1004" t="s">
        <v>868</v>
      </c>
      <c r="L1004" t="s">
        <v>3618</v>
      </c>
      <c r="M1004" t="s">
        <v>2544</v>
      </c>
      <c r="N1004" t="s">
        <v>2545</v>
      </c>
      <c r="Q1004" t="s">
        <v>3599</v>
      </c>
      <c r="R1004" t="s">
        <v>3599</v>
      </c>
      <c r="S1004" t="s">
        <v>3599</v>
      </c>
      <c r="T1004">
        <v>1</v>
      </c>
      <c r="U1004" t="s">
        <v>868</v>
      </c>
      <c r="V1004">
        <v>5</v>
      </c>
      <c r="W1004">
        <v>0</v>
      </c>
      <c r="X1004">
        <v>0</v>
      </c>
    </row>
    <row r="1005" spans="1:24" x14ac:dyDescent="0.3">
      <c r="A1005" t="s">
        <v>2546</v>
      </c>
      <c r="B1005" t="s">
        <v>2547</v>
      </c>
      <c r="C1005">
        <v>1</v>
      </c>
      <c r="D1005" t="s">
        <v>11</v>
      </c>
      <c r="E1005" t="s">
        <v>21</v>
      </c>
      <c r="F1005" t="s">
        <v>22</v>
      </c>
      <c r="H1005" t="s">
        <v>71</v>
      </c>
      <c r="I1005" t="s">
        <v>3617</v>
      </c>
      <c r="J1005" t="s">
        <v>2546</v>
      </c>
      <c r="K1005" t="s">
        <v>868</v>
      </c>
      <c r="L1005" t="s">
        <v>3618</v>
      </c>
      <c r="M1005" t="s">
        <v>2546</v>
      </c>
      <c r="N1005" t="s">
        <v>2547</v>
      </c>
      <c r="Q1005" t="s">
        <v>3599</v>
      </c>
      <c r="R1005" t="s">
        <v>3599</v>
      </c>
      <c r="S1005" t="s">
        <v>3599</v>
      </c>
      <c r="T1005">
        <v>1</v>
      </c>
      <c r="U1005" t="s">
        <v>868</v>
      </c>
      <c r="V1005">
        <v>5</v>
      </c>
      <c r="W1005">
        <v>0</v>
      </c>
      <c r="X1005">
        <v>0</v>
      </c>
    </row>
    <row r="1006" spans="1:24" x14ac:dyDescent="0.3">
      <c r="A1006" t="s">
        <v>2548</v>
      </c>
      <c r="B1006" t="s">
        <v>2549</v>
      </c>
      <c r="C1006">
        <v>1</v>
      </c>
      <c r="D1006" t="s">
        <v>11</v>
      </c>
      <c r="E1006" t="s">
        <v>21</v>
      </c>
      <c r="F1006" t="s">
        <v>22</v>
      </c>
      <c r="H1006" t="s">
        <v>71</v>
      </c>
      <c r="I1006" t="s">
        <v>3617</v>
      </c>
      <c r="J1006" t="s">
        <v>2548</v>
      </c>
      <c r="K1006" t="s">
        <v>868</v>
      </c>
      <c r="L1006" t="s">
        <v>3618</v>
      </c>
      <c r="M1006" t="s">
        <v>2548</v>
      </c>
      <c r="N1006" t="s">
        <v>2549</v>
      </c>
      <c r="Q1006" t="s">
        <v>3599</v>
      </c>
      <c r="R1006" t="s">
        <v>3599</v>
      </c>
      <c r="S1006" t="s">
        <v>3599</v>
      </c>
      <c r="T1006">
        <v>1</v>
      </c>
      <c r="U1006" t="s">
        <v>868</v>
      </c>
      <c r="V1006">
        <v>5</v>
      </c>
      <c r="W1006">
        <v>0</v>
      </c>
      <c r="X1006">
        <v>0</v>
      </c>
    </row>
    <row r="1007" spans="1:24" x14ac:dyDescent="0.3">
      <c r="A1007" t="s">
        <v>2550</v>
      </c>
      <c r="B1007" t="s">
        <v>2551</v>
      </c>
      <c r="C1007">
        <v>1</v>
      </c>
      <c r="D1007" t="s">
        <v>11</v>
      </c>
      <c r="E1007" t="s">
        <v>21</v>
      </c>
      <c r="F1007" t="s">
        <v>22</v>
      </c>
      <c r="H1007" t="s">
        <v>71</v>
      </c>
      <c r="I1007" t="s">
        <v>3617</v>
      </c>
      <c r="J1007" t="s">
        <v>2550</v>
      </c>
      <c r="K1007" t="s">
        <v>868</v>
      </c>
      <c r="L1007" t="s">
        <v>3618</v>
      </c>
      <c r="M1007" t="s">
        <v>2550</v>
      </c>
      <c r="N1007" t="s">
        <v>2551</v>
      </c>
      <c r="Q1007" t="s">
        <v>3599</v>
      </c>
      <c r="R1007" t="s">
        <v>3599</v>
      </c>
      <c r="S1007" t="s">
        <v>3599</v>
      </c>
      <c r="T1007">
        <v>1</v>
      </c>
      <c r="U1007" t="s">
        <v>868</v>
      </c>
      <c r="V1007">
        <v>5</v>
      </c>
      <c r="W1007">
        <v>0</v>
      </c>
      <c r="X1007">
        <v>0</v>
      </c>
    </row>
    <row r="1008" spans="1:24" x14ac:dyDescent="0.3">
      <c r="A1008" t="s">
        <v>2552</v>
      </c>
      <c r="B1008" t="s">
        <v>2553</v>
      </c>
      <c r="C1008">
        <v>1</v>
      </c>
      <c r="D1008" t="s">
        <v>11</v>
      </c>
      <c r="E1008" t="s">
        <v>21</v>
      </c>
      <c r="F1008" t="s">
        <v>22</v>
      </c>
      <c r="H1008" t="s">
        <v>71</v>
      </c>
      <c r="I1008" t="s">
        <v>3617</v>
      </c>
      <c r="J1008" t="s">
        <v>2552</v>
      </c>
      <c r="K1008" t="s">
        <v>868</v>
      </c>
      <c r="L1008" t="s">
        <v>3618</v>
      </c>
      <c r="M1008" t="s">
        <v>2552</v>
      </c>
      <c r="N1008" t="s">
        <v>2553</v>
      </c>
      <c r="Q1008" t="s">
        <v>3599</v>
      </c>
      <c r="R1008" t="s">
        <v>3599</v>
      </c>
      <c r="S1008" t="s">
        <v>3599</v>
      </c>
      <c r="T1008">
        <v>1</v>
      </c>
      <c r="U1008" t="s">
        <v>868</v>
      </c>
      <c r="V1008">
        <v>5</v>
      </c>
      <c r="W1008">
        <v>0</v>
      </c>
      <c r="X1008">
        <v>0</v>
      </c>
    </row>
    <row r="1009" spans="1:24" x14ac:dyDescent="0.3">
      <c r="A1009" t="s">
        <v>2554</v>
      </c>
      <c r="B1009" t="s">
        <v>2555</v>
      </c>
      <c r="C1009">
        <v>1</v>
      </c>
      <c r="D1009" t="s">
        <v>11</v>
      </c>
      <c r="E1009" t="s">
        <v>21</v>
      </c>
      <c r="F1009" t="s">
        <v>22</v>
      </c>
      <c r="H1009" t="s">
        <v>71</v>
      </c>
      <c r="I1009" t="s">
        <v>3617</v>
      </c>
      <c r="J1009" t="s">
        <v>2554</v>
      </c>
      <c r="K1009" t="s">
        <v>868</v>
      </c>
      <c r="L1009" t="s">
        <v>3618</v>
      </c>
      <c r="M1009" t="s">
        <v>2554</v>
      </c>
      <c r="N1009" t="s">
        <v>2555</v>
      </c>
      <c r="Q1009" t="s">
        <v>3599</v>
      </c>
      <c r="R1009" t="s">
        <v>3599</v>
      </c>
      <c r="S1009" t="s">
        <v>3599</v>
      </c>
      <c r="T1009">
        <v>1</v>
      </c>
      <c r="U1009" t="s">
        <v>868</v>
      </c>
      <c r="V1009">
        <v>5</v>
      </c>
      <c r="W1009">
        <v>0</v>
      </c>
      <c r="X1009">
        <v>0</v>
      </c>
    </row>
    <row r="1010" spans="1:24" x14ac:dyDescent="0.3">
      <c r="A1010" t="s">
        <v>2556</v>
      </c>
      <c r="B1010" t="s">
        <v>2557</v>
      </c>
      <c r="C1010">
        <v>1</v>
      </c>
      <c r="D1010" t="s">
        <v>11</v>
      </c>
      <c r="E1010" t="s">
        <v>21</v>
      </c>
      <c r="F1010" t="s">
        <v>22</v>
      </c>
      <c r="H1010" t="s">
        <v>71</v>
      </c>
      <c r="I1010" t="s">
        <v>3617</v>
      </c>
      <c r="J1010" t="s">
        <v>2556</v>
      </c>
      <c r="K1010" t="s">
        <v>868</v>
      </c>
      <c r="L1010" t="s">
        <v>3618</v>
      </c>
      <c r="M1010" t="s">
        <v>2556</v>
      </c>
      <c r="N1010" t="s">
        <v>2557</v>
      </c>
      <c r="Q1010" t="s">
        <v>3599</v>
      </c>
      <c r="R1010" t="s">
        <v>3599</v>
      </c>
      <c r="S1010" t="s">
        <v>3599</v>
      </c>
      <c r="T1010">
        <v>1</v>
      </c>
      <c r="U1010" t="s">
        <v>868</v>
      </c>
      <c r="V1010">
        <v>5</v>
      </c>
      <c r="W1010">
        <v>0</v>
      </c>
      <c r="X1010">
        <v>0</v>
      </c>
    </row>
    <row r="1011" spans="1:24" x14ac:dyDescent="0.3">
      <c r="A1011" t="s">
        <v>2558</v>
      </c>
      <c r="B1011" t="s">
        <v>2559</v>
      </c>
      <c r="C1011">
        <v>1</v>
      </c>
      <c r="D1011" t="s">
        <v>11</v>
      </c>
      <c r="E1011" t="s">
        <v>21</v>
      </c>
      <c r="F1011" t="s">
        <v>22</v>
      </c>
      <c r="H1011" t="s">
        <v>71</v>
      </c>
      <c r="I1011" t="s">
        <v>3617</v>
      </c>
      <c r="J1011" t="s">
        <v>2558</v>
      </c>
      <c r="K1011" t="s">
        <v>868</v>
      </c>
      <c r="L1011" t="s">
        <v>3618</v>
      </c>
      <c r="M1011" t="s">
        <v>2558</v>
      </c>
      <c r="N1011" t="s">
        <v>2559</v>
      </c>
      <c r="Q1011" t="s">
        <v>3599</v>
      </c>
      <c r="R1011" t="s">
        <v>3599</v>
      </c>
      <c r="S1011" t="s">
        <v>3599</v>
      </c>
      <c r="T1011">
        <v>1</v>
      </c>
      <c r="U1011" t="s">
        <v>868</v>
      </c>
      <c r="V1011">
        <v>5</v>
      </c>
      <c r="W1011">
        <v>0</v>
      </c>
      <c r="X1011">
        <v>0</v>
      </c>
    </row>
    <row r="1012" spans="1:24" x14ac:dyDescent="0.3">
      <c r="A1012" t="s">
        <v>2560</v>
      </c>
      <c r="B1012" t="s">
        <v>2561</v>
      </c>
      <c r="C1012">
        <v>1</v>
      </c>
      <c r="D1012" t="s">
        <v>11</v>
      </c>
      <c r="E1012" t="s">
        <v>21</v>
      </c>
      <c r="F1012" t="s">
        <v>22</v>
      </c>
      <c r="H1012" t="s">
        <v>71</v>
      </c>
      <c r="I1012" t="s">
        <v>3617</v>
      </c>
      <c r="J1012" t="s">
        <v>2560</v>
      </c>
      <c r="K1012" t="s">
        <v>868</v>
      </c>
      <c r="L1012" t="s">
        <v>3618</v>
      </c>
      <c r="M1012" t="s">
        <v>2560</v>
      </c>
      <c r="N1012" t="s">
        <v>2561</v>
      </c>
      <c r="Q1012" t="s">
        <v>3599</v>
      </c>
      <c r="R1012" t="s">
        <v>3599</v>
      </c>
      <c r="S1012" t="s">
        <v>3599</v>
      </c>
      <c r="T1012">
        <v>1</v>
      </c>
      <c r="U1012" t="s">
        <v>868</v>
      </c>
      <c r="V1012">
        <v>5</v>
      </c>
      <c r="W1012">
        <v>0</v>
      </c>
      <c r="X1012">
        <v>0</v>
      </c>
    </row>
    <row r="1013" spans="1:24" x14ac:dyDescent="0.3">
      <c r="A1013" t="s">
        <v>2562</v>
      </c>
      <c r="B1013" t="s">
        <v>2563</v>
      </c>
      <c r="C1013">
        <v>1</v>
      </c>
      <c r="D1013" t="s">
        <v>11</v>
      </c>
      <c r="E1013" t="s">
        <v>21</v>
      </c>
      <c r="F1013" t="s">
        <v>22</v>
      </c>
      <c r="H1013" t="s">
        <v>71</v>
      </c>
      <c r="I1013" t="s">
        <v>3617</v>
      </c>
      <c r="J1013" t="s">
        <v>2562</v>
      </c>
      <c r="K1013" t="s">
        <v>868</v>
      </c>
      <c r="L1013" t="s">
        <v>3618</v>
      </c>
      <c r="M1013" t="s">
        <v>2562</v>
      </c>
      <c r="N1013" t="s">
        <v>2563</v>
      </c>
      <c r="Q1013" t="s">
        <v>3599</v>
      </c>
      <c r="R1013" t="s">
        <v>3599</v>
      </c>
      <c r="S1013" t="s">
        <v>3599</v>
      </c>
      <c r="T1013">
        <v>1</v>
      </c>
      <c r="U1013" t="s">
        <v>868</v>
      </c>
      <c r="V1013">
        <v>5</v>
      </c>
      <c r="W1013">
        <v>0</v>
      </c>
      <c r="X1013">
        <v>0</v>
      </c>
    </row>
    <row r="1014" spans="1:24" x14ac:dyDescent="0.3">
      <c r="A1014" t="s">
        <v>2564</v>
      </c>
      <c r="B1014" t="s">
        <v>2565</v>
      </c>
      <c r="C1014">
        <v>1</v>
      </c>
      <c r="D1014" t="s">
        <v>11</v>
      </c>
      <c r="E1014" t="s">
        <v>21</v>
      </c>
      <c r="F1014" t="s">
        <v>22</v>
      </c>
      <c r="H1014" t="s">
        <v>71</v>
      </c>
      <c r="I1014" t="s">
        <v>3617</v>
      </c>
      <c r="J1014" t="s">
        <v>2564</v>
      </c>
      <c r="K1014" t="s">
        <v>868</v>
      </c>
      <c r="L1014" t="s">
        <v>3618</v>
      </c>
      <c r="M1014" t="s">
        <v>2564</v>
      </c>
      <c r="N1014" t="s">
        <v>2565</v>
      </c>
      <c r="Q1014" t="s">
        <v>3599</v>
      </c>
      <c r="R1014" t="s">
        <v>3599</v>
      </c>
      <c r="S1014" t="s">
        <v>3599</v>
      </c>
      <c r="T1014">
        <v>1</v>
      </c>
      <c r="U1014" t="s">
        <v>868</v>
      </c>
      <c r="V1014">
        <v>5</v>
      </c>
      <c r="W1014">
        <v>0</v>
      </c>
      <c r="X1014">
        <v>0</v>
      </c>
    </row>
    <row r="1015" spans="1:24" x14ac:dyDescent="0.3">
      <c r="A1015" t="s">
        <v>2566</v>
      </c>
      <c r="B1015" t="s">
        <v>2567</v>
      </c>
      <c r="C1015">
        <v>1</v>
      </c>
      <c r="D1015" t="s">
        <v>11</v>
      </c>
      <c r="E1015" t="s">
        <v>21</v>
      </c>
      <c r="F1015" t="s">
        <v>22</v>
      </c>
      <c r="H1015" t="s">
        <v>71</v>
      </c>
      <c r="I1015" t="s">
        <v>3617</v>
      </c>
      <c r="K1015" t="s">
        <v>868</v>
      </c>
      <c r="L1015" t="s">
        <v>3618</v>
      </c>
      <c r="N1015" t="s">
        <v>2567</v>
      </c>
      <c r="Q1015" t="s">
        <v>3599</v>
      </c>
      <c r="R1015" t="s">
        <v>3599</v>
      </c>
      <c r="S1015" t="s">
        <v>3599</v>
      </c>
      <c r="T1015">
        <v>1</v>
      </c>
      <c r="U1015" t="s">
        <v>868</v>
      </c>
      <c r="V1015">
        <v>5</v>
      </c>
      <c r="W1015">
        <v>0</v>
      </c>
      <c r="X1015">
        <v>0</v>
      </c>
    </row>
    <row r="1016" spans="1:24" x14ac:dyDescent="0.3">
      <c r="A1016" t="s">
        <v>2568</v>
      </c>
      <c r="B1016" t="s">
        <v>2569</v>
      </c>
      <c r="C1016">
        <v>1</v>
      </c>
      <c r="D1016" t="s">
        <v>11</v>
      </c>
      <c r="E1016" t="s">
        <v>21</v>
      </c>
      <c r="F1016" t="s">
        <v>22</v>
      </c>
      <c r="H1016" t="s">
        <v>71</v>
      </c>
      <c r="I1016" t="s">
        <v>3617</v>
      </c>
      <c r="J1016" t="s">
        <v>2568</v>
      </c>
      <c r="K1016" t="s">
        <v>868</v>
      </c>
      <c r="L1016" t="s">
        <v>3618</v>
      </c>
      <c r="M1016" t="s">
        <v>2568</v>
      </c>
      <c r="N1016" t="s">
        <v>2569</v>
      </c>
      <c r="Q1016" t="s">
        <v>3599</v>
      </c>
      <c r="R1016" t="s">
        <v>3599</v>
      </c>
      <c r="S1016" t="s">
        <v>3599</v>
      </c>
      <c r="T1016">
        <v>1</v>
      </c>
      <c r="U1016" t="s">
        <v>868</v>
      </c>
      <c r="V1016">
        <v>5</v>
      </c>
      <c r="W1016">
        <v>0</v>
      </c>
      <c r="X1016">
        <v>0</v>
      </c>
    </row>
    <row r="1017" spans="1:24" x14ac:dyDescent="0.3">
      <c r="A1017" t="s">
        <v>2570</v>
      </c>
      <c r="B1017" t="s">
        <v>2571</v>
      </c>
      <c r="C1017">
        <v>1</v>
      </c>
      <c r="D1017" t="s">
        <v>11</v>
      </c>
      <c r="E1017" t="s">
        <v>21</v>
      </c>
      <c r="F1017" t="s">
        <v>22</v>
      </c>
      <c r="H1017" t="s">
        <v>71</v>
      </c>
      <c r="I1017" t="s">
        <v>3617</v>
      </c>
      <c r="J1017" t="s">
        <v>2570</v>
      </c>
      <c r="K1017" t="s">
        <v>868</v>
      </c>
      <c r="L1017" t="s">
        <v>3618</v>
      </c>
      <c r="M1017" t="s">
        <v>2570</v>
      </c>
      <c r="N1017" t="s">
        <v>2571</v>
      </c>
      <c r="Q1017" t="s">
        <v>3599</v>
      </c>
      <c r="R1017" t="s">
        <v>3599</v>
      </c>
      <c r="S1017" t="s">
        <v>3599</v>
      </c>
      <c r="T1017">
        <v>1</v>
      </c>
      <c r="U1017" t="s">
        <v>868</v>
      </c>
      <c r="V1017">
        <v>5</v>
      </c>
      <c r="W1017">
        <v>0</v>
      </c>
      <c r="X1017">
        <v>0</v>
      </c>
    </row>
    <row r="1018" spans="1:24" x14ac:dyDescent="0.3">
      <c r="A1018" t="s">
        <v>2572</v>
      </c>
      <c r="B1018" t="s">
        <v>2573</v>
      </c>
      <c r="C1018">
        <v>1</v>
      </c>
      <c r="D1018" t="s">
        <v>11</v>
      </c>
      <c r="E1018" t="s">
        <v>21</v>
      </c>
      <c r="F1018" t="s">
        <v>22</v>
      </c>
      <c r="H1018" t="s">
        <v>71</v>
      </c>
      <c r="I1018" t="s">
        <v>3617</v>
      </c>
      <c r="J1018" t="s">
        <v>2572</v>
      </c>
      <c r="K1018" t="s">
        <v>868</v>
      </c>
      <c r="L1018" t="s">
        <v>3618</v>
      </c>
      <c r="M1018" t="s">
        <v>2572</v>
      </c>
      <c r="N1018" t="s">
        <v>2573</v>
      </c>
      <c r="Q1018" t="s">
        <v>3599</v>
      </c>
      <c r="R1018" t="s">
        <v>3599</v>
      </c>
      <c r="S1018" t="s">
        <v>3599</v>
      </c>
      <c r="T1018">
        <v>1</v>
      </c>
      <c r="U1018" t="s">
        <v>868</v>
      </c>
      <c r="V1018">
        <v>5</v>
      </c>
      <c r="W1018">
        <v>0</v>
      </c>
      <c r="X1018">
        <v>0</v>
      </c>
    </row>
    <row r="1019" spans="1:24" x14ac:dyDescent="0.3">
      <c r="A1019" t="s">
        <v>2574</v>
      </c>
      <c r="B1019" t="s">
        <v>2575</v>
      </c>
      <c r="C1019">
        <v>1</v>
      </c>
      <c r="D1019" t="s">
        <v>11</v>
      </c>
      <c r="E1019" t="s">
        <v>21</v>
      </c>
      <c r="F1019" t="s">
        <v>22</v>
      </c>
      <c r="H1019" t="s">
        <v>71</v>
      </c>
      <c r="I1019" t="s">
        <v>3617</v>
      </c>
      <c r="J1019" t="s">
        <v>2574</v>
      </c>
      <c r="K1019" t="s">
        <v>868</v>
      </c>
      <c r="L1019" t="s">
        <v>3618</v>
      </c>
      <c r="M1019" t="s">
        <v>2574</v>
      </c>
      <c r="N1019" t="s">
        <v>2575</v>
      </c>
      <c r="Q1019" t="s">
        <v>3599</v>
      </c>
      <c r="R1019" t="s">
        <v>3599</v>
      </c>
      <c r="S1019" t="s">
        <v>3599</v>
      </c>
      <c r="T1019">
        <v>1</v>
      </c>
      <c r="U1019" t="s">
        <v>868</v>
      </c>
      <c r="V1019">
        <v>5</v>
      </c>
      <c r="W1019">
        <v>0</v>
      </c>
      <c r="X1019">
        <v>0</v>
      </c>
    </row>
    <row r="1020" spans="1:24" x14ac:dyDescent="0.3">
      <c r="A1020" t="s">
        <v>2576</v>
      </c>
      <c r="B1020" t="s">
        <v>2577</v>
      </c>
      <c r="C1020">
        <v>1</v>
      </c>
      <c r="D1020" t="s">
        <v>11</v>
      </c>
      <c r="E1020" t="s">
        <v>21</v>
      </c>
      <c r="F1020" t="s">
        <v>22</v>
      </c>
      <c r="H1020" t="s">
        <v>71</v>
      </c>
      <c r="I1020" t="s">
        <v>3617</v>
      </c>
      <c r="J1020" t="s">
        <v>2576</v>
      </c>
      <c r="K1020" t="s">
        <v>868</v>
      </c>
      <c r="L1020" t="s">
        <v>3618</v>
      </c>
      <c r="M1020" t="s">
        <v>2576</v>
      </c>
      <c r="N1020" t="s">
        <v>2577</v>
      </c>
      <c r="Q1020" t="s">
        <v>3599</v>
      </c>
      <c r="R1020" t="s">
        <v>3599</v>
      </c>
      <c r="S1020" t="s">
        <v>3599</v>
      </c>
      <c r="T1020">
        <v>1</v>
      </c>
      <c r="U1020" t="s">
        <v>868</v>
      </c>
      <c r="V1020">
        <v>5</v>
      </c>
      <c r="W1020">
        <v>0</v>
      </c>
      <c r="X1020">
        <v>0</v>
      </c>
    </row>
    <row r="1021" spans="1:24" x14ac:dyDescent="0.3">
      <c r="A1021" t="s">
        <v>2578</v>
      </c>
      <c r="B1021" t="s">
        <v>2579</v>
      </c>
      <c r="C1021">
        <v>1</v>
      </c>
      <c r="D1021" t="s">
        <v>11</v>
      </c>
      <c r="E1021" t="s">
        <v>21</v>
      </c>
      <c r="F1021" t="s">
        <v>22</v>
      </c>
      <c r="H1021" t="s">
        <v>71</v>
      </c>
      <c r="I1021" t="s">
        <v>3617</v>
      </c>
      <c r="J1021" t="s">
        <v>2578</v>
      </c>
      <c r="K1021" t="s">
        <v>868</v>
      </c>
      <c r="L1021" t="s">
        <v>3618</v>
      </c>
      <c r="M1021" t="s">
        <v>2578</v>
      </c>
      <c r="N1021" t="s">
        <v>2579</v>
      </c>
      <c r="Q1021" t="s">
        <v>3599</v>
      </c>
      <c r="R1021" t="s">
        <v>3599</v>
      </c>
      <c r="S1021" t="s">
        <v>3599</v>
      </c>
      <c r="T1021">
        <v>1</v>
      </c>
      <c r="U1021" t="s">
        <v>868</v>
      </c>
      <c r="V1021">
        <v>5</v>
      </c>
      <c r="W1021">
        <v>0</v>
      </c>
      <c r="X1021">
        <v>0</v>
      </c>
    </row>
    <row r="1022" spans="1:24" x14ac:dyDescent="0.3">
      <c r="A1022" t="s">
        <v>2580</v>
      </c>
      <c r="B1022" t="s">
        <v>2581</v>
      </c>
      <c r="C1022">
        <v>1</v>
      </c>
      <c r="D1022" t="s">
        <v>11</v>
      </c>
      <c r="E1022" t="s">
        <v>21</v>
      </c>
      <c r="F1022" t="s">
        <v>22</v>
      </c>
      <c r="H1022" t="s">
        <v>71</v>
      </c>
      <c r="I1022" t="s">
        <v>3617</v>
      </c>
      <c r="J1022" t="s">
        <v>2580</v>
      </c>
      <c r="K1022" t="s">
        <v>868</v>
      </c>
      <c r="L1022" t="s">
        <v>3618</v>
      </c>
      <c r="M1022" t="s">
        <v>2580</v>
      </c>
      <c r="N1022" t="s">
        <v>2581</v>
      </c>
      <c r="Q1022" t="s">
        <v>3599</v>
      </c>
      <c r="R1022" t="s">
        <v>3599</v>
      </c>
      <c r="S1022" t="s">
        <v>3599</v>
      </c>
      <c r="T1022">
        <v>1</v>
      </c>
      <c r="U1022" t="s">
        <v>868</v>
      </c>
      <c r="V1022">
        <v>5</v>
      </c>
      <c r="W1022">
        <v>0</v>
      </c>
      <c r="X1022">
        <v>0</v>
      </c>
    </row>
    <row r="1023" spans="1:24" x14ac:dyDescent="0.3">
      <c r="A1023" t="s">
        <v>2582</v>
      </c>
      <c r="B1023" t="s">
        <v>2583</v>
      </c>
      <c r="C1023">
        <v>1</v>
      </c>
      <c r="D1023" t="s">
        <v>11</v>
      </c>
      <c r="E1023" t="s">
        <v>21</v>
      </c>
      <c r="F1023" t="s">
        <v>22</v>
      </c>
      <c r="H1023" t="s">
        <v>71</v>
      </c>
      <c r="I1023" t="s">
        <v>3617</v>
      </c>
      <c r="J1023" t="s">
        <v>2582</v>
      </c>
      <c r="K1023" t="s">
        <v>868</v>
      </c>
      <c r="L1023" t="s">
        <v>3618</v>
      </c>
      <c r="M1023" t="s">
        <v>2582</v>
      </c>
      <c r="N1023" t="s">
        <v>2583</v>
      </c>
      <c r="Q1023" t="s">
        <v>3599</v>
      </c>
      <c r="R1023" t="s">
        <v>3599</v>
      </c>
      <c r="S1023" t="s">
        <v>3599</v>
      </c>
      <c r="T1023">
        <v>1</v>
      </c>
      <c r="U1023" t="s">
        <v>868</v>
      </c>
      <c r="V1023">
        <v>5</v>
      </c>
      <c r="W1023">
        <v>0</v>
      </c>
      <c r="X1023">
        <v>0</v>
      </c>
    </row>
    <row r="1024" spans="1:24" x14ac:dyDescent="0.3">
      <c r="A1024" t="s">
        <v>2584</v>
      </c>
      <c r="B1024" t="s">
        <v>2585</v>
      </c>
      <c r="C1024">
        <v>1</v>
      </c>
      <c r="D1024" t="s">
        <v>11</v>
      </c>
      <c r="E1024" t="s">
        <v>21</v>
      </c>
      <c r="F1024" t="s">
        <v>22</v>
      </c>
      <c r="H1024" t="s">
        <v>71</v>
      </c>
      <c r="I1024" t="s">
        <v>3617</v>
      </c>
      <c r="J1024" t="s">
        <v>2584</v>
      </c>
      <c r="K1024" t="s">
        <v>868</v>
      </c>
      <c r="L1024" t="s">
        <v>3618</v>
      </c>
      <c r="M1024" t="s">
        <v>2584</v>
      </c>
      <c r="N1024" t="s">
        <v>2585</v>
      </c>
      <c r="Q1024" t="s">
        <v>3599</v>
      </c>
      <c r="R1024" t="s">
        <v>3599</v>
      </c>
      <c r="S1024" t="s">
        <v>3599</v>
      </c>
      <c r="T1024">
        <v>1</v>
      </c>
      <c r="U1024" t="s">
        <v>868</v>
      </c>
      <c r="V1024">
        <v>5</v>
      </c>
      <c r="W1024">
        <v>0</v>
      </c>
      <c r="X1024">
        <v>0</v>
      </c>
    </row>
    <row r="1025" spans="1:24" x14ac:dyDescent="0.3">
      <c r="A1025" t="s">
        <v>2586</v>
      </c>
      <c r="B1025" t="s">
        <v>2587</v>
      </c>
      <c r="C1025">
        <v>1</v>
      </c>
      <c r="D1025" t="s">
        <v>11</v>
      </c>
      <c r="E1025" t="s">
        <v>21</v>
      </c>
      <c r="F1025" t="s">
        <v>22</v>
      </c>
      <c r="H1025" t="s">
        <v>71</v>
      </c>
      <c r="I1025" t="s">
        <v>3617</v>
      </c>
      <c r="J1025" t="s">
        <v>2586</v>
      </c>
      <c r="K1025" t="s">
        <v>868</v>
      </c>
      <c r="L1025" t="s">
        <v>3618</v>
      </c>
      <c r="M1025" t="s">
        <v>2586</v>
      </c>
      <c r="N1025" t="s">
        <v>2587</v>
      </c>
      <c r="Q1025" t="s">
        <v>3599</v>
      </c>
      <c r="R1025" t="s">
        <v>3599</v>
      </c>
      <c r="S1025" t="s">
        <v>3599</v>
      </c>
      <c r="T1025">
        <v>1</v>
      </c>
      <c r="U1025" t="s">
        <v>868</v>
      </c>
      <c r="V1025">
        <v>5</v>
      </c>
      <c r="W1025">
        <v>0</v>
      </c>
      <c r="X1025">
        <v>0</v>
      </c>
    </row>
    <row r="1026" spans="1:24" x14ac:dyDescent="0.3">
      <c r="A1026" t="s">
        <v>2588</v>
      </c>
      <c r="B1026" t="s">
        <v>2589</v>
      </c>
      <c r="C1026">
        <v>1</v>
      </c>
      <c r="D1026" t="s">
        <v>11</v>
      </c>
      <c r="E1026" t="s">
        <v>21</v>
      </c>
      <c r="F1026" t="s">
        <v>22</v>
      </c>
      <c r="H1026" t="s">
        <v>71</v>
      </c>
      <c r="I1026" t="s">
        <v>3617</v>
      </c>
      <c r="J1026" t="s">
        <v>2588</v>
      </c>
      <c r="K1026" t="s">
        <v>868</v>
      </c>
      <c r="L1026" t="s">
        <v>3618</v>
      </c>
      <c r="M1026" t="s">
        <v>2588</v>
      </c>
      <c r="N1026" t="s">
        <v>2589</v>
      </c>
      <c r="Q1026" t="s">
        <v>3599</v>
      </c>
      <c r="R1026" t="s">
        <v>3599</v>
      </c>
      <c r="S1026" t="s">
        <v>3599</v>
      </c>
      <c r="T1026">
        <v>1</v>
      </c>
      <c r="U1026" t="s">
        <v>868</v>
      </c>
      <c r="V1026">
        <v>5</v>
      </c>
      <c r="W1026">
        <v>0</v>
      </c>
      <c r="X1026">
        <v>0</v>
      </c>
    </row>
    <row r="1027" spans="1:24" x14ac:dyDescent="0.3">
      <c r="A1027" t="s">
        <v>2590</v>
      </c>
      <c r="B1027" t="s">
        <v>2591</v>
      </c>
      <c r="C1027">
        <v>1</v>
      </c>
      <c r="D1027" t="s">
        <v>11</v>
      </c>
      <c r="E1027" t="s">
        <v>21</v>
      </c>
      <c r="F1027" t="s">
        <v>22</v>
      </c>
      <c r="H1027" t="s">
        <v>71</v>
      </c>
      <c r="I1027" t="s">
        <v>3617</v>
      </c>
      <c r="J1027" t="s">
        <v>2590</v>
      </c>
      <c r="K1027" t="s">
        <v>868</v>
      </c>
      <c r="L1027" t="s">
        <v>3618</v>
      </c>
      <c r="M1027" t="s">
        <v>2590</v>
      </c>
      <c r="N1027" t="s">
        <v>2591</v>
      </c>
      <c r="Q1027" t="s">
        <v>3599</v>
      </c>
      <c r="R1027" t="s">
        <v>3599</v>
      </c>
      <c r="S1027" t="s">
        <v>3599</v>
      </c>
      <c r="T1027">
        <v>1</v>
      </c>
      <c r="U1027" t="s">
        <v>868</v>
      </c>
      <c r="V1027">
        <v>5</v>
      </c>
      <c r="W1027">
        <v>0</v>
      </c>
      <c r="X1027">
        <v>0</v>
      </c>
    </row>
    <row r="1028" spans="1:24" x14ac:dyDescent="0.3">
      <c r="A1028" t="s">
        <v>891</v>
      </c>
      <c r="B1028" t="s">
        <v>892</v>
      </c>
      <c r="C1028">
        <v>1</v>
      </c>
      <c r="D1028" t="s">
        <v>11</v>
      </c>
      <c r="E1028" t="s">
        <v>21</v>
      </c>
      <c r="F1028" t="s">
        <v>22</v>
      </c>
      <c r="H1028" t="s">
        <v>71</v>
      </c>
      <c r="I1028" t="s">
        <v>3617</v>
      </c>
      <c r="J1028" t="s">
        <v>891</v>
      </c>
      <c r="K1028" t="s">
        <v>868</v>
      </c>
      <c r="L1028" t="s">
        <v>3618</v>
      </c>
      <c r="M1028" t="s">
        <v>891</v>
      </c>
      <c r="N1028" t="s">
        <v>892</v>
      </c>
      <c r="Q1028" t="s">
        <v>3599</v>
      </c>
      <c r="R1028" t="s">
        <v>3599</v>
      </c>
      <c r="S1028" t="s">
        <v>3599</v>
      </c>
      <c r="T1028">
        <v>1</v>
      </c>
      <c r="U1028" t="s">
        <v>868</v>
      </c>
      <c r="V1028">
        <v>5</v>
      </c>
      <c r="W1028">
        <v>0</v>
      </c>
      <c r="X1028">
        <v>0</v>
      </c>
    </row>
    <row r="1029" spans="1:24" x14ac:dyDescent="0.3">
      <c r="A1029" t="s">
        <v>2592</v>
      </c>
      <c r="B1029" t="s">
        <v>2593</v>
      </c>
      <c r="C1029">
        <v>1</v>
      </c>
      <c r="D1029" t="s">
        <v>11</v>
      </c>
      <c r="E1029" t="s">
        <v>21</v>
      </c>
      <c r="F1029" t="s">
        <v>22</v>
      </c>
      <c r="H1029" t="s">
        <v>71</v>
      </c>
      <c r="I1029" t="s">
        <v>3617</v>
      </c>
      <c r="J1029" t="s">
        <v>2592</v>
      </c>
      <c r="K1029" t="s">
        <v>868</v>
      </c>
      <c r="L1029" t="s">
        <v>3618</v>
      </c>
      <c r="M1029" t="s">
        <v>2592</v>
      </c>
      <c r="N1029" t="s">
        <v>2593</v>
      </c>
      <c r="Q1029" t="s">
        <v>3599</v>
      </c>
      <c r="R1029" t="s">
        <v>3599</v>
      </c>
      <c r="S1029" t="s">
        <v>3599</v>
      </c>
      <c r="T1029">
        <v>1</v>
      </c>
      <c r="U1029" t="s">
        <v>868</v>
      </c>
      <c r="V1029">
        <v>5</v>
      </c>
      <c r="W1029">
        <v>0</v>
      </c>
      <c r="X1029">
        <v>0</v>
      </c>
    </row>
    <row r="1030" spans="1:24" x14ac:dyDescent="0.3">
      <c r="A1030" t="s">
        <v>2594</v>
      </c>
      <c r="B1030" t="s">
        <v>2595</v>
      </c>
      <c r="C1030">
        <v>1</v>
      </c>
      <c r="D1030" t="s">
        <v>11</v>
      </c>
      <c r="E1030" t="s">
        <v>21</v>
      </c>
      <c r="F1030" t="s">
        <v>22</v>
      </c>
      <c r="H1030" t="s">
        <v>71</v>
      </c>
      <c r="I1030" t="s">
        <v>3617</v>
      </c>
      <c r="J1030" t="s">
        <v>2594</v>
      </c>
      <c r="K1030" t="s">
        <v>868</v>
      </c>
      <c r="L1030" t="s">
        <v>3618</v>
      </c>
      <c r="M1030" t="s">
        <v>2594</v>
      </c>
      <c r="N1030" t="s">
        <v>2595</v>
      </c>
      <c r="Q1030" t="s">
        <v>3599</v>
      </c>
      <c r="R1030" t="s">
        <v>3599</v>
      </c>
      <c r="S1030" t="s">
        <v>3599</v>
      </c>
      <c r="T1030">
        <v>1</v>
      </c>
      <c r="U1030" t="s">
        <v>868</v>
      </c>
      <c r="V1030">
        <v>5</v>
      </c>
      <c r="W1030">
        <v>0</v>
      </c>
      <c r="X1030">
        <v>0</v>
      </c>
    </row>
    <row r="1031" spans="1:24" x14ac:dyDescent="0.3">
      <c r="A1031" t="s">
        <v>2596</v>
      </c>
      <c r="B1031" t="s">
        <v>2597</v>
      </c>
      <c r="C1031">
        <v>1</v>
      </c>
      <c r="D1031" t="s">
        <v>11</v>
      </c>
      <c r="E1031" t="s">
        <v>21</v>
      </c>
      <c r="F1031" t="s">
        <v>22</v>
      </c>
      <c r="H1031" t="s">
        <v>71</v>
      </c>
      <c r="I1031" t="s">
        <v>3617</v>
      </c>
      <c r="J1031" t="s">
        <v>2596</v>
      </c>
      <c r="K1031" t="s">
        <v>868</v>
      </c>
      <c r="L1031" t="s">
        <v>3618</v>
      </c>
      <c r="M1031" t="s">
        <v>2596</v>
      </c>
      <c r="N1031" t="s">
        <v>2597</v>
      </c>
      <c r="Q1031" t="s">
        <v>3599</v>
      </c>
      <c r="R1031" t="s">
        <v>3599</v>
      </c>
      <c r="S1031" t="s">
        <v>3599</v>
      </c>
      <c r="T1031">
        <v>1</v>
      </c>
      <c r="U1031" t="s">
        <v>868</v>
      </c>
      <c r="V1031">
        <v>5</v>
      </c>
      <c r="W1031">
        <v>0</v>
      </c>
      <c r="X1031">
        <v>0</v>
      </c>
    </row>
    <row r="1032" spans="1:24" x14ac:dyDescent="0.3">
      <c r="A1032" t="s">
        <v>2598</v>
      </c>
      <c r="B1032" t="s">
        <v>2599</v>
      </c>
      <c r="C1032">
        <v>1</v>
      </c>
      <c r="D1032" t="s">
        <v>11</v>
      </c>
      <c r="E1032" t="s">
        <v>21</v>
      </c>
      <c r="F1032" t="s">
        <v>22</v>
      </c>
      <c r="H1032" t="s">
        <v>71</v>
      </c>
      <c r="I1032" t="s">
        <v>3617</v>
      </c>
      <c r="J1032" t="s">
        <v>2598</v>
      </c>
      <c r="K1032" t="s">
        <v>868</v>
      </c>
      <c r="L1032" t="s">
        <v>3618</v>
      </c>
      <c r="M1032" t="s">
        <v>2598</v>
      </c>
      <c r="N1032" t="s">
        <v>2599</v>
      </c>
      <c r="Q1032" t="s">
        <v>3599</v>
      </c>
      <c r="R1032" t="s">
        <v>3599</v>
      </c>
      <c r="S1032" t="s">
        <v>3599</v>
      </c>
      <c r="T1032">
        <v>1</v>
      </c>
      <c r="U1032" t="s">
        <v>868</v>
      </c>
      <c r="V1032">
        <v>5</v>
      </c>
      <c r="W1032">
        <v>0</v>
      </c>
      <c r="X1032">
        <v>0</v>
      </c>
    </row>
    <row r="1033" spans="1:24" x14ac:dyDescent="0.3">
      <c r="A1033" t="s">
        <v>2600</v>
      </c>
      <c r="B1033" t="s">
        <v>2601</v>
      </c>
      <c r="C1033">
        <v>1</v>
      </c>
      <c r="D1033" t="s">
        <v>11</v>
      </c>
      <c r="E1033" t="s">
        <v>21</v>
      </c>
      <c r="F1033" t="s">
        <v>22</v>
      </c>
      <c r="H1033" t="s">
        <v>71</v>
      </c>
      <c r="I1033" t="s">
        <v>3617</v>
      </c>
      <c r="J1033" t="s">
        <v>2600</v>
      </c>
      <c r="K1033" t="s">
        <v>868</v>
      </c>
      <c r="L1033" t="s">
        <v>3618</v>
      </c>
      <c r="M1033" t="s">
        <v>2600</v>
      </c>
      <c r="N1033" t="s">
        <v>2601</v>
      </c>
      <c r="Q1033" t="s">
        <v>3599</v>
      </c>
      <c r="R1033" t="s">
        <v>3599</v>
      </c>
      <c r="S1033" t="s">
        <v>3599</v>
      </c>
      <c r="T1033">
        <v>1</v>
      </c>
      <c r="U1033" t="s">
        <v>868</v>
      </c>
      <c r="V1033">
        <v>5</v>
      </c>
      <c r="W1033">
        <v>0</v>
      </c>
      <c r="X1033">
        <v>0</v>
      </c>
    </row>
    <row r="1034" spans="1:24" x14ac:dyDescent="0.3">
      <c r="A1034" t="s">
        <v>2602</v>
      </c>
      <c r="B1034" t="s">
        <v>2603</v>
      </c>
      <c r="C1034">
        <v>1</v>
      </c>
      <c r="D1034" t="s">
        <v>11</v>
      </c>
      <c r="E1034" t="s">
        <v>21</v>
      </c>
      <c r="F1034" t="s">
        <v>22</v>
      </c>
      <c r="H1034" t="s">
        <v>71</v>
      </c>
      <c r="I1034" t="s">
        <v>3617</v>
      </c>
      <c r="J1034" t="s">
        <v>2602</v>
      </c>
      <c r="K1034" t="s">
        <v>868</v>
      </c>
      <c r="L1034" t="s">
        <v>3618</v>
      </c>
      <c r="M1034" t="s">
        <v>2602</v>
      </c>
      <c r="N1034" t="s">
        <v>2603</v>
      </c>
      <c r="Q1034" t="s">
        <v>3599</v>
      </c>
      <c r="R1034" t="s">
        <v>3599</v>
      </c>
      <c r="S1034" t="s">
        <v>3599</v>
      </c>
      <c r="T1034">
        <v>1</v>
      </c>
      <c r="U1034" t="s">
        <v>868</v>
      </c>
      <c r="V1034">
        <v>5</v>
      </c>
      <c r="W1034">
        <v>0</v>
      </c>
      <c r="X1034">
        <v>0</v>
      </c>
    </row>
    <row r="1035" spans="1:24" x14ac:dyDescent="0.3">
      <c r="A1035" t="s">
        <v>2604</v>
      </c>
      <c r="B1035" t="s">
        <v>2605</v>
      </c>
      <c r="C1035">
        <v>1</v>
      </c>
      <c r="D1035" t="s">
        <v>11</v>
      </c>
      <c r="E1035" t="s">
        <v>21</v>
      </c>
      <c r="F1035" t="s">
        <v>22</v>
      </c>
      <c r="H1035" t="s">
        <v>71</v>
      </c>
      <c r="I1035" t="s">
        <v>3617</v>
      </c>
      <c r="J1035" t="s">
        <v>2604</v>
      </c>
      <c r="K1035" t="s">
        <v>868</v>
      </c>
      <c r="L1035" t="s">
        <v>3618</v>
      </c>
      <c r="M1035" t="s">
        <v>2604</v>
      </c>
      <c r="N1035" t="s">
        <v>2605</v>
      </c>
      <c r="Q1035" t="s">
        <v>3599</v>
      </c>
      <c r="R1035" t="s">
        <v>3599</v>
      </c>
      <c r="S1035" t="s">
        <v>3599</v>
      </c>
      <c r="T1035">
        <v>1</v>
      </c>
      <c r="U1035" t="s">
        <v>868</v>
      </c>
      <c r="V1035">
        <v>5</v>
      </c>
      <c r="W1035">
        <v>0</v>
      </c>
      <c r="X1035">
        <v>0</v>
      </c>
    </row>
    <row r="1036" spans="1:24" x14ac:dyDescent="0.3">
      <c r="A1036" t="s">
        <v>2606</v>
      </c>
      <c r="B1036" t="s">
        <v>2607</v>
      </c>
      <c r="C1036">
        <v>1</v>
      </c>
      <c r="D1036" t="s">
        <v>11</v>
      </c>
      <c r="E1036" t="s">
        <v>21</v>
      </c>
      <c r="F1036" t="s">
        <v>22</v>
      </c>
      <c r="H1036" t="s">
        <v>71</v>
      </c>
      <c r="I1036" t="s">
        <v>3617</v>
      </c>
      <c r="J1036" t="s">
        <v>2606</v>
      </c>
      <c r="K1036" t="s">
        <v>868</v>
      </c>
      <c r="L1036" t="s">
        <v>3618</v>
      </c>
      <c r="M1036" t="s">
        <v>2606</v>
      </c>
      <c r="N1036" t="s">
        <v>2607</v>
      </c>
      <c r="Q1036" t="s">
        <v>3599</v>
      </c>
      <c r="R1036" t="s">
        <v>3599</v>
      </c>
      <c r="S1036" t="s">
        <v>3599</v>
      </c>
      <c r="T1036">
        <v>1</v>
      </c>
      <c r="U1036" t="s">
        <v>868</v>
      </c>
      <c r="V1036">
        <v>5</v>
      </c>
      <c r="W1036">
        <v>0</v>
      </c>
      <c r="X1036">
        <v>0</v>
      </c>
    </row>
    <row r="1037" spans="1:24" x14ac:dyDescent="0.3">
      <c r="A1037" t="s">
        <v>2608</v>
      </c>
      <c r="B1037" t="s">
        <v>2609</v>
      </c>
      <c r="C1037">
        <v>1</v>
      </c>
      <c r="D1037" t="s">
        <v>11</v>
      </c>
      <c r="E1037" t="s">
        <v>21</v>
      </c>
      <c r="F1037" t="s">
        <v>22</v>
      </c>
      <c r="H1037" t="s">
        <v>71</v>
      </c>
      <c r="I1037" t="s">
        <v>3617</v>
      </c>
      <c r="J1037" t="s">
        <v>2608</v>
      </c>
      <c r="K1037" t="s">
        <v>868</v>
      </c>
      <c r="L1037" t="s">
        <v>3618</v>
      </c>
      <c r="M1037" t="s">
        <v>2608</v>
      </c>
      <c r="N1037" t="s">
        <v>2609</v>
      </c>
      <c r="Q1037" t="s">
        <v>3599</v>
      </c>
      <c r="R1037" t="s">
        <v>3599</v>
      </c>
      <c r="S1037" t="s">
        <v>3599</v>
      </c>
      <c r="T1037">
        <v>1</v>
      </c>
      <c r="U1037" t="s">
        <v>868</v>
      </c>
      <c r="V1037">
        <v>5</v>
      </c>
      <c r="W1037">
        <v>0</v>
      </c>
      <c r="X1037">
        <v>0</v>
      </c>
    </row>
    <row r="1038" spans="1:24" x14ac:dyDescent="0.3">
      <c r="A1038" t="s">
        <v>2610</v>
      </c>
      <c r="B1038" t="s">
        <v>2611</v>
      </c>
      <c r="C1038">
        <v>1</v>
      </c>
      <c r="D1038" t="s">
        <v>11</v>
      </c>
      <c r="E1038" t="s">
        <v>21</v>
      </c>
      <c r="F1038" t="s">
        <v>22</v>
      </c>
      <c r="H1038" t="s">
        <v>71</v>
      </c>
      <c r="I1038" t="s">
        <v>3617</v>
      </c>
      <c r="J1038" t="s">
        <v>2610</v>
      </c>
      <c r="K1038" t="s">
        <v>868</v>
      </c>
      <c r="L1038" t="s">
        <v>3618</v>
      </c>
      <c r="M1038" t="s">
        <v>2610</v>
      </c>
      <c r="N1038" t="s">
        <v>2611</v>
      </c>
      <c r="Q1038" t="s">
        <v>3599</v>
      </c>
      <c r="R1038" t="s">
        <v>3599</v>
      </c>
      <c r="S1038" t="s">
        <v>3599</v>
      </c>
      <c r="T1038">
        <v>1</v>
      </c>
      <c r="U1038" t="s">
        <v>868</v>
      </c>
      <c r="V1038">
        <v>5</v>
      </c>
      <c r="W1038">
        <v>0</v>
      </c>
      <c r="X1038">
        <v>0</v>
      </c>
    </row>
    <row r="1039" spans="1:24" x14ac:dyDescent="0.3">
      <c r="A1039" t="s">
        <v>2612</v>
      </c>
      <c r="B1039" t="s">
        <v>2613</v>
      </c>
      <c r="C1039">
        <v>1</v>
      </c>
      <c r="D1039" t="s">
        <v>11</v>
      </c>
      <c r="E1039" t="s">
        <v>21</v>
      </c>
      <c r="F1039" t="s">
        <v>22</v>
      </c>
      <c r="H1039" t="s">
        <v>71</v>
      </c>
      <c r="I1039" t="s">
        <v>3617</v>
      </c>
      <c r="J1039" t="s">
        <v>2612</v>
      </c>
      <c r="K1039" t="s">
        <v>868</v>
      </c>
      <c r="L1039" t="s">
        <v>3618</v>
      </c>
      <c r="M1039" t="s">
        <v>2612</v>
      </c>
      <c r="N1039" t="s">
        <v>2613</v>
      </c>
      <c r="Q1039" t="s">
        <v>3599</v>
      </c>
      <c r="R1039" t="s">
        <v>3599</v>
      </c>
      <c r="S1039" t="s">
        <v>3599</v>
      </c>
      <c r="T1039">
        <v>1</v>
      </c>
      <c r="U1039" t="s">
        <v>868</v>
      </c>
      <c r="V1039">
        <v>5</v>
      </c>
      <c r="W1039">
        <v>0</v>
      </c>
      <c r="X1039">
        <v>0</v>
      </c>
    </row>
    <row r="1040" spans="1:24" x14ac:dyDescent="0.3">
      <c r="A1040" t="s">
        <v>2614</v>
      </c>
      <c r="B1040" t="s">
        <v>2615</v>
      </c>
      <c r="C1040">
        <v>1</v>
      </c>
      <c r="D1040" t="s">
        <v>11</v>
      </c>
      <c r="E1040" t="s">
        <v>21</v>
      </c>
      <c r="F1040" t="s">
        <v>22</v>
      </c>
      <c r="H1040" t="s">
        <v>71</v>
      </c>
      <c r="I1040" t="s">
        <v>3617</v>
      </c>
      <c r="J1040" t="s">
        <v>2614</v>
      </c>
      <c r="K1040" t="s">
        <v>868</v>
      </c>
      <c r="L1040" t="s">
        <v>3618</v>
      </c>
      <c r="M1040" t="s">
        <v>2614</v>
      </c>
      <c r="N1040" t="s">
        <v>2615</v>
      </c>
      <c r="Q1040" t="s">
        <v>3599</v>
      </c>
      <c r="R1040" t="s">
        <v>3599</v>
      </c>
      <c r="S1040" t="s">
        <v>3599</v>
      </c>
      <c r="T1040">
        <v>1</v>
      </c>
      <c r="U1040" t="s">
        <v>868</v>
      </c>
      <c r="V1040">
        <v>5</v>
      </c>
      <c r="W1040">
        <v>0</v>
      </c>
      <c r="X1040">
        <v>0</v>
      </c>
    </row>
    <row r="1041" spans="1:24" x14ac:dyDescent="0.3">
      <c r="A1041" t="s">
        <v>2616</v>
      </c>
      <c r="B1041" t="s">
        <v>2617</v>
      </c>
      <c r="C1041">
        <v>1</v>
      </c>
      <c r="D1041" t="s">
        <v>11</v>
      </c>
      <c r="E1041" t="s">
        <v>21</v>
      </c>
      <c r="F1041" t="s">
        <v>22</v>
      </c>
      <c r="H1041" t="s">
        <v>71</v>
      </c>
      <c r="I1041" t="s">
        <v>3617</v>
      </c>
      <c r="J1041" t="s">
        <v>2616</v>
      </c>
      <c r="K1041" t="s">
        <v>868</v>
      </c>
      <c r="L1041" t="s">
        <v>3618</v>
      </c>
      <c r="M1041" t="s">
        <v>2616</v>
      </c>
      <c r="N1041" t="s">
        <v>2617</v>
      </c>
      <c r="Q1041" t="s">
        <v>3599</v>
      </c>
      <c r="R1041" t="s">
        <v>3599</v>
      </c>
      <c r="S1041" t="s">
        <v>3599</v>
      </c>
      <c r="T1041">
        <v>1</v>
      </c>
      <c r="U1041" t="s">
        <v>868</v>
      </c>
      <c r="V1041">
        <v>5</v>
      </c>
      <c r="W1041">
        <v>0</v>
      </c>
      <c r="X1041">
        <v>0</v>
      </c>
    </row>
    <row r="1042" spans="1:24" x14ac:dyDescent="0.3">
      <c r="A1042" t="s">
        <v>2618</v>
      </c>
      <c r="B1042" t="s">
        <v>2619</v>
      </c>
      <c r="C1042">
        <v>1</v>
      </c>
      <c r="D1042" t="s">
        <v>11</v>
      </c>
      <c r="E1042" t="s">
        <v>21</v>
      </c>
      <c r="F1042" t="s">
        <v>22</v>
      </c>
      <c r="H1042" t="s">
        <v>71</v>
      </c>
      <c r="I1042" t="s">
        <v>3617</v>
      </c>
      <c r="J1042" t="s">
        <v>2618</v>
      </c>
      <c r="K1042" t="s">
        <v>868</v>
      </c>
      <c r="L1042" t="s">
        <v>3618</v>
      </c>
      <c r="M1042" t="s">
        <v>2618</v>
      </c>
      <c r="N1042" t="s">
        <v>2619</v>
      </c>
      <c r="Q1042" t="s">
        <v>3599</v>
      </c>
      <c r="R1042" t="s">
        <v>3599</v>
      </c>
      <c r="S1042" t="s">
        <v>3599</v>
      </c>
      <c r="T1042">
        <v>1</v>
      </c>
      <c r="U1042" t="s">
        <v>868</v>
      </c>
      <c r="V1042">
        <v>5</v>
      </c>
      <c r="W1042">
        <v>0</v>
      </c>
      <c r="X1042">
        <v>0</v>
      </c>
    </row>
    <row r="1043" spans="1:24" x14ac:dyDescent="0.3">
      <c r="A1043" t="s">
        <v>2620</v>
      </c>
      <c r="B1043" t="s">
        <v>2621</v>
      </c>
      <c r="C1043">
        <v>1</v>
      </c>
      <c r="D1043" t="s">
        <v>11</v>
      </c>
      <c r="E1043" t="s">
        <v>21</v>
      </c>
      <c r="F1043" t="s">
        <v>22</v>
      </c>
      <c r="H1043" t="s">
        <v>71</v>
      </c>
      <c r="I1043" t="s">
        <v>3617</v>
      </c>
      <c r="J1043" t="s">
        <v>2620</v>
      </c>
      <c r="K1043" t="s">
        <v>868</v>
      </c>
      <c r="L1043" t="s">
        <v>3618</v>
      </c>
      <c r="M1043" t="s">
        <v>2620</v>
      </c>
      <c r="N1043" t="s">
        <v>2621</v>
      </c>
      <c r="Q1043" t="s">
        <v>3599</v>
      </c>
      <c r="R1043" t="s">
        <v>3599</v>
      </c>
      <c r="S1043" t="s">
        <v>3599</v>
      </c>
      <c r="T1043">
        <v>1</v>
      </c>
      <c r="U1043" t="s">
        <v>868</v>
      </c>
      <c r="V1043">
        <v>5</v>
      </c>
      <c r="W1043">
        <v>0</v>
      </c>
      <c r="X1043">
        <v>0</v>
      </c>
    </row>
    <row r="1044" spans="1:24" x14ac:dyDescent="0.3">
      <c r="A1044" t="s">
        <v>2622</v>
      </c>
      <c r="B1044" t="s">
        <v>2623</v>
      </c>
      <c r="C1044">
        <v>1</v>
      </c>
      <c r="D1044" t="s">
        <v>11</v>
      </c>
      <c r="E1044" t="s">
        <v>21</v>
      </c>
      <c r="F1044" t="s">
        <v>22</v>
      </c>
      <c r="H1044" t="s">
        <v>71</v>
      </c>
      <c r="I1044" t="s">
        <v>3617</v>
      </c>
      <c r="J1044" t="s">
        <v>2622</v>
      </c>
      <c r="K1044" t="s">
        <v>868</v>
      </c>
      <c r="L1044" t="s">
        <v>3618</v>
      </c>
      <c r="M1044" t="s">
        <v>2622</v>
      </c>
      <c r="N1044" t="s">
        <v>2623</v>
      </c>
      <c r="Q1044" t="s">
        <v>3599</v>
      </c>
      <c r="R1044" t="s">
        <v>3599</v>
      </c>
      <c r="S1044" t="s">
        <v>3599</v>
      </c>
      <c r="T1044">
        <v>1</v>
      </c>
      <c r="U1044" t="s">
        <v>868</v>
      </c>
      <c r="V1044">
        <v>5</v>
      </c>
      <c r="W1044">
        <v>0</v>
      </c>
      <c r="X1044">
        <v>0</v>
      </c>
    </row>
    <row r="1045" spans="1:24" x14ac:dyDescent="0.3">
      <c r="A1045" t="s">
        <v>2624</v>
      </c>
      <c r="B1045" t="s">
        <v>2625</v>
      </c>
      <c r="C1045">
        <v>1</v>
      </c>
      <c r="D1045" t="s">
        <v>11</v>
      </c>
      <c r="E1045" t="s">
        <v>21</v>
      </c>
      <c r="F1045" t="s">
        <v>22</v>
      </c>
      <c r="H1045" t="s">
        <v>71</v>
      </c>
      <c r="I1045" t="s">
        <v>3617</v>
      </c>
      <c r="J1045" t="s">
        <v>2624</v>
      </c>
      <c r="K1045" t="s">
        <v>868</v>
      </c>
      <c r="L1045" t="s">
        <v>3618</v>
      </c>
      <c r="M1045" t="s">
        <v>2624</v>
      </c>
      <c r="N1045" t="s">
        <v>2625</v>
      </c>
      <c r="Q1045" t="s">
        <v>3599</v>
      </c>
      <c r="R1045" t="s">
        <v>3599</v>
      </c>
      <c r="S1045" t="s">
        <v>3599</v>
      </c>
      <c r="T1045">
        <v>1</v>
      </c>
      <c r="U1045" t="s">
        <v>868</v>
      </c>
      <c r="V1045">
        <v>5</v>
      </c>
      <c r="W1045">
        <v>0</v>
      </c>
      <c r="X1045">
        <v>0</v>
      </c>
    </row>
    <row r="1046" spans="1:24" x14ac:dyDescent="0.3">
      <c r="A1046" t="s">
        <v>2626</v>
      </c>
      <c r="B1046" t="s">
        <v>2627</v>
      </c>
      <c r="C1046">
        <v>1</v>
      </c>
      <c r="D1046" t="s">
        <v>11</v>
      </c>
      <c r="E1046" t="s">
        <v>21</v>
      </c>
      <c r="F1046" t="s">
        <v>22</v>
      </c>
      <c r="H1046" t="s">
        <v>71</v>
      </c>
      <c r="I1046" t="s">
        <v>3617</v>
      </c>
      <c r="J1046" t="s">
        <v>2626</v>
      </c>
      <c r="K1046" t="s">
        <v>868</v>
      </c>
      <c r="L1046" t="s">
        <v>3618</v>
      </c>
      <c r="M1046" t="s">
        <v>2626</v>
      </c>
      <c r="N1046" t="s">
        <v>2627</v>
      </c>
      <c r="Q1046" t="s">
        <v>3599</v>
      </c>
      <c r="R1046" t="s">
        <v>3599</v>
      </c>
      <c r="S1046" t="s">
        <v>3599</v>
      </c>
      <c r="T1046">
        <v>1</v>
      </c>
      <c r="U1046" t="s">
        <v>868</v>
      </c>
      <c r="V1046">
        <v>5</v>
      </c>
      <c r="W1046">
        <v>0</v>
      </c>
      <c r="X1046">
        <v>0</v>
      </c>
    </row>
    <row r="1047" spans="1:24" x14ac:dyDescent="0.3">
      <c r="A1047" t="s">
        <v>2628</v>
      </c>
      <c r="B1047" t="s">
        <v>2629</v>
      </c>
      <c r="C1047">
        <v>1</v>
      </c>
      <c r="D1047" t="s">
        <v>11</v>
      </c>
      <c r="E1047" t="s">
        <v>21</v>
      </c>
      <c r="F1047" t="s">
        <v>22</v>
      </c>
      <c r="H1047" t="s">
        <v>71</v>
      </c>
      <c r="I1047" t="s">
        <v>3617</v>
      </c>
      <c r="J1047" t="s">
        <v>2628</v>
      </c>
      <c r="K1047" t="s">
        <v>868</v>
      </c>
      <c r="L1047" t="s">
        <v>3618</v>
      </c>
      <c r="M1047" t="s">
        <v>2628</v>
      </c>
      <c r="N1047" t="s">
        <v>2629</v>
      </c>
      <c r="Q1047" t="s">
        <v>3599</v>
      </c>
      <c r="R1047" t="s">
        <v>3599</v>
      </c>
      <c r="S1047" t="s">
        <v>3599</v>
      </c>
      <c r="T1047">
        <v>1</v>
      </c>
      <c r="U1047" t="s">
        <v>868</v>
      </c>
      <c r="V1047">
        <v>5</v>
      </c>
      <c r="W1047">
        <v>0</v>
      </c>
      <c r="X1047">
        <v>0</v>
      </c>
    </row>
    <row r="1048" spans="1:24" x14ac:dyDescent="0.3">
      <c r="A1048" t="s">
        <v>2630</v>
      </c>
      <c r="B1048" t="s">
        <v>2631</v>
      </c>
      <c r="C1048">
        <v>1</v>
      </c>
      <c r="D1048" t="s">
        <v>11</v>
      </c>
      <c r="E1048" t="s">
        <v>21</v>
      </c>
      <c r="F1048" t="s">
        <v>22</v>
      </c>
      <c r="H1048" t="s">
        <v>71</v>
      </c>
      <c r="I1048" t="s">
        <v>3617</v>
      </c>
      <c r="J1048" t="s">
        <v>2630</v>
      </c>
      <c r="K1048" t="s">
        <v>868</v>
      </c>
      <c r="L1048" t="s">
        <v>3618</v>
      </c>
      <c r="M1048" t="s">
        <v>2630</v>
      </c>
      <c r="N1048" t="s">
        <v>2631</v>
      </c>
      <c r="Q1048" t="s">
        <v>3599</v>
      </c>
      <c r="R1048" t="s">
        <v>3599</v>
      </c>
      <c r="S1048" t="s">
        <v>3599</v>
      </c>
      <c r="T1048">
        <v>1</v>
      </c>
      <c r="U1048" t="s">
        <v>868</v>
      </c>
      <c r="V1048">
        <v>5</v>
      </c>
      <c r="W1048">
        <v>0</v>
      </c>
      <c r="X1048">
        <v>0</v>
      </c>
    </row>
    <row r="1049" spans="1:24" x14ac:dyDescent="0.3">
      <c r="A1049" t="s">
        <v>2632</v>
      </c>
      <c r="B1049" t="s">
        <v>2633</v>
      </c>
      <c r="C1049">
        <v>1</v>
      </c>
      <c r="D1049" t="s">
        <v>11</v>
      </c>
      <c r="E1049" t="s">
        <v>21</v>
      </c>
      <c r="F1049" t="s">
        <v>22</v>
      </c>
      <c r="H1049" t="s">
        <v>71</v>
      </c>
      <c r="I1049" t="s">
        <v>3617</v>
      </c>
      <c r="J1049" t="s">
        <v>2632</v>
      </c>
      <c r="K1049" t="s">
        <v>868</v>
      </c>
      <c r="L1049" t="s">
        <v>3618</v>
      </c>
      <c r="M1049" t="s">
        <v>2632</v>
      </c>
      <c r="N1049" t="s">
        <v>2633</v>
      </c>
      <c r="Q1049" t="s">
        <v>3599</v>
      </c>
      <c r="R1049" t="s">
        <v>3599</v>
      </c>
      <c r="S1049" t="s">
        <v>3599</v>
      </c>
      <c r="T1049">
        <v>1</v>
      </c>
      <c r="U1049" t="s">
        <v>868</v>
      </c>
      <c r="V1049">
        <v>5</v>
      </c>
      <c r="W1049">
        <v>0</v>
      </c>
      <c r="X1049">
        <v>0</v>
      </c>
    </row>
    <row r="1050" spans="1:24" x14ac:dyDescent="0.3">
      <c r="A1050" t="s">
        <v>2634</v>
      </c>
      <c r="B1050" t="s">
        <v>2635</v>
      </c>
      <c r="C1050">
        <v>1</v>
      </c>
      <c r="D1050" t="s">
        <v>11</v>
      </c>
      <c r="E1050" t="s">
        <v>21</v>
      </c>
      <c r="F1050" t="s">
        <v>22</v>
      </c>
      <c r="H1050" t="s">
        <v>71</v>
      </c>
      <c r="I1050" t="s">
        <v>3617</v>
      </c>
      <c r="J1050" t="s">
        <v>2634</v>
      </c>
      <c r="K1050" t="s">
        <v>868</v>
      </c>
      <c r="L1050" t="s">
        <v>3618</v>
      </c>
      <c r="M1050" t="s">
        <v>2634</v>
      </c>
      <c r="N1050" t="s">
        <v>2635</v>
      </c>
      <c r="Q1050" t="s">
        <v>3599</v>
      </c>
      <c r="R1050" t="s">
        <v>3599</v>
      </c>
      <c r="S1050" t="s">
        <v>3599</v>
      </c>
      <c r="T1050">
        <v>1</v>
      </c>
      <c r="U1050" t="s">
        <v>868</v>
      </c>
      <c r="V1050">
        <v>5</v>
      </c>
      <c r="W1050">
        <v>0</v>
      </c>
      <c r="X1050">
        <v>0</v>
      </c>
    </row>
    <row r="1051" spans="1:24" x14ac:dyDescent="0.3">
      <c r="A1051" t="s">
        <v>2636</v>
      </c>
      <c r="B1051" t="s">
        <v>2637</v>
      </c>
      <c r="C1051">
        <v>1</v>
      </c>
      <c r="D1051" t="s">
        <v>11</v>
      </c>
      <c r="E1051" t="s">
        <v>21</v>
      </c>
      <c r="F1051" t="s">
        <v>22</v>
      </c>
      <c r="H1051" t="s">
        <v>71</v>
      </c>
      <c r="I1051" t="s">
        <v>3617</v>
      </c>
      <c r="J1051" t="s">
        <v>2636</v>
      </c>
      <c r="K1051" t="s">
        <v>868</v>
      </c>
      <c r="L1051" t="s">
        <v>3618</v>
      </c>
      <c r="M1051" t="s">
        <v>2636</v>
      </c>
      <c r="N1051" t="s">
        <v>2637</v>
      </c>
      <c r="Q1051" t="s">
        <v>3599</v>
      </c>
      <c r="R1051" t="s">
        <v>3599</v>
      </c>
      <c r="S1051" t="s">
        <v>3599</v>
      </c>
      <c r="T1051">
        <v>1</v>
      </c>
      <c r="U1051" t="s">
        <v>868</v>
      </c>
      <c r="V1051">
        <v>5</v>
      </c>
      <c r="W1051">
        <v>0</v>
      </c>
      <c r="X1051">
        <v>0</v>
      </c>
    </row>
    <row r="1052" spans="1:24" x14ac:dyDescent="0.3">
      <c r="A1052" t="s">
        <v>2638</v>
      </c>
      <c r="B1052" t="s">
        <v>2639</v>
      </c>
      <c r="C1052">
        <v>1</v>
      </c>
      <c r="D1052" t="s">
        <v>11</v>
      </c>
      <c r="E1052" t="s">
        <v>21</v>
      </c>
      <c r="F1052" t="s">
        <v>22</v>
      </c>
      <c r="H1052" t="s">
        <v>71</v>
      </c>
      <c r="I1052" t="s">
        <v>3617</v>
      </c>
      <c r="J1052" t="s">
        <v>2638</v>
      </c>
      <c r="K1052" t="s">
        <v>868</v>
      </c>
      <c r="L1052" t="s">
        <v>3618</v>
      </c>
      <c r="M1052" t="s">
        <v>2638</v>
      </c>
      <c r="N1052" t="s">
        <v>2639</v>
      </c>
      <c r="Q1052" t="s">
        <v>3599</v>
      </c>
      <c r="R1052" t="s">
        <v>3599</v>
      </c>
      <c r="S1052" t="s">
        <v>3599</v>
      </c>
      <c r="T1052">
        <v>1</v>
      </c>
      <c r="U1052" t="s">
        <v>868</v>
      </c>
      <c r="V1052">
        <v>5</v>
      </c>
      <c r="W1052">
        <v>0</v>
      </c>
      <c r="X1052">
        <v>0</v>
      </c>
    </row>
    <row r="1053" spans="1:24" x14ac:dyDescent="0.3">
      <c r="A1053" t="s">
        <v>2640</v>
      </c>
      <c r="B1053" t="s">
        <v>2641</v>
      </c>
      <c r="C1053">
        <v>1</v>
      </c>
      <c r="D1053" t="s">
        <v>11</v>
      </c>
      <c r="E1053" t="s">
        <v>21</v>
      </c>
      <c r="F1053" t="s">
        <v>22</v>
      </c>
      <c r="H1053" t="s">
        <v>71</v>
      </c>
      <c r="I1053" t="s">
        <v>3617</v>
      </c>
      <c r="J1053" t="s">
        <v>2640</v>
      </c>
      <c r="K1053" t="s">
        <v>868</v>
      </c>
      <c r="L1053" t="s">
        <v>3618</v>
      </c>
      <c r="M1053" t="s">
        <v>2640</v>
      </c>
      <c r="N1053" t="s">
        <v>2641</v>
      </c>
      <c r="Q1053" t="s">
        <v>3599</v>
      </c>
      <c r="R1053" t="s">
        <v>3599</v>
      </c>
      <c r="S1053" t="s">
        <v>3599</v>
      </c>
      <c r="T1053">
        <v>1</v>
      </c>
      <c r="U1053" t="s">
        <v>868</v>
      </c>
      <c r="V1053">
        <v>5</v>
      </c>
      <c r="W1053">
        <v>0</v>
      </c>
      <c r="X1053">
        <v>0</v>
      </c>
    </row>
    <row r="1054" spans="1:24" x14ac:dyDescent="0.3">
      <c r="A1054" t="s">
        <v>2642</v>
      </c>
      <c r="B1054" t="s">
        <v>2643</v>
      </c>
      <c r="C1054">
        <v>1</v>
      </c>
      <c r="D1054" t="s">
        <v>11</v>
      </c>
      <c r="E1054" t="s">
        <v>21</v>
      </c>
      <c r="F1054" t="s">
        <v>22</v>
      </c>
      <c r="H1054" t="s">
        <v>71</v>
      </c>
      <c r="I1054" t="s">
        <v>3617</v>
      </c>
      <c r="J1054" t="s">
        <v>2642</v>
      </c>
      <c r="K1054" t="s">
        <v>868</v>
      </c>
      <c r="L1054" t="s">
        <v>3618</v>
      </c>
      <c r="M1054" t="s">
        <v>2642</v>
      </c>
      <c r="N1054" t="s">
        <v>2643</v>
      </c>
      <c r="Q1054" t="s">
        <v>3599</v>
      </c>
      <c r="R1054" t="s">
        <v>3599</v>
      </c>
      <c r="S1054" t="s">
        <v>3599</v>
      </c>
      <c r="T1054">
        <v>1</v>
      </c>
      <c r="U1054" t="s">
        <v>868</v>
      </c>
      <c r="V1054">
        <v>5</v>
      </c>
      <c r="W1054">
        <v>0</v>
      </c>
      <c r="X1054">
        <v>0</v>
      </c>
    </row>
    <row r="1055" spans="1:24" x14ac:dyDescent="0.3">
      <c r="A1055" t="s">
        <v>2644</v>
      </c>
      <c r="B1055" t="s">
        <v>2645</v>
      </c>
      <c r="C1055">
        <v>1</v>
      </c>
      <c r="D1055" t="s">
        <v>11</v>
      </c>
      <c r="E1055" t="s">
        <v>21</v>
      </c>
      <c r="F1055" t="s">
        <v>22</v>
      </c>
      <c r="H1055" t="s">
        <v>71</v>
      </c>
      <c r="I1055" t="s">
        <v>3617</v>
      </c>
      <c r="J1055" t="s">
        <v>2644</v>
      </c>
      <c r="K1055" t="s">
        <v>868</v>
      </c>
      <c r="L1055" t="s">
        <v>3618</v>
      </c>
      <c r="M1055" t="s">
        <v>2644</v>
      </c>
      <c r="N1055" t="s">
        <v>2645</v>
      </c>
      <c r="Q1055" t="s">
        <v>3599</v>
      </c>
      <c r="R1055" t="s">
        <v>3599</v>
      </c>
      <c r="S1055" t="s">
        <v>3599</v>
      </c>
      <c r="T1055">
        <v>1</v>
      </c>
      <c r="U1055" t="s">
        <v>868</v>
      </c>
      <c r="V1055">
        <v>5</v>
      </c>
      <c r="W1055">
        <v>0</v>
      </c>
      <c r="X1055">
        <v>0</v>
      </c>
    </row>
    <row r="1056" spans="1:24" x14ac:dyDescent="0.3">
      <c r="A1056" t="s">
        <v>2646</v>
      </c>
      <c r="B1056" t="s">
        <v>2647</v>
      </c>
      <c r="C1056">
        <v>1</v>
      </c>
      <c r="D1056" t="s">
        <v>11</v>
      </c>
      <c r="E1056" t="s">
        <v>21</v>
      </c>
      <c r="F1056" t="s">
        <v>22</v>
      </c>
      <c r="H1056" t="s">
        <v>71</v>
      </c>
      <c r="I1056" t="s">
        <v>3617</v>
      </c>
      <c r="J1056" t="s">
        <v>2646</v>
      </c>
      <c r="K1056" t="s">
        <v>868</v>
      </c>
      <c r="L1056" t="s">
        <v>3618</v>
      </c>
      <c r="M1056" t="s">
        <v>2646</v>
      </c>
      <c r="N1056" t="s">
        <v>2647</v>
      </c>
      <c r="Q1056" t="s">
        <v>3599</v>
      </c>
      <c r="R1056" t="s">
        <v>3599</v>
      </c>
      <c r="S1056" t="s">
        <v>3599</v>
      </c>
      <c r="T1056">
        <v>1</v>
      </c>
      <c r="U1056" t="s">
        <v>868</v>
      </c>
      <c r="V1056">
        <v>5</v>
      </c>
      <c r="W1056">
        <v>0</v>
      </c>
      <c r="X1056">
        <v>0</v>
      </c>
    </row>
    <row r="1057" spans="1:24" x14ac:dyDescent="0.3">
      <c r="A1057" t="s">
        <v>2648</v>
      </c>
      <c r="B1057" t="s">
        <v>2649</v>
      </c>
      <c r="C1057">
        <v>1</v>
      </c>
      <c r="D1057" t="s">
        <v>11</v>
      </c>
      <c r="E1057" t="s">
        <v>21</v>
      </c>
      <c r="F1057" t="s">
        <v>22</v>
      </c>
      <c r="H1057" t="s">
        <v>71</v>
      </c>
      <c r="I1057" t="s">
        <v>3617</v>
      </c>
      <c r="J1057" t="s">
        <v>2648</v>
      </c>
      <c r="K1057" t="s">
        <v>868</v>
      </c>
      <c r="L1057" t="s">
        <v>3618</v>
      </c>
      <c r="M1057" t="s">
        <v>2648</v>
      </c>
      <c r="N1057" t="s">
        <v>2649</v>
      </c>
      <c r="Q1057" t="s">
        <v>3599</v>
      </c>
      <c r="R1057" t="s">
        <v>3599</v>
      </c>
      <c r="S1057" t="s">
        <v>3599</v>
      </c>
      <c r="T1057">
        <v>1</v>
      </c>
      <c r="U1057" t="s">
        <v>868</v>
      </c>
      <c r="V1057">
        <v>5</v>
      </c>
      <c r="W1057">
        <v>0</v>
      </c>
      <c r="X1057">
        <v>0</v>
      </c>
    </row>
    <row r="1058" spans="1:24" x14ac:dyDescent="0.3">
      <c r="A1058" t="s">
        <v>2650</v>
      </c>
      <c r="B1058" t="s">
        <v>2651</v>
      </c>
      <c r="C1058">
        <v>1</v>
      </c>
      <c r="D1058" t="s">
        <v>11</v>
      </c>
      <c r="E1058" t="s">
        <v>21</v>
      </c>
      <c r="F1058" t="s">
        <v>22</v>
      </c>
      <c r="H1058" t="s">
        <v>71</v>
      </c>
      <c r="I1058" t="s">
        <v>3617</v>
      </c>
      <c r="J1058" t="s">
        <v>2650</v>
      </c>
      <c r="K1058" t="s">
        <v>868</v>
      </c>
      <c r="L1058" t="s">
        <v>3618</v>
      </c>
      <c r="M1058" t="s">
        <v>2650</v>
      </c>
      <c r="N1058" t="s">
        <v>2651</v>
      </c>
      <c r="Q1058" t="s">
        <v>3599</v>
      </c>
      <c r="R1058" t="s">
        <v>3599</v>
      </c>
      <c r="S1058" t="s">
        <v>3599</v>
      </c>
      <c r="T1058">
        <v>1</v>
      </c>
      <c r="U1058" t="s">
        <v>868</v>
      </c>
      <c r="V1058">
        <v>5</v>
      </c>
      <c r="W1058">
        <v>0</v>
      </c>
      <c r="X1058">
        <v>0</v>
      </c>
    </row>
    <row r="1059" spans="1:24" x14ac:dyDescent="0.3">
      <c r="A1059" t="s">
        <v>2652</v>
      </c>
      <c r="B1059" t="s">
        <v>2653</v>
      </c>
      <c r="C1059">
        <v>1</v>
      </c>
      <c r="D1059" t="s">
        <v>11</v>
      </c>
      <c r="E1059" t="s">
        <v>21</v>
      </c>
      <c r="F1059" t="s">
        <v>22</v>
      </c>
      <c r="H1059" t="s">
        <v>71</v>
      </c>
      <c r="I1059" t="s">
        <v>3617</v>
      </c>
      <c r="J1059" t="s">
        <v>2652</v>
      </c>
      <c r="K1059" t="s">
        <v>868</v>
      </c>
      <c r="L1059" t="s">
        <v>3618</v>
      </c>
      <c r="M1059" t="s">
        <v>2652</v>
      </c>
      <c r="N1059" t="s">
        <v>2653</v>
      </c>
      <c r="Q1059" t="s">
        <v>3599</v>
      </c>
      <c r="R1059" t="s">
        <v>3599</v>
      </c>
      <c r="S1059" t="s">
        <v>3599</v>
      </c>
      <c r="T1059">
        <v>1</v>
      </c>
      <c r="U1059" t="s">
        <v>868</v>
      </c>
      <c r="V1059">
        <v>5</v>
      </c>
      <c r="W1059">
        <v>0</v>
      </c>
      <c r="X1059">
        <v>0</v>
      </c>
    </row>
    <row r="1060" spans="1:24" x14ac:dyDescent="0.3">
      <c r="A1060" t="s">
        <v>2654</v>
      </c>
      <c r="B1060" t="s">
        <v>2655</v>
      </c>
      <c r="C1060">
        <v>1</v>
      </c>
      <c r="D1060" t="s">
        <v>11</v>
      </c>
      <c r="E1060" t="s">
        <v>21</v>
      </c>
      <c r="F1060" t="s">
        <v>22</v>
      </c>
      <c r="H1060" t="s">
        <v>71</v>
      </c>
      <c r="I1060" t="s">
        <v>3617</v>
      </c>
      <c r="J1060" t="s">
        <v>2654</v>
      </c>
      <c r="K1060" t="s">
        <v>868</v>
      </c>
      <c r="L1060" t="s">
        <v>3618</v>
      </c>
      <c r="M1060" t="s">
        <v>2654</v>
      </c>
      <c r="N1060" t="s">
        <v>2655</v>
      </c>
      <c r="Q1060" t="s">
        <v>3599</v>
      </c>
      <c r="R1060" t="s">
        <v>3599</v>
      </c>
      <c r="S1060" t="s">
        <v>3599</v>
      </c>
      <c r="T1060">
        <v>1</v>
      </c>
      <c r="U1060" t="s">
        <v>868</v>
      </c>
      <c r="V1060">
        <v>5</v>
      </c>
      <c r="W1060">
        <v>0</v>
      </c>
      <c r="X1060">
        <v>0</v>
      </c>
    </row>
    <row r="1061" spans="1:24" x14ac:dyDescent="0.3">
      <c r="A1061" t="s">
        <v>2656</v>
      </c>
      <c r="B1061" t="s">
        <v>2657</v>
      </c>
      <c r="C1061">
        <v>1</v>
      </c>
      <c r="D1061" t="s">
        <v>11</v>
      </c>
      <c r="E1061" t="s">
        <v>21</v>
      </c>
      <c r="F1061" t="s">
        <v>22</v>
      </c>
      <c r="H1061" t="s">
        <v>71</v>
      </c>
      <c r="I1061" t="s">
        <v>3617</v>
      </c>
      <c r="J1061" t="s">
        <v>2656</v>
      </c>
      <c r="K1061" t="s">
        <v>868</v>
      </c>
      <c r="L1061" t="s">
        <v>3618</v>
      </c>
      <c r="M1061" t="s">
        <v>2656</v>
      </c>
      <c r="N1061" t="s">
        <v>2657</v>
      </c>
      <c r="Q1061" t="s">
        <v>3599</v>
      </c>
      <c r="R1061" t="s">
        <v>3599</v>
      </c>
      <c r="S1061" t="s">
        <v>3599</v>
      </c>
      <c r="T1061">
        <v>1</v>
      </c>
      <c r="U1061" t="s">
        <v>868</v>
      </c>
      <c r="V1061">
        <v>5</v>
      </c>
      <c r="W1061">
        <v>0</v>
      </c>
      <c r="X1061">
        <v>0</v>
      </c>
    </row>
    <row r="1062" spans="1:24" x14ac:dyDescent="0.3">
      <c r="A1062" t="s">
        <v>2658</v>
      </c>
      <c r="B1062" t="s">
        <v>2659</v>
      </c>
      <c r="C1062">
        <v>1</v>
      </c>
      <c r="D1062" t="s">
        <v>11</v>
      </c>
      <c r="E1062" t="s">
        <v>21</v>
      </c>
      <c r="F1062" t="s">
        <v>22</v>
      </c>
      <c r="H1062" t="s">
        <v>71</v>
      </c>
      <c r="I1062" t="s">
        <v>3617</v>
      </c>
      <c r="K1062" t="s">
        <v>868</v>
      </c>
      <c r="L1062" t="s">
        <v>3618</v>
      </c>
      <c r="N1062" t="s">
        <v>2659</v>
      </c>
      <c r="Q1062" t="s">
        <v>3599</v>
      </c>
      <c r="R1062" t="s">
        <v>3599</v>
      </c>
      <c r="S1062" t="s">
        <v>3599</v>
      </c>
      <c r="T1062">
        <v>1</v>
      </c>
      <c r="U1062" t="s">
        <v>868</v>
      </c>
      <c r="V1062">
        <v>5</v>
      </c>
      <c r="W1062">
        <v>0</v>
      </c>
      <c r="X1062">
        <v>0</v>
      </c>
    </row>
    <row r="1063" spans="1:24" x14ac:dyDescent="0.3">
      <c r="A1063" t="s">
        <v>2660</v>
      </c>
      <c r="B1063" t="s">
        <v>2661</v>
      </c>
      <c r="C1063">
        <v>1</v>
      </c>
      <c r="D1063" t="s">
        <v>11</v>
      </c>
      <c r="E1063" t="s">
        <v>21</v>
      </c>
      <c r="F1063" t="s">
        <v>22</v>
      </c>
      <c r="H1063" t="s">
        <v>71</v>
      </c>
      <c r="I1063" t="s">
        <v>3617</v>
      </c>
      <c r="J1063" t="s">
        <v>2660</v>
      </c>
      <c r="K1063" t="s">
        <v>868</v>
      </c>
      <c r="L1063" t="s">
        <v>3618</v>
      </c>
      <c r="M1063" t="s">
        <v>2660</v>
      </c>
      <c r="N1063" t="s">
        <v>2661</v>
      </c>
      <c r="Q1063" t="s">
        <v>3599</v>
      </c>
      <c r="R1063" t="s">
        <v>3599</v>
      </c>
      <c r="S1063" t="s">
        <v>3599</v>
      </c>
      <c r="T1063">
        <v>1</v>
      </c>
      <c r="U1063" t="s">
        <v>868</v>
      </c>
      <c r="V1063">
        <v>5</v>
      </c>
      <c r="W1063">
        <v>0</v>
      </c>
      <c r="X1063">
        <v>0</v>
      </c>
    </row>
    <row r="1064" spans="1:24" x14ac:dyDescent="0.3">
      <c r="A1064" t="s">
        <v>2662</v>
      </c>
      <c r="B1064" t="s">
        <v>2663</v>
      </c>
      <c r="C1064">
        <v>1</v>
      </c>
      <c r="D1064" t="s">
        <v>11</v>
      </c>
      <c r="E1064" t="s">
        <v>21</v>
      </c>
      <c r="F1064" t="s">
        <v>22</v>
      </c>
      <c r="H1064" t="s">
        <v>71</v>
      </c>
      <c r="I1064" t="s">
        <v>3617</v>
      </c>
      <c r="J1064" t="s">
        <v>2662</v>
      </c>
      <c r="K1064" t="s">
        <v>868</v>
      </c>
      <c r="L1064" t="s">
        <v>3618</v>
      </c>
      <c r="M1064" t="s">
        <v>2662</v>
      </c>
      <c r="N1064" t="s">
        <v>2663</v>
      </c>
      <c r="Q1064" t="s">
        <v>3599</v>
      </c>
      <c r="R1064" t="s">
        <v>3599</v>
      </c>
      <c r="S1064" t="s">
        <v>3599</v>
      </c>
      <c r="T1064">
        <v>1</v>
      </c>
      <c r="U1064" t="s">
        <v>868</v>
      </c>
      <c r="V1064">
        <v>5</v>
      </c>
      <c r="W1064">
        <v>0</v>
      </c>
      <c r="X1064">
        <v>0</v>
      </c>
    </row>
    <row r="1065" spans="1:24" x14ac:dyDescent="0.3">
      <c r="A1065" t="s">
        <v>2664</v>
      </c>
      <c r="B1065" t="s">
        <v>2665</v>
      </c>
      <c r="C1065">
        <v>1</v>
      </c>
      <c r="D1065" t="s">
        <v>11</v>
      </c>
      <c r="E1065" t="s">
        <v>21</v>
      </c>
      <c r="F1065" t="s">
        <v>22</v>
      </c>
      <c r="H1065" t="s">
        <v>71</v>
      </c>
      <c r="I1065" t="s">
        <v>3617</v>
      </c>
      <c r="J1065" t="s">
        <v>2664</v>
      </c>
      <c r="K1065" t="s">
        <v>868</v>
      </c>
      <c r="L1065" t="s">
        <v>3618</v>
      </c>
      <c r="M1065" t="s">
        <v>2664</v>
      </c>
      <c r="N1065" t="s">
        <v>2665</v>
      </c>
      <c r="Q1065" t="s">
        <v>3599</v>
      </c>
      <c r="R1065" t="s">
        <v>3599</v>
      </c>
      <c r="S1065" t="s">
        <v>3599</v>
      </c>
      <c r="T1065">
        <v>1</v>
      </c>
      <c r="U1065" t="s">
        <v>868</v>
      </c>
      <c r="V1065">
        <v>5</v>
      </c>
      <c r="W1065">
        <v>0</v>
      </c>
      <c r="X1065">
        <v>0</v>
      </c>
    </row>
    <row r="1066" spans="1:24" x14ac:dyDescent="0.3">
      <c r="A1066" t="s">
        <v>2666</v>
      </c>
      <c r="B1066" t="s">
        <v>2667</v>
      </c>
      <c r="C1066">
        <v>1</v>
      </c>
      <c r="D1066" t="s">
        <v>11</v>
      </c>
      <c r="E1066" t="s">
        <v>21</v>
      </c>
      <c r="F1066" t="s">
        <v>22</v>
      </c>
      <c r="H1066" t="s">
        <v>71</v>
      </c>
      <c r="I1066" t="s">
        <v>3617</v>
      </c>
      <c r="J1066" t="s">
        <v>2666</v>
      </c>
      <c r="K1066" t="s">
        <v>868</v>
      </c>
      <c r="L1066" t="s">
        <v>3618</v>
      </c>
      <c r="M1066" t="s">
        <v>2666</v>
      </c>
      <c r="N1066" t="s">
        <v>2667</v>
      </c>
      <c r="Q1066" t="s">
        <v>3599</v>
      </c>
      <c r="R1066" t="s">
        <v>3599</v>
      </c>
      <c r="S1066" t="s">
        <v>3599</v>
      </c>
      <c r="T1066">
        <v>1</v>
      </c>
      <c r="U1066" t="s">
        <v>868</v>
      </c>
      <c r="V1066">
        <v>5</v>
      </c>
      <c r="W1066">
        <v>0</v>
      </c>
      <c r="X1066">
        <v>0</v>
      </c>
    </row>
    <row r="1067" spans="1:24" x14ac:dyDescent="0.3">
      <c r="A1067" t="s">
        <v>2668</v>
      </c>
      <c r="B1067" t="s">
        <v>2669</v>
      </c>
      <c r="C1067">
        <v>1</v>
      </c>
      <c r="D1067" t="s">
        <v>11</v>
      </c>
      <c r="E1067" t="s">
        <v>21</v>
      </c>
      <c r="F1067" t="s">
        <v>22</v>
      </c>
      <c r="H1067" t="s">
        <v>71</v>
      </c>
      <c r="I1067" t="s">
        <v>3617</v>
      </c>
      <c r="J1067" t="s">
        <v>2668</v>
      </c>
      <c r="K1067" t="s">
        <v>868</v>
      </c>
      <c r="L1067" t="s">
        <v>3618</v>
      </c>
      <c r="M1067" t="s">
        <v>2668</v>
      </c>
      <c r="N1067" t="s">
        <v>2669</v>
      </c>
      <c r="Q1067" t="s">
        <v>3599</v>
      </c>
      <c r="R1067" t="s">
        <v>3599</v>
      </c>
      <c r="S1067" t="s">
        <v>3599</v>
      </c>
      <c r="T1067">
        <v>1</v>
      </c>
      <c r="U1067" t="s">
        <v>868</v>
      </c>
      <c r="V1067">
        <v>5</v>
      </c>
      <c r="W1067">
        <v>0</v>
      </c>
      <c r="X1067">
        <v>0</v>
      </c>
    </row>
    <row r="1068" spans="1:24" x14ac:dyDescent="0.3">
      <c r="A1068" t="s">
        <v>2670</v>
      </c>
      <c r="B1068" t="s">
        <v>2671</v>
      </c>
      <c r="C1068">
        <v>1</v>
      </c>
      <c r="D1068" t="s">
        <v>11</v>
      </c>
      <c r="E1068" t="s">
        <v>21</v>
      </c>
      <c r="F1068" t="s">
        <v>22</v>
      </c>
      <c r="H1068" t="s">
        <v>71</v>
      </c>
      <c r="I1068" t="s">
        <v>3617</v>
      </c>
      <c r="J1068" t="s">
        <v>2670</v>
      </c>
      <c r="K1068" t="s">
        <v>868</v>
      </c>
      <c r="L1068" t="s">
        <v>3618</v>
      </c>
      <c r="M1068" t="s">
        <v>2670</v>
      </c>
      <c r="N1068" t="s">
        <v>2671</v>
      </c>
      <c r="Q1068" t="s">
        <v>3599</v>
      </c>
      <c r="R1068" t="s">
        <v>3599</v>
      </c>
      <c r="S1068" t="s">
        <v>3599</v>
      </c>
      <c r="T1068">
        <v>1</v>
      </c>
      <c r="U1068" t="s">
        <v>868</v>
      </c>
      <c r="V1068">
        <v>5</v>
      </c>
      <c r="W1068">
        <v>0</v>
      </c>
      <c r="X1068">
        <v>0</v>
      </c>
    </row>
    <row r="1069" spans="1:24" x14ac:dyDescent="0.3">
      <c r="A1069" t="s">
        <v>2672</v>
      </c>
      <c r="B1069" t="s">
        <v>2673</v>
      </c>
      <c r="C1069">
        <v>1</v>
      </c>
      <c r="D1069" t="s">
        <v>11</v>
      </c>
      <c r="E1069" t="s">
        <v>21</v>
      </c>
      <c r="F1069" t="s">
        <v>22</v>
      </c>
      <c r="H1069" t="s">
        <v>71</v>
      </c>
      <c r="I1069" t="s">
        <v>3617</v>
      </c>
      <c r="J1069" t="s">
        <v>2672</v>
      </c>
      <c r="K1069" t="s">
        <v>868</v>
      </c>
      <c r="L1069" t="s">
        <v>3618</v>
      </c>
      <c r="M1069" t="s">
        <v>2672</v>
      </c>
      <c r="N1069" t="s">
        <v>2673</v>
      </c>
      <c r="Q1069" t="s">
        <v>3599</v>
      </c>
      <c r="R1069" t="s">
        <v>3599</v>
      </c>
      <c r="S1069" t="s">
        <v>3599</v>
      </c>
      <c r="T1069">
        <v>1</v>
      </c>
      <c r="U1069" t="s">
        <v>868</v>
      </c>
      <c r="V1069">
        <v>5</v>
      </c>
      <c r="W1069">
        <v>0</v>
      </c>
      <c r="X1069">
        <v>0</v>
      </c>
    </row>
    <row r="1070" spans="1:24" x14ac:dyDescent="0.3">
      <c r="A1070" t="s">
        <v>2674</v>
      </c>
      <c r="B1070" t="s">
        <v>2675</v>
      </c>
      <c r="C1070">
        <v>1</v>
      </c>
      <c r="D1070" t="s">
        <v>11</v>
      </c>
      <c r="E1070" t="s">
        <v>21</v>
      </c>
      <c r="F1070" t="s">
        <v>22</v>
      </c>
      <c r="H1070" t="s">
        <v>71</v>
      </c>
      <c r="I1070" t="s">
        <v>3617</v>
      </c>
      <c r="J1070" t="s">
        <v>2674</v>
      </c>
      <c r="K1070" t="s">
        <v>868</v>
      </c>
      <c r="L1070" t="s">
        <v>3618</v>
      </c>
      <c r="M1070" t="s">
        <v>2674</v>
      </c>
      <c r="N1070" t="s">
        <v>2675</v>
      </c>
      <c r="Q1070" t="s">
        <v>3599</v>
      </c>
      <c r="R1070" t="s">
        <v>3599</v>
      </c>
      <c r="S1070" t="s">
        <v>3599</v>
      </c>
      <c r="T1070">
        <v>1</v>
      </c>
      <c r="U1070" t="s">
        <v>868</v>
      </c>
      <c r="V1070">
        <v>5</v>
      </c>
      <c r="W1070">
        <v>0</v>
      </c>
      <c r="X1070">
        <v>0</v>
      </c>
    </row>
    <row r="1071" spans="1:24" x14ac:dyDescent="0.3">
      <c r="A1071" t="s">
        <v>2676</v>
      </c>
      <c r="B1071" t="s">
        <v>2677</v>
      </c>
      <c r="C1071">
        <v>1</v>
      </c>
      <c r="D1071" t="s">
        <v>11</v>
      </c>
      <c r="E1071" t="s">
        <v>21</v>
      </c>
      <c r="F1071" t="s">
        <v>22</v>
      </c>
      <c r="H1071" t="s">
        <v>71</v>
      </c>
      <c r="I1071" t="s">
        <v>3617</v>
      </c>
      <c r="J1071" t="s">
        <v>2676</v>
      </c>
      <c r="K1071" t="s">
        <v>868</v>
      </c>
      <c r="L1071" t="s">
        <v>3618</v>
      </c>
      <c r="M1071" t="s">
        <v>2676</v>
      </c>
      <c r="N1071" t="s">
        <v>2677</v>
      </c>
      <c r="Q1071" t="s">
        <v>3599</v>
      </c>
      <c r="R1071" t="s">
        <v>3599</v>
      </c>
      <c r="S1071" t="s">
        <v>3599</v>
      </c>
      <c r="T1071">
        <v>1</v>
      </c>
      <c r="U1071" t="s">
        <v>868</v>
      </c>
      <c r="V1071">
        <v>5</v>
      </c>
      <c r="W1071">
        <v>0</v>
      </c>
      <c r="X1071">
        <v>0</v>
      </c>
    </row>
    <row r="1072" spans="1:24" x14ac:dyDescent="0.3">
      <c r="A1072" t="s">
        <v>2678</v>
      </c>
      <c r="B1072" t="s">
        <v>2679</v>
      </c>
      <c r="C1072">
        <v>1</v>
      </c>
      <c r="D1072" t="s">
        <v>11</v>
      </c>
      <c r="E1072" t="s">
        <v>21</v>
      </c>
      <c r="F1072" t="s">
        <v>22</v>
      </c>
      <c r="H1072" t="s">
        <v>71</v>
      </c>
      <c r="I1072" t="s">
        <v>3617</v>
      </c>
      <c r="J1072" t="s">
        <v>2678</v>
      </c>
      <c r="K1072" t="s">
        <v>868</v>
      </c>
      <c r="L1072" t="s">
        <v>3618</v>
      </c>
      <c r="M1072" t="s">
        <v>2678</v>
      </c>
      <c r="N1072" t="s">
        <v>2679</v>
      </c>
      <c r="Q1072" t="s">
        <v>3599</v>
      </c>
      <c r="R1072" t="s">
        <v>3599</v>
      </c>
      <c r="S1072" t="s">
        <v>3599</v>
      </c>
      <c r="T1072">
        <v>1</v>
      </c>
      <c r="U1072" t="s">
        <v>868</v>
      </c>
      <c r="V1072">
        <v>5</v>
      </c>
      <c r="W1072">
        <v>0</v>
      </c>
      <c r="X1072">
        <v>0</v>
      </c>
    </row>
    <row r="1073" spans="1:24" x14ac:dyDescent="0.3">
      <c r="A1073" t="s">
        <v>2680</v>
      </c>
      <c r="B1073" t="s">
        <v>2681</v>
      </c>
      <c r="C1073">
        <v>1</v>
      </c>
      <c r="D1073" t="s">
        <v>11</v>
      </c>
      <c r="E1073" t="s">
        <v>21</v>
      </c>
      <c r="F1073" t="s">
        <v>22</v>
      </c>
      <c r="H1073" t="s">
        <v>71</v>
      </c>
      <c r="I1073" t="s">
        <v>3617</v>
      </c>
      <c r="J1073" t="s">
        <v>2680</v>
      </c>
      <c r="K1073" t="s">
        <v>868</v>
      </c>
      <c r="L1073" t="s">
        <v>3618</v>
      </c>
      <c r="M1073" t="s">
        <v>2680</v>
      </c>
      <c r="N1073" t="s">
        <v>2681</v>
      </c>
      <c r="Q1073" t="s">
        <v>3599</v>
      </c>
      <c r="R1073" t="s">
        <v>3599</v>
      </c>
      <c r="S1073" t="s">
        <v>3599</v>
      </c>
      <c r="T1073">
        <v>1</v>
      </c>
      <c r="U1073" t="s">
        <v>868</v>
      </c>
      <c r="V1073">
        <v>5</v>
      </c>
      <c r="W1073">
        <v>0</v>
      </c>
      <c r="X1073">
        <v>0</v>
      </c>
    </row>
    <row r="1074" spans="1:24" x14ac:dyDescent="0.3">
      <c r="A1074" t="s">
        <v>2682</v>
      </c>
      <c r="B1074" t="s">
        <v>2683</v>
      </c>
      <c r="C1074">
        <v>1</v>
      </c>
      <c r="D1074" t="s">
        <v>11</v>
      </c>
      <c r="E1074" t="s">
        <v>21</v>
      </c>
      <c r="F1074" t="s">
        <v>22</v>
      </c>
      <c r="H1074" t="s">
        <v>71</v>
      </c>
      <c r="I1074" t="s">
        <v>3617</v>
      </c>
      <c r="J1074" t="s">
        <v>2682</v>
      </c>
      <c r="K1074" t="s">
        <v>868</v>
      </c>
      <c r="L1074" t="s">
        <v>3618</v>
      </c>
      <c r="M1074" t="s">
        <v>2682</v>
      </c>
      <c r="N1074" t="s">
        <v>2683</v>
      </c>
      <c r="Q1074" t="s">
        <v>3599</v>
      </c>
      <c r="R1074" t="s">
        <v>3599</v>
      </c>
      <c r="S1074" t="s">
        <v>3599</v>
      </c>
      <c r="T1074">
        <v>1</v>
      </c>
      <c r="U1074" t="s">
        <v>868</v>
      </c>
      <c r="V1074">
        <v>5</v>
      </c>
      <c r="W1074">
        <v>0</v>
      </c>
      <c r="X1074">
        <v>0</v>
      </c>
    </row>
    <row r="1075" spans="1:24" x14ac:dyDescent="0.3">
      <c r="A1075" t="s">
        <v>1263</v>
      </c>
      <c r="B1075" t="s">
        <v>1264</v>
      </c>
      <c r="C1075">
        <v>1</v>
      </c>
      <c r="D1075" t="s">
        <v>11</v>
      </c>
      <c r="E1075" t="s">
        <v>21</v>
      </c>
      <c r="F1075" t="s">
        <v>22</v>
      </c>
      <c r="H1075" t="s">
        <v>71</v>
      </c>
      <c r="I1075" t="s">
        <v>3617</v>
      </c>
      <c r="J1075" t="s">
        <v>1263</v>
      </c>
      <c r="K1075" t="s">
        <v>868</v>
      </c>
      <c r="L1075" t="s">
        <v>3618</v>
      </c>
      <c r="M1075" t="s">
        <v>1263</v>
      </c>
      <c r="N1075" t="s">
        <v>1264</v>
      </c>
      <c r="Q1075" t="s">
        <v>3599</v>
      </c>
      <c r="R1075" t="s">
        <v>3599</v>
      </c>
      <c r="S1075" t="s">
        <v>3599</v>
      </c>
      <c r="T1075">
        <v>1</v>
      </c>
      <c r="U1075" t="s">
        <v>868</v>
      </c>
      <c r="V1075">
        <v>5</v>
      </c>
      <c r="W1075">
        <v>0</v>
      </c>
      <c r="X1075">
        <v>0</v>
      </c>
    </row>
    <row r="1076" spans="1:24" x14ac:dyDescent="0.3">
      <c r="A1076" t="s">
        <v>2684</v>
      </c>
      <c r="B1076" t="s">
        <v>2685</v>
      </c>
      <c r="C1076">
        <v>1</v>
      </c>
      <c r="D1076" t="s">
        <v>11</v>
      </c>
      <c r="E1076" t="s">
        <v>21</v>
      </c>
      <c r="F1076" t="s">
        <v>22</v>
      </c>
      <c r="H1076" t="s">
        <v>71</v>
      </c>
      <c r="I1076" t="s">
        <v>3617</v>
      </c>
      <c r="J1076" t="s">
        <v>2684</v>
      </c>
      <c r="K1076" t="s">
        <v>868</v>
      </c>
      <c r="L1076" t="s">
        <v>3618</v>
      </c>
      <c r="M1076" t="s">
        <v>2684</v>
      </c>
      <c r="N1076" t="s">
        <v>2685</v>
      </c>
      <c r="Q1076" t="s">
        <v>3599</v>
      </c>
      <c r="R1076" t="s">
        <v>3599</v>
      </c>
      <c r="S1076" t="s">
        <v>3599</v>
      </c>
      <c r="T1076">
        <v>1</v>
      </c>
      <c r="U1076" t="s">
        <v>868</v>
      </c>
      <c r="V1076">
        <v>5</v>
      </c>
      <c r="W1076">
        <v>0</v>
      </c>
      <c r="X1076">
        <v>0</v>
      </c>
    </row>
    <row r="1077" spans="1:24" x14ac:dyDescent="0.3">
      <c r="A1077" t="s">
        <v>2686</v>
      </c>
      <c r="B1077" t="s">
        <v>2687</v>
      </c>
      <c r="C1077">
        <v>1</v>
      </c>
      <c r="D1077" t="s">
        <v>11</v>
      </c>
      <c r="E1077" t="s">
        <v>21</v>
      </c>
      <c r="F1077" t="s">
        <v>22</v>
      </c>
      <c r="H1077" t="s">
        <v>71</v>
      </c>
      <c r="I1077" t="s">
        <v>3617</v>
      </c>
      <c r="J1077" t="s">
        <v>2686</v>
      </c>
      <c r="K1077" t="s">
        <v>868</v>
      </c>
      <c r="L1077" t="s">
        <v>3618</v>
      </c>
      <c r="M1077" t="s">
        <v>2686</v>
      </c>
      <c r="N1077" t="s">
        <v>2687</v>
      </c>
      <c r="Q1077" t="s">
        <v>3599</v>
      </c>
      <c r="R1077" t="s">
        <v>3599</v>
      </c>
      <c r="S1077" t="s">
        <v>3599</v>
      </c>
      <c r="T1077">
        <v>1</v>
      </c>
      <c r="U1077" t="s">
        <v>868</v>
      </c>
      <c r="V1077">
        <v>5</v>
      </c>
      <c r="W1077">
        <v>0</v>
      </c>
      <c r="X1077">
        <v>0</v>
      </c>
    </row>
    <row r="1078" spans="1:24" x14ac:dyDescent="0.3">
      <c r="A1078" t="s">
        <v>2688</v>
      </c>
      <c r="B1078" t="s">
        <v>2689</v>
      </c>
      <c r="C1078">
        <v>1</v>
      </c>
      <c r="D1078" t="s">
        <v>11</v>
      </c>
      <c r="E1078" t="s">
        <v>21</v>
      </c>
      <c r="F1078" t="s">
        <v>22</v>
      </c>
      <c r="H1078" t="s">
        <v>71</v>
      </c>
      <c r="I1078" t="s">
        <v>3617</v>
      </c>
      <c r="J1078" t="s">
        <v>2688</v>
      </c>
      <c r="K1078" t="s">
        <v>868</v>
      </c>
      <c r="L1078" t="s">
        <v>3618</v>
      </c>
      <c r="M1078" t="s">
        <v>2688</v>
      </c>
      <c r="N1078" t="s">
        <v>2689</v>
      </c>
      <c r="Q1078" t="s">
        <v>3599</v>
      </c>
      <c r="R1078" t="s">
        <v>3599</v>
      </c>
      <c r="S1078" t="s">
        <v>3599</v>
      </c>
      <c r="T1078">
        <v>1</v>
      </c>
      <c r="U1078" t="s">
        <v>868</v>
      </c>
      <c r="V1078">
        <v>5</v>
      </c>
      <c r="W1078">
        <v>0</v>
      </c>
      <c r="X1078">
        <v>0</v>
      </c>
    </row>
    <row r="1079" spans="1:24" x14ac:dyDescent="0.3">
      <c r="A1079" t="s">
        <v>2690</v>
      </c>
      <c r="B1079" t="s">
        <v>2691</v>
      </c>
      <c r="C1079">
        <v>1</v>
      </c>
      <c r="D1079" t="s">
        <v>11</v>
      </c>
      <c r="E1079" t="s">
        <v>21</v>
      </c>
      <c r="F1079" t="s">
        <v>22</v>
      </c>
      <c r="H1079" t="s">
        <v>71</v>
      </c>
      <c r="I1079" t="s">
        <v>3617</v>
      </c>
      <c r="J1079" t="s">
        <v>2690</v>
      </c>
      <c r="K1079" t="s">
        <v>868</v>
      </c>
      <c r="L1079" t="s">
        <v>3618</v>
      </c>
      <c r="M1079" t="s">
        <v>2690</v>
      </c>
      <c r="N1079" t="s">
        <v>2691</v>
      </c>
      <c r="Q1079" t="s">
        <v>3599</v>
      </c>
      <c r="R1079" t="s">
        <v>3599</v>
      </c>
      <c r="S1079" t="s">
        <v>3599</v>
      </c>
      <c r="T1079">
        <v>1</v>
      </c>
      <c r="U1079" t="s">
        <v>868</v>
      </c>
      <c r="V1079">
        <v>5</v>
      </c>
      <c r="W1079">
        <v>0</v>
      </c>
      <c r="X1079">
        <v>0</v>
      </c>
    </row>
    <row r="1080" spans="1:24" x14ac:dyDescent="0.3">
      <c r="A1080" t="s">
        <v>2692</v>
      </c>
      <c r="B1080" t="s">
        <v>2693</v>
      </c>
      <c r="C1080">
        <v>1</v>
      </c>
      <c r="D1080" t="s">
        <v>11</v>
      </c>
      <c r="E1080" t="s">
        <v>21</v>
      </c>
      <c r="F1080" t="s">
        <v>22</v>
      </c>
      <c r="H1080" t="s">
        <v>71</v>
      </c>
      <c r="I1080" t="s">
        <v>3617</v>
      </c>
      <c r="J1080" t="s">
        <v>2692</v>
      </c>
      <c r="K1080" t="s">
        <v>868</v>
      </c>
      <c r="L1080" t="s">
        <v>3618</v>
      </c>
      <c r="M1080" t="s">
        <v>2692</v>
      </c>
      <c r="N1080" t="s">
        <v>2693</v>
      </c>
      <c r="Q1080" t="s">
        <v>3599</v>
      </c>
      <c r="R1080" t="s">
        <v>3599</v>
      </c>
      <c r="S1080" t="s">
        <v>3599</v>
      </c>
      <c r="T1080">
        <v>1</v>
      </c>
      <c r="U1080" t="s">
        <v>868</v>
      </c>
      <c r="V1080">
        <v>5</v>
      </c>
      <c r="W1080">
        <v>0</v>
      </c>
      <c r="X1080">
        <v>0</v>
      </c>
    </row>
    <row r="1081" spans="1:24" x14ac:dyDescent="0.3">
      <c r="A1081" t="s">
        <v>2694</v>
      </c>
      <c r="B1081" t="s">
        <v>2695</v>
      </c>
      <c r="C1081">
        <v>1</v>
      </c>
      <c r="D1081" t="s">
        <v>11</v>
      </c>
      <c r="E1081" t="s">
        <v>21</v>
      </c>
      <c r="F1081" t="s">
        <v>22</v>
      </c>
      <c r="H1081" t="s">
        <v>71</v>
      </c>
      <c r="I1081" t="s">
        <v>3617</v>
      </c>
      <c r="J1081" t="s">
        <v>2694</v>
      </c>
      <c r="K1081" t="s">
        <v>868</v>
      </c>
      <c r="L1081" t="s">
        <v>3618</v>
      </c>
      <c r="M1081" t="s">
        <v>2694</v>
      </c>
      <c r="N1081" t="s">
        <v>2695</v>
      </c>
      <c r="Q1081" t="s">
        <v>3599</v>
      </c>
      <c r="R1081" t="s">
        <v>3599</v>
      </c>
      <c r="S1081" t="s">
        <v>3599</v>
      </c>
      <c r="T1081">
        <v>1</v>
      </c>
      <c r="U1081" t="s">
        <v>868</v>
      </c>
      <c r="V1081">
        <v>5</v>
      </c>
      <c r="W1081">
        <v>0</v>
      </c>
      <c r="X1081">
        <v>0</v>
      </c>
    </row>
    <row r="1082" spans="1:24" x14ac:dyDescent="0.3">
      <c r="A1082" t="s">
        <v>2696</v>
      </c>
      <c r="B1082" t="s">
        <v>2697</v>
      </c>
      <c r="C1082">
        <v>1</v>
      </c>
      <c r="D1082" t="s">
        <v>11</v>
      </c>
      <c r="E1082" t="s">
        <v>21</v>
      </c>
      <c r="F1082" t="s">
        <v>22</v>
      </c>
      <c r="H1082" t="s">
        <v>71</v>
      </c>
      <c r="I1082" t="s">
        <v>3617</v>
      </c>
      <c r="J1082" t="s">
        <v>2696</v>
      </c>
      <c r="K1082" t="s">
        <v>868</v>
      </c>
      <c r="L1082" t="s">
        <v>3618</v>
      </c>
      <c r="M1082" t="s">
        <v>2696</v>
      </c>
      <c r="N1082" t="s">
        <v>2697</v>
      </c>
      <c r="Q1082" t="s">
        <v>3599</v>
      </c>
      <c r="R1082" t="s">
        <v>3599</v>
      </c>
      <c r="S1082" t="s">
        <v>3599</v>
      </c>
      <c r="T1082">
        <v>1</v>
      </c>
      <c r="U1082" t="s">
        <v>868</v>
      </c>
      <c r="V1082">
        <v>5</v>
      </c>
      <c r="W1082">
        <v>0</v>
      </c>
      <c r="X1082">
        <v>0</v>
      </c>
    </row>
    <row r="1083" spans="1:24" x14ac:dyDescent="0.3">
      <c r="A1083" t="s">
        <v>2698</v>
      </c>
      <c r="B1083" t="s">
        <v>2699</v>
      </c>
      <c r="C1083">
        <v>1</v>
      </c>
      <c r="D1083" t="s">
        <v>11</v>
      </c>
      <c r="E1083" t="s">
        <v>21</v>
      </c>
      <c r="F1083" t="s">
        <v>22</v>
      </c>
      <c r="H1083" t="s">
        <v>71</v>
      </c>
      <c r="I1083" t="s">
        <v>3617</v>
      </c>
      <c r="J1083" t="s">
        <v>2698</v>
      </c>
      <c r="K1083" t="s">
        <v>868</v>
      </c>
      <c r="L1083" t="s">
        <v>3618</v>
      </c>
      <c r="M1083" t="s">
        <v>2698</v>
      </c>
      <c r="N1083" t="s">
        <v>2699</v>
      </c>
      <c r="Q1083" t="s">
        <v>3599</v>
      </c>
      <c r="R1083" t="s">
        <v>3599</v>
      </c>
      <c r="S1083" t="s">
        <v>3599</v>
      </c>
      <c r="T1083">
        <v>1</v>
      </c>
      <c r="U1083" t="s">
        <v>868</v>
      </c>
      <c r="V1083">
        <v>5</v>
      </c>
      <c r="W1083">
        <v>0</v>
      </c>
      <c r="X1083">
        <v>0</v>
      </c>
    </row>
    <row r="1084" spans="1:24" x14ac:dyDescent="0.3">
      <c r="A1084" t="s">
        <v>2700</v>
      </c>
      <c r="B1084" t="s">
        <v>2701</v>
      </c>
      <c r="C1084">
        <v>1</v>
      </c>
      <c r="D1084" t="s">
        <v>11</v>
      </c>
      <c r="E1084" t="s">
        <v>21</v>
      </c>
      <c r="F1084" t="s">
        <v>22</v>
      </c>
      <c r="H1084" t="s">
        <v>71</v>
      </c>
      <c r="I1084" t="s">
        <v>3617</v>
      </c>
      <c r="J1084" t="s">
        <v>2700</v>
      </c>
      <c r="K1084" t="s">
        <v>868</v>
      </c>
      <c r="L1084" t="s">
        <v>3618</v>
      </c>
      <c r="M1084" t="s">
        <v>2700</v>
      </c>
      <c r="N1084" t="s">
        <v>2701</v>
      </c>
      <c r="Q1084" t="s">
        <v>3599</v>
      </c>
      <c r="R1084" t="s">
        <v>3599</v>
      </c>
      <c r="S1084" t="s">
        <v>3599</v>
      </c>
      <c r="T1084">
        <v>1</v>
      </c>
      <c r="U1084" t="s">
        <v>868</v>
      </c>
      <c r="V1084">
        <v>5</v>
      </c>
      <c r="W1084">
        <v>0</v>
      </c>
      <c r="X1084">
        <v>0</v>
      </c>
    </row>
    <row r="1085" spans="1:24" x14ac:dyDescent="0.3">
      <c r="A1085" t="s">
        <v>2702</v>
      </c>
      <c r="B1085" t="s">
        <v>2703</v>
      </c>
      <c r="C1085">
        <v>1</v>
      </c>
      <c r="D1085" t="s">
        <v>11</v>
      </c>
      <c r="E1085" t="s">
        <v>21</v>
      </c>
      <c r="F1085" t="s">
        <v>22</v>
      </c>
      <c r="H1085" t="s">
        <v>71</v>
      </c>
      <c r="I1085" t="s">
        <v>3617</v>
      </c>
      <c r="J1085" t="s">
        <v>2702</v>
      </c>
      <c r="K1085" t="s">
        <v>868</v>
      </c>
      <c r="L1085" t="s">
        <v>3618</v>
      </c>
      <c r="M1085" t="s">
        <v>2702</v>
      </c>
      <c r="N1085" t="s">
        <v>2703</v>
      </c>
      <c r="O1085" t="s">
        <v>2704</v>
      </c>
      <c r="Q1085" t="s">
        <v>3599</v>
      </c>
      <c r="R1085" t="s">
        <v>3599</v>
      </c>
      <c r="S1085" t="s">
        <v>3599</v>
      </c>
      <c r="T1085">
        <v>1</v>
      </c>
      <c r="U1085" t="s">
        <v>868</v>
      </c>
      <c r="V1085">
        <v>5</v>
      </c>
      <c r="W1085">
        <v>0</v>
      </c>
      <c r="X1085">
        <v>0</v>
      </c>
    </row>
    <row r="1086" spans="1:24" x14ac:dyDescent="0.3">
      <c r="A1086" t="s">
        <v>2705</v>
      </c>
      <c r="B1086" t="s">
        <v>2706</v>
      </c>
      <c r="C1086">
        <v>1</v>
      </c>
      <c r="D1086" t="s">
        <v>11</v>
      </c>
      <c r="E1086" t="s">
        <v>21</v>
      </c>
      <c r="F1086" t="s">
        <v>22</v>
      </c>
      <c r="H1086" t="s">
        <v>71</v>
      </c>
      <c r="I1086" t="s">
        <v>3617</v>
      </c>
      <c r="J1086" t="s">
        <v>2705</v>
      </c>
      <c r="K1086" t="s">
        <v>868</v>
      </c>
      <c r="L1086" t="s">
        <v>3618</v>
      </c>
      <c r="M1086" t="s">
        <v>2705</v>
      </c>
      <c r="N1086" t="s">
        <v>2706</v>
      </c>
      <c r="Q1086" t="s">
        <v>3599</v>
      </c>
      <c r="R1086" t="s">
        <v>3599</v>
      </c>
      <c r="S1086" t="s">
        <v>3599</v>
      </c>
      <c r="T1086">
        <v>1</v>
      </c>
      <c r="U1086" t="s">
        <v>868</v>
      </c>
      <c r="V1086">
        <v>5</v>
      </c>
      <c r="W1086">
        <v>0</v>
      </c>
      <c r="X1086">
        <v>0</v>
      </c>
    </row>
    <row r="1087" spans="1:24" x14ac:dyDescent="0.3">
      <c r="A1087" t="s">
        <v>2707</v>
      </c>
      <c r="B1087" t="s">
        <v>2708</v>
      </c>
      <c r="C1087">
        <v>1</v>
      </c>
      <c r="D1087" t="s">
        <v>11</v>
      </c>
      <c r="E1087" t="s">
        <v>21</v>
      </c>
      <c r="F1087" t="s">
        <v>22</v>
      </c>
      <c r="H1087" t="s">
        <v>71</v>
      </c>
      <c r="I1087" t="s">
        <v>3617</v>
      </c>
      <c r="J1087" t="s">
        <v>2707</v>
      </c>
      <c r="K1087" t="s">
        <v>868</v>
      </c>
      <c r="L1087" t="s">
        <v>3618</v>
      </c>
      <c r="M1087" t="s">
        <v>2707</v>
      </c>
      <c r="N1087" t="s">
        <v>2708</v>
      </c>
      <c r="Q1087" t="s">
        <v>3599</v>
      </c>
      <c r="R1087" t="s">
        <v>3599</v>
      </c>
      <c r="S1087" t="s">
        <v>3599</v>
      </c>
      <c r="T1087">
        <v>1</v>
      </c>
      <c r="U1087" t="s">
        <v>868</v>
      </c>
      <c r="V1087">
        <v>5</v>
      </c>
      <c r="W1087">
        <v>0</v>
      </c>
      <c r="X1087">
        <v>0</v>
      </c>
    </row>
    <row r="1088" spans="1:24" x14ac:dyDescent="0.3">
      <c r="A1088" t="s">
        <v>2210</v>
      </c>
      <c r="B1088" t="s">
        <v>2211</v>
      </c>
      <c r="C1088">
        <v>1</v>
      </c>
      <c r="D1088" t="s">
        <v>11</v>
      </c>
      <c r="E1088" t="s">
        <v>21</v>
      </c>
      <c r="F1088" t="s">
        <v>22</v>
      </c>
      <c r="H1088" t="s">
        <v>71</v>
      </c>
      <c r="I1088" t="s">
        <v>3617</v>
      </c>
      <c r="J1088" t="s">
        <v>2210</v>
      </c>
      <c r="K1088" t="s">
        <v>868</v>
      </c>
      <c r="L1088" t="s">
        <v>3618</v>
      </c>
      <c r="M1088" t="s">
        <v>2210</v>
      </c>
      <c r="N1088" t="s">
        <v>2211</v>
      </c>
      <c r="Q1088" t="s">
        <v>3599</v>
      </c>
      <c r="R1088" t="s">
        <v>3599</v>
      </c>
      <c r="S1088" t="s">
        <v>3599</v>
      </c>
      <c r="T1088">
        <v>1</v>
      </c>
      <c r="U1088" t="s">
        <v>868</v>
      </c>
      <c r="V1088">
        <v>5</v>
      </c>
      <c r="W1088">
        <v>0</v>
      </c>
      <c r="X1088">
        <v>0</v>
      </c>
    </row>
    <row r="1089" spans="1:24" x14ac:dyDescent="0.3">
      <c r="A1089" t="s">
        <v>2210</v>
      </c>
      <c r="B1089" t="s">
        <v>2211</v>
      </c>
      <c r="C1089">
        <v>1</v>
      </c>
      <c r="D1089" t="s">
        <v>11</v>
      </c>
      <c r="E1089" t="s">
        <v>21</v>
      </c>
      <c r="F1089" t="s">
        <v>22</v>
      </c>
      <c r="H1089" t="s">
        <v>71</v>
      </c>
      <c r="I1089" t="s">
        <v>3617</v>
      </c>
      <c r="J1089" t="s">
        <v>2210</v>
      </c>
      <c r="K1089" t="s">
        <v>868</v>
      </c>
      <c r="L1089" t="s">
        <v>3618</v>
      </c>
      <c r="M1089" t="s">
        <v>2210</v>
      </c>
      <c r="N1089" t="s">
        <v>2211</v>
      </c>
      <c r="Q1089" t="s">
        <v>3599</v>
      </c>
      <c r="R1089" t="s">
        <v>3599</v>
      </c>
      <c r="S1089" t="s">
        <v>3599</v>
      </c>
      <c r="T1089">
        <v>1</v>
      </c>
      <c r="U1089" t="s">
        <v>868</v>
      </c>
      <c r="V1089">
        <v>5</v>
      </c>
      <c r="W1089">
        <v>0</v>
      </c>
      <c r="X1089">
        <v>0</v>
      </c>
    </row>
    <row r="1090" spans="1:24" x14ac:dyDescent="0.3">
      <c r="A1090" t="s">
        <v>2709</v>
      </c>
      <c r="B1090" t="s">
        <v>2710</v>
      </c>
      <c r="C1090">
        <v>1</v>
      </c>
      <c r="D1090" t="s">
        <v>11</v>
      </c>
      <c r="E1090" t="s">
        <v>21</v>
      </c>
      <c r="F1090" t="s">
        <v>22</v>
      </c>
      <c r="H1090" t="s">
        <v>71</v>
      </c>
      <c r="I1090" t="s">
        <v>3617</v>
      </c>
      <c r="J1090" t="s">
        <v>2709</v>
      </c>
      <c r="K1090" t="s">
        <v>868</v>
      </c>
      <c r="L1090" t="s">
        <v>3618</v>
      </c>
      <c r="M1090" t="s">
        <v>2709</v>
      </c>
      <c r="N1090" t="s">
        <v>2710</v>
      </c>
      <c r="Q1090" t="s">
        <v>3599</v>
      </c>
      <c r="R1090" t="s">
        <v>3599</v>
      </c>
      <c r="S1090" t="s">
        <v>3599</v>
      </c>
      <c r="T1090">
        <v>1</v>
      </c>
      <c r="U1090" t="s">
        <v>868</v>
      </c>
      <c r="V1090">
        <v>5</v>
      </c>
      <c r="W1090">
        <v>0</v>
      </c>
      <c r="X1090">
        <v>0</v>
      </c>
    </row>
    <row r="1091" spans="1:24" x14ac:dyDescent="0.3">
      <c r="A1091" t="s">
        <v>2711</v>
      </c>
      <c r="B1091" t="s">
        <v>2712</v>
      </c>
      <c r="C1091">
        <v>1</v>
      </c>
      <c r="D1091" t="s">
        <v>11</v>
      </c>
      <c r="E1091" t="s">
        <v>21</v>
      </c>
      <c r="F1091" t="s">
        <v>22</v>
      </c>
      <c r="H1091" t="s">
        <v>71</v>
      </c>
      <c r="I1091" t="s">
        <v>3617</v>
      </c>
      <c r="J1091" t="s">
        <v>2711</v>
      </c>
      <c r="K1091" t="s">
        <v>868</v>
      </c>
      <c r="L1091" t="s">
        <v>3618</v>
      </c>
      <c r="M1091" t="s">
        <v>2711</v>
      </c>
      <c r="N1091" t="s">
        <v>2712</v>
      </c>
      <c r="Q1091" t="s">
        <v>3599</v>
      </c>
      <c r="R1091" t="s">
        <v>3599</v>
      </c>
      <c r="S1091" t="s">
        <v>3599</v>
      </c>
      <c r="T1091">
        <v>1</v>
      </c>
      <c r="U1091" t="s">
        <v>868</v>
      </c>
      <c r="V1091">
        <v>5</v>
      </c>
      <c r="W1091">
        <v>0</v>
      </c>
      <c r="X1091">
        <v>0</v>
      </c>
    </row>
    <row r="1092" spans="1:24" x14ac:dyDescent="0.3">
      <c r="A1092" t="s">
        <v>2713</v>
      </c>
      <c r="B1092" t="s">
        <v>2714</v>
      </c>
      <c r="C1092">
        <v>1</v>
      </c>
      <c r="D1092" t="s">
        <v>11</v>
      </c>
      <c r="E1092" t="s">
        <v>21</v>
      </c>
      <c r="F1092" t="s">
        <v>22</v>
      </c>
      <c r="H1092" t="s">
        <v>71</v>
      </c>
      <c r="I1092" t="s">
        <v>3617</v>
      </c>
      <c r="J1092" t="s">
        <v>2713</v>
      </c>
      <c r="K1092" t="s">
        <v>868</v>
      </c>
      <c r="L1092" t="s">
        <v>3618</v>
      </c>
      <c r="M1092" t="s">
        <v>2713</v>
      </c>
      <c r="N1092" t="s">
        <v>2714</v>
      </c>
      <c r="Q1092" t="s">
        <v>3599</v>
      </c>
      <c r="R1092" t="s">
        <v>3599</v>
      </c>
      <c r="S1092" t="s">
        <v>3599</v>
      </c>
      <c r="T1092">
        <v>1</v>
      </c>
      <c r="U1092" t="s">
        <v>868</v>
      </c>
      <c r="V1092">
        <v>5</v>
      </c>
      <c r="W1092">
        <v>0</v>
      </c>
      <c r="X1092">
        <v>0</v>
      </c>
    </row>
    <row r="1093" spans="1:24" x14ac:dyDescent="0.3">
      <c r="A1093" t="s">
        <v>2715</v>
      </c>
      <c r="B1093" t="s">
        <v>2716</v>
      </c>
      <c r="C1093">
        <v>1</v>
      </c>
      <c r="D1093" t="s">
        <v>11</v>
      </c>
      <c r="E1093" t="s">
        <v>21</v>
      </c>
      <c r="F1093" t="s">
        <v>22</v>
      </c>
      <c r="H1093" t="s">
        <v>71</v>
      </c>
      <c r="I1093" t="s">
        <v>3617</v>
      </c>
      <c r="J1093" t="s">
        <v>2715</v>
      </c>
      <c r="K1093" t="s">
        <v>868</v>
      </c>
      <c r="L1093" t="s">
        <v>3618</v>
      </c>
      <c r="M1093" t="s">
        <v>2715</v>
      </c>
      <c r="N1093" t="s">
        <v>2716</v>
      </c>
      <c r="Q1093" t="s">
        <v>3599</v>
      </c>
      <c r="R1093" t="s">
        <v>3599</v>
      </c>
      <c r="S1093" t="s">
        <v>3599</v>
      </c>
      <c r="T1093">
        <v>1</v>
      </c>
      <c r="U1093" t="s">
        <v>868</v>
      </c>
      <c r="V1093">
        <v>5</v>
      </c>
      <c r="W1093">
        <v>0</v>
      </c>
      <c r="X1093">
        <v>0</v>
      </c>
    </row>
    <row r="1094" spans="1:24" x14ac:dyDescent="0.3">
      <c r="A1094" t="s">
        <v>2717</v>
      </c>
      <c r="B1094" t="s">
        <v>2718</v>
      </c>
      <c r="C1094">
        <v>1</v>
      </c>
      <c r="D1094" t="s">
        <v>11</v>
      </c>
      <c r="E1094" t="s">
        <v>21</v>
      </c>
      <c r="F1094" t="s">
        <v>22</v>
      </c>
      <c r="H1094" t="s">
        <v>71</v>
      </c>
      <c r="I1094" t="s">
        <v>3617</v>
      </c>
      <c r="J1094" t="s">
        <v>2717</v>
      </c>
      <c r="K1094" t="s">
        <v>868</v>
      </c>
      <c r="L1094" t="s">
        <v>3618</v>
      </c>
      <c r="M1094" t="s">
        <v>2717</v>
      </c>
      <c r="N1094" t="s">
        <v>2718</v>
      </c>
      <c r="Q1094" t="s">
        <v>3599</v>
      </c>
      <c r="R1094" t="s">
        <v>3599</v>
      </c>
      <c r="S1094" t="s">
        <v>3599</v>
      </c>
      <c r="T1094">
        <v>1</v>
      </c>
      <c r="U1094" t="s">
        <v>868</v>
      </c>
      <c r="V1094">
        <v>5</v>
      </c>
      <c r="W1094">
        <v>0</v>
      </c>
      <c r="X1094">
        <v>0</v>
      </c>
    </row>
    <row r="1095" spans="1:24" x14ac:dyDescent="0.3">
      <c r="A1095" t="s">
        <v>2719</v>
      </c>
      <c r="B1095" t="s">
        <v>2720</v>
      </c>
      <c r="C1095">
        <v>1</v>
      </c>
      <c r="D1095" t="s">
        <v>11</v>
      </c>
      <c r="E1095" t="s">
        <v>21</v>
      </c>
      <c r="F1095" t="s">
        <v>22</v>
      </c>
      <c r="H1095" t="s">
        <v>71</v>
      </c>
      <c r="I1095" t="s">
        <v>3617</v>
      </c>
      <c r="J1095" t="s">
        <v>2719</v>
      </c>
      <c r="K1095" t="s">
        <v>868</v>
      </c>
      <c r="L1095" t="s">
        <v>3618</v>
      </c>
      <c r="M1095" t="s">
        <v>2719</v>
      </c>
      <c r="N1095" t="s">
        <v>2720</v>
      </c>
      <c r="Q1095" t="s">
        <v>3599</v>
      </c>
      <c r="R1095" t="s">
        <v>3599</v>
      </c>
      <c r="S1095" t="s">
        <v>3599</v>
      </c>
      <c r="T1095">
        <v>1</v>
      </c>
      <c r="U1095" t="s">
        <v>868</v>
      </c>
      <c r="V1095">
        <v>5</v>
      </c>
      <c r="W1095">
        <v>0</v>
      </c>
      <c r="X1095">
        <v>0</v>
      </c>
    </row>
    <row r="1096" spans="1:24" x14ac:dyDescent="0.3">
      <c r="A1096" t="s">
        <v>2721</v>
      </c>
      <c r="B1096" t="s">
        <v>2722</v>
      </c>
      <c r="C1096">
        <v>1</v>
      </c>
      <c r="D1096" t="s">
        <v>11</v>
      </c>
      <c r="E1096" t="s">
        <v>21</v>
      </c>
      <c r="F1096" t="s">
        <v>22</v>
      </c>
      <c r="H1096" t="s">
        <v>71</v>
      </c>
      <c r="I1096" t="s">
        <v>3617</v>
      </c>
      <c r="J1096" t="s">
        <v>2721</v>
      </c>
      <c r="K1096" t="s">
        <v>868</v>
      </c>
      <c r="L1096" t="s">
        <v>3618</v>
      </c>
      <c r="M1096" t="s">
        <v>2721</v>
      </c>
      <c r="N1096" t="s">
        <v>2722</v>
      </c>
      <c r="Q1096" t="s">
        <v>3599</v>
      </c>
      <c r="R1096" t="s">
        <v>3599</v>
      </c>
      <c r="S1096" t="s">
        <v>3599</v>
      </c>
      <c r="T1096">
        <v>1</v>
      </c>
      <c r="U1096" t="s">
        <v>868</v>
      </c>
      <c r="V1096">
        <v>5</v>
      </c>
      <c r="W1096">
        <v>0</v>
      </c>
      <c r="X1096">
        <v>0</v>
      </c>
    </row>
    <row r="1097" spans="1:24" x14ac:dyDescent="0.3">
      <c r="A1097" t="s">
        <v>2723</v>
      </c>
      <c r="B1097" t="s">
        <v>2724</v>
      </c>
      <c r="C1097">
        <v>1</v>
      </c>
      <c r="D1097" t="s">
        <v>11</v>
      </c>
      <c r="E1097" t="s">
        <v>21</v>
      </c>
      <c r="F1097" t="s">
        <v>22</v>
      </c>
      <c r="H1097" t="s">
        <v>71</v>
      </c>
      <c r="I1097" t="s">
        <v>3617</v>
      </c>
      <c r="J1097" t="s">
        <v>2723</v>
      </c>
      <c r="K1097" t="s">
        <v>868</v>
      </c>
      <c r="L1097" t="s">
        <v>3618</v>
      </c>
      <c r="M1097" t="s">
        <v>2723</v>
      </c>
      <c r="N1097" t="s">
        <v>2724</v>
      </c>
      <c r="Q1097" t="s">
        <v>3599</v>
      </c>
      <c r="R1097" t="s">
        <v>3599</v>
      </c>
      <c r="S1097" t="s">
        <v>3599</v>
      </c>
      <c r="T1097">
        <v>1</v>
      </c>
      <c r="U1097" t="s">
        <v>868</v>
      </c>
      <c r="V1097">
        <v>5</v>
      </c>
      <c r="W1097">
        <v>0</v>
      </c>
      <c r="X1097">
        <v>0</v>
      </c>
    </row>
    <row r="1098" spans="1:24" x14ac:dyDescent="0.3">
      <c r="A1098" t="s">
        <v>2725</v>
      </c>
      <c r="B1098" t="s">
        <v>2726</v>
      </c>
      <c r="C1098">
        <v>1</v>
      </c>
      <c r="D1098" t="s">
        <v>11</v>
      </c>
      <c r="E1098" t="s">
        <v>21</v>
      </c>
      <c r="F1098" t="s">
        <v>22</v>
      </c>
      <c r="H1098" t="s">
        <v>71</v>
      </c>
      <c r="I1098" t="s">
        <v>3617</v>
      </c>
      <c r="J1098" t="s">
        <v>2725</v>
      </c>
      <c r="K1098" t="s">
        <v>868</v>
      </c>
      <c r="L1098" t="s">
        <v>3618</v>
      </c>
      <c r="M1098" t="s">
        <v>2725</v>
      </c>
      <c r="N1098" t="s">
        <v>2726</v>
      </c>
      <c r="Q1098" t="s">
        <v>3599</v>
      </c>
      <c r="R1098" t="s">
        <v>3599</v>
      </c>
      <c r="S1098" t="s">
        <v>3599</v>
      </c>
      <c r="T1098">
        <v>1</v>
      </c>
      <c r="U1098" t="s">
        <v>868</v>
      </c>
      <c r="V1098">
        <v>5</v>
      </c>
      <c r="W1098">
        <v>0</v>
      </c>
      <c r="X1098">
        <v>0</v>
      </c>
    </row>
    <row r="1099" spans="1:24" x14ac:dyDescent="0.3">
      <c r="A1099" t="s">
        <v>2727</v>
      </c>
      <c r="B1099" t="s">
        <v>2728</v>
      </c>
      <c r="C1099">
        <v>1</v>
      </c>
      <c r="D1099" t="s">
        <v>11</v>
      </c>
      <c r="E1099" t="s">
        <v>21</v>
      </c>
      <c r="F1099" t="s">
        <v>22</v>
      </c>
      <c r="H1099" t="s">
        <v>71</v>
      </c>
      <c r="I1099" t="s">
        <v>3617</v>
      </c>
      <c r="J1099" t="s">
        <v>2727</v>
      </c>
      <c r="K1099" t="s">
        <v>868</v>
      </c>
      <c r="L1099" t="s">
        <v>3618</v>
      </c>
      <c r="M1099" t="s">
        <v>2727</v>
      </c>
      <c r="N1099" t="s">
        <v>2728</v>
      </c>
      <c r="Q1099" t="s">
        <v>3599</v>
      </c>
      <c r="R1099" t="s">
        <v>3599</v>
      </c>
      <c r="S1099" t="s">
        <v>3599</v>
      </c>
      <c r="T1099">
        <v>1</v>
      </c>
      <c r="U1099" t="s">
        <v>868</v>
      </c>
      <c r="V1099">
        <v>5</v>
      </c>
      <c r="W1099">
        <v>0</v>
      </c>
      <c r="X1099">
        <v>0</v>
      </c>
    </row>
    <row r="1100" spans="1:24" x14ac:dyDescent="0.3">
      <c r="A1100" t="s">
        <v>2729</v>
      </c>
      <c r="B1100" t="s">
        <v>2730</v>
      </c>
      <c r="C1100">
        <v>1</v>
      </c>
      <c r="D1100" t="s">
        <v>11</v>
      </c>
      <c r="E1100" t="s">
        <v>21</v>
      </c>
      <c r="F1100" t="s">
        <v>22</v>
      </c>
      <c r="H1100" t="s">
        <v>71</v>
      </c>
      <c r="I1100" t="s">
        <v>3617</v>
      </c>
      <c r="J1100" t="s">
        <v>2729</v>
      </c>
      <c r="K1100" t="s">
        <v>868</v>
      </c>
      <c r="L1100" t="s">
        <v>3618</v>
      </c>
      <c r="M1100" t="s">
        <v>2729</v>
      </c>
      <c r="N1100" t="s">
        <v>2730</v>
      </c>
      <c r="Q1100" t="s">
        <v>3599</v>
      </c>
      <c r="R1100" t="s">
        <v>3599</v>
      </c>
      <c r="S1100" t="s">
        <v>3599</v>
      </c>
      <c r="T1100">
        <v>1</v>
      </c>
      <c r="U1100" t="s">
        <v>868</v>
      </c>
      <c r="V1100">
        <v>5</v>
      </c>
      <c r="W1100">
        <v>0</v>
      </c>
      <c r="X1100">
        <v>0</v>
      </c>
    </row>
    <row r="1101" spans="1:24" x14ac:dyDescent="0.3">
      <c r="A1101" t="s">
        <v>2731</v>
      </c>
      <c r="B1101" t="s">
        <v>2732</v>
      </c>
      <c r="C1101">
        <v>1</v>
      </c>
      <c r="D1101" t="s">
        <v>11</v>
      </c>
      <c r="E1101" t="s">
        <v>21</v>
      </c>
      <c r="F1101" t="s">
        <v>22</v>
      </c>
      <c r="H1101" t="s">
        <v>71</v>
      </c>
      <c r="I1101" t="s">
        <v>3617</v>
      </c>
      <c r="J1101" t="s">
        <v>2731</v>
      </c>
      <c r="K1101" t="s">
        <v>868</v>
      </c>
      <c r="L1101" t="s">
        <v>3618</v>
      </c>
      <c r="M1101" t="s">
        <v>2731</v>
      </c>
      <c r="N1101" t="s">
        <v>2732</v>
      </c>
      <c r="Q1101" t="s">
        <v>3599</v>
      </c>
      <c r="R1101" t="s">
        <v>3599</v>
      </c>
      <c r="S1101" t="s">
        <v>3599</v>
      </c>
      <c r="T1101">
        <v>1</v>
      </c>
      <c r="U1101" t="s">
        <v>868</v>
      </c>
      <c r="V1101">
        <v>5</v>
      </c>
      <c r="W1101">
        <v>0</v>
      </c>
      <c r="X1101">
        <v>0</v>
      </c>
    </row>
    <row r="1102" spans="1:24" x14ac:dyDescent="0.3">
      <c r="A1102" t="s">
        <v>2733</v>
      </c>
      <c r="B1102" t="s">
        <v>2734</v>
      </c>
      <c r="C1102">
        <v>1</v>
      </c>
      <c r="D1102" t="s">
        <v>11</v>
      </c>
      <c r="E1102" t="s">
        <v>21</v>
      </c>
      <c r="F1102" t="s">
        <v>22</v>
      </c>
      <c r="H1102" t="s">
        <v>71</v>
      </c>
      <c r="I1102" t="s">
        <v>3617</v>
      </c>
      <c r="J1102" t="s">
        <v>2733</v>
      </c>
      <c r="K1102" t="s">
        <v>868</v>
      </c>
      <c r="L1102" t="s">
        <v>3618</v>
      </c>
      <c r="M1102" t="s">
        <v>2733</v>
      </c>
      <c r="N1102" t="s">
        <v>2734</v>
      </c>
      <c r="Q1102" t="s">
        <v>3599</v>
      </c>
      <c r="R1102" t="s">
        <v>3599</v>
      </c>
      <c r="S1102" t="s">
        <v>3599</v>
      </c>
      <c r="T1102">
        <v>1</v>
      </c>
      <c r="U1102" t="s">
        <v>868</v>
      </c>
      <c r="V1102">
        <v>5</v>
      </c>
      <c r="W1102">
        <v>0</v>
      </c>
      <c r="X1102">
        <v>0</v>
      </c>
    </row>
    <row r="1103" spans="1:24" x14ac:dyDescent="0.3">
      <c r="A1103" t="s">
        <v>2735</v>
      </c>
      <c r="B1103" t="s">
        <v>2736</v>
      </c>
      <c r="C1103">
        <v>1</v>
      </c>
      <c r="D1103" t="s">
        <v>11</v>
      </c>
      <c r="E1103" t="s">
        <v>21</v>
      </c>
      <c r="F1103" t="s">
        <v>22</v>
      </c>
      <c r="H1103" t="s">
        <v>71</v>
      </c>
      <c r="I1103" t="s">
        <v>3617</v>
      </c>
      <c r="J1103" t="s">
        <v>2735</v>
      </c>
      <c r="K1103" t="s">
        <v>868</v>
      </c>
      <c r="L1103" t="s">
        <v>3618</v>
      </c>
      <c r="M1103" t="s">
        <v>2735</v>
      </c>
      <c r="N1103" t="s">
        <v>2736</v>
      </c>
      <c r="Q1103" t="s">
        <v>3599</v>
      </c>
      <c r="R1103" t="s">
        <v>3599</v>
      </c>
      <c r="S1103" t="s">
        <v>3599</v>
      </c>
      <c r="T1103">
        <v>1</v>
      </c>
      <c r="U1103" t="s">
        <v>868</v>
      </c>
      <c r="V1103">
        <v>5</v>
      </c>
      <c r="W1103">
        <v>0</v>
      </c>
      <c r="X1103">
        <v>0</v>
      </c>
    </row>
    <row r="1104" spans="1:24" x14ac:dyDescent="0.3">
      <c r="A1104" t="s">
        <v>2737</v>
      </c>
      <c r="B1104" t="s">
        <v>2738</v>
      </c>
      <c r="C1104">
        <v>1</v>
      </c>
      <c r="D1104" t="s">
        <v>11</v>
      </c>
      <c r="E1104" t="s">
        <v>21</v>
      </c>
      <c r="F1104" t="s">
        <v>22</v>
      </c>
      <c r="H1104" t="s">
        <v>71</v>
      </c>
      <c r="I1104" t="s">
        <v>3617</v>
      </c>
      <c r="J1104" t="s">
        <v>2737</v>
      </c>
      <c r="K1104" t="s">
        <v>868</v>
      </c>
      <c r="L1104" t="s">
        <v>3618</v>
      </c>
      <c r="M1104" t="s">
        <v>2737</v>
      </c>
      <c r="N1104" t="s">
        <v>2738</v>
      </c>
      <c r="Q1104" t="s">
        <v>3599</v>
      </c>
      <c r="R1104" t="s">
        <v>3599</v>
      </c>
      <c r="S1104" t="s">
        <v>3599</v>
      </c>
      <c r="T1104">
        <v>1</v>
      </c>
      <c r="U1104" t="s">
        <v>868</v>
      </c>
      <c r="V1104">
        <v>5</v>
      </c>
      <c r="W1104">
        <v>0</v>
      </c>
      <c r="X1104">
        <v>0</v>
      </c>
    </row>
    <row r="1105" spans="1:24" x14ac:dyDescent="0.3">
      <c r="A1105" t="s">
        <v>2739</v>
      </c>
      <c r="B1105" t="s">
        <v>2740</v>
      </c>
      <c r="C1105">
        <v>1</v>
      </c>
      <c r="D1105" t="s">
        <v>11</v>
      </c>
      <c r="E1105" t="s">
        <v>21</v>
      </c>
      <c r="F1105" t="s">
        <v>22</v>
      </c>
      <c r="H1105" t="s">
        <v>71</v>
      </c>
      <c r="I1105" t="s">
        <v>3617</v>
      </c>
      <c r="K1105" t="s">
        <v>868</v>
      </c>
      <c r="L1105" t="s">
        <v>3618</v>
      </c>
      <c r="N1105" t="s">
        <v>2740</v>
      </c>
      <c r="Q1105" t="s">
        <v>3599</v>
      </c>
      <c r="R1105" t="s">
        <v>3599</v>
      </c>
      <c r="S1105" t="s">
        <v>3599</v>
      </c>
      <c r="T1105">
        <v>1</v>
      </c>
      <c r="U1105" t="s">
        <v>868</v>
      </c>
      <c r="V1105">
        <v>5</v>
      </c>
      <c r="W1105">
        <v>0</v>
      </c>
      <c r="X1105">
        <v>0</v>
      </c>
    </row>
    <row r="1106" spans="1:24" x14ac:dyDescent="0.3">
      <c r="A1106" t="s">
        <v>2741</v>
      </c>
      <c r="B1106" t="s">
        <v>2742</v>
      </c>
      <c r="C1106">
        <v>1</v>
      </c>
      <c r="D1106" t="s">
        <v>11</v>
      </c>
      <c r="E1106" t="s">
        <v>21</v>
      </c>
      <c r="F1106" t="s">
        <v>22</v>
      </c>
      <c r="H1106" t="s">
        <v>71</v>
      </c>
      <c r="I1106" t="s">
        <v>3617</v>
      </c>
      <c r="J1106" t="s">
        <v>2741</v>
      </c>
      <c r="K1106" t="s">
        <v>868</v>
      </c>
      <c r="L1106" t="s">
        <v>3618</v>
      </c>
      <c r="M1106" t="s">
        <v>2741</v>
      </c>
      <c r="N1106" t="s">
        <v>2742</v>
      </c>
      <c r="Q1106" t="s">
        <v>3599</v>
      </c>
      <c r="R1106" t="s">
        <v>3599</v>
      </c>
      <c r="S1106" t="s">
        <v>3599</v>
      </c>
      <c r="T1106">
        <v>1</v>
      </c>
      <c r="U1106" t="s">
        <v>868</v>
      </c>
      <c r="V1106">
        <v>5</v>
      </c>
      <c r="W1106">
        <v>0</v>
      </c>
      <c r="X1106">
        <v>0</v>
      </c>
    </row>
    <row r="1107" spans="1:24" x14ac:dyDescent="0.3">
      <c r="A1107" t="s">
        <v>2743</v>
      </c>
      <c r="B1107" t="s">
        <v>2744</v>
      </c>
      <c r="C1107">
        <v>1</v>
      </c>
      <c r="D1107" t="s">
        <v>11</v>
      </c>
      <c r="E1107" t="s">
        <v>21</v>
      </c>
      <c r="F1107" t="s">
        <v>22</v>
      </c>
      <c r="H1107" t="s">
        <v>71</v>
      </c>
      <c r="I1107" t="s">
        <v>3617</v>
      </c>
      <c r="J1107" t="s">
        <v>2743</v>
      </c>
      <c r="K1107" t="s">
        <v>868</v>
      </c>
      <c r="L1107" t="s">
        <v>3618</v>
      </c>
      <c r="M1107" t="s">
        <v>2743</v>
      </c>
      <c r="N1107" t="s">
        <v>2744</v>
      </c>
      <c r="Q1107" t="s">
        <v>3599</v>
      </c>
      <c r="R1107" t="s">
        <v>3599</v>
      </c>
      <c r="S1107" t="s">
        <v>3599</v>
      </c>
      <c r="T1107">
        <v>1</v>
      </c>
      <c r="U1107" t="s">
        <v>868</v>
      </c>
      <c r="V1107">
        <v>5</v>
      </c>
      <c r="W1107">
        <v>0</v>
      </c>
      <c r="X1107">
        <v>0</v>
      </c>
    </row>
    <row r="1108" spans="1:24" x14ac:dyDescent="0.3">
      <c r="A1108" t="s">
        <v>2745</v>
      </c>
      <c r="B1108" t="s">
        <v>2746</v>
      </c>
      <c r="C1108">
        <v>1</v>
      </c>
      <c r="D1108" t="s">
        <v>11</v>
      </c>
      <c r="E1108" t="s">
        <v>21</v>
      </c>
      <c r="F1108" t="s">
        <v>22</v>
      </c>
      <c r="H1108" t="s">
        <v>71</v>
      </c>
      <c r="I1108" t="s">
        <v>3617</v>
      </c>
      <c r="J1108" t="s">
        <v>2745</v>
      </c>
      <c r="K1108" t="s">
        <v>868</v>
      </c>
      <c r="L1108" t="s">
        <v>3618</v>
      </c>
      <c r="M1108" t="s">
        <v>2745</v>
      </c>
      <c r="N1108" t="s">
        <v>2746</v>
      </c>
      <c r="Q1108" t="s">
        <v>3599</v>
      </c>
      <c r="R1108" t="s">
        <v>3599</v>
      </c>
      <c r="S1108" t="s">
        <v>3599</v>
      </c>
      <c r="T1108">
        <v>1</v>
      </c>
      <c r="U1108" t="s">
        <v>868</v>
      </c>
      <c r="V1108">
        <v>5</v>
      </c>
      <c r="W1108">
        <v>0</v>
      </c>
      <c r="X1108">
        <v>0</v>
      </c>
    </row>
    <row r="1109" spans="1:24" x14ac:dyDescent="0.3">
      <c r="A1109" t="s">
        <v>2747</v>
      </c>
      <c r="B1109" t="s">
        <v>2748</v>
      </c>
      <c r="C1109">
        <v>1</v>
      </c>
      <c r="D1109" t="s">
        <v>11</v>
      </c>
      <c r="E1109" t="s">
        <v>21</v>
      </c>
      <c r="F1109" t="s">
        <v>22</v>
      </c>
      <c r="H1109" t="s">
        <v>71</v>
      </c>
      <c r="I1109" t="s">
        <v>3617</v>
      </c>
      <c r="J1109" t="s">
        <v>2747</v>
      </c>
      <c r="K1109" t="s">
        <v>868</v>
      </c>
      <c r="L1109" t="s">
        <v>3618</v>
      </c>
      <c r="M1109" t="s">
        <v>2747</v>
      </c>
      <c r="N1109" t="s">
        <v>2748</v>
      </c>
      <c r="Q1109" t="s">
        <v>3599</v>
      </c>
      <c r="R1109" t="s">
        <v>3599</v>
      </c>
      <c r="S1109" t="s">
        <v>3599</v>
      </c>
      <c r="T1109">
        <v>1</v>
      </c>
      <c r="U1109" t="s">
        <v>868</v>
      </c>
      <c r="V1109">
        <v>5</v>
      </c>
      <c r="W1109">
        <v>0</v>
      </c>
      <c r="X1109">
        <v>0</v>
      </c>
    </row>
    <row r="1110" spans="1:24" x14ac:dyDescent="0.3">
      <c r="A1110" t="s">
        <v>2749</v>
      </c>
      <c r="B1110" t="s">
        <v>2750</v>
      </c>
      <c r="C1110">
        <v>1</v>
      </c>
      <c r="D1110" t="s">
        <v>11</v>
      </c>
      <c r="E1110" t="s">
        <v>21</v>
      </c>
      <c r="F1110" t="s">
        <v>22</v>
      </c>
      <c r="H1110" t="s">
        <v>71</v>
      </c>
      <c r="I1110" t="s">
        <v>3617</v>
      </c>
      <c r="J1110" t="s">
        <v>2749</v>
      </c>
      <c r="K1110" t="s">
        <v>868</v>
      </c>
      <c r="L1110" t="s">
        <v>3618</v>
      </c>
      <c r="M1110" t="s">
        <v>2749</v>
      </c>
      <c r="N1110" t="s">
        <v>2750</v>
      </c>
      <c r="Q1110" t="s">
        <v>3599</v>
      </c>
      <c r="R1110" t="s">
        <v>3599</v>
      </c>
      <c r="S1110" t="s">
        <v>3599</v>
      </c>
      <c r="T1110">
        <v>1</v>
      </c>
      <c r="U1110" t="s">
        <v>868</v>
      </c>
      <c r="V1110">
        <v>5</v>
      </c>
      <c r="W1110">
        <v>0</v>
      </c>
      <c r="X1110">
        <v>0</v>
      </c>
    </row>
    <row r="1111" spans="1:24" x14ac:dyDescent="0.3">
      <c r="A1111" t="s">
        <v>2751</v>
      </c>
      <c r="B1111" t="s">
        <v>2752</v>
      </c>
      <c r="C1111">
        <v>1</v>
      </c>
      <c r="D1111" t="s">
        <v>11</v>
      </c>
      <c r="E1111" t="s">
        <v>21</v>
      </c>
      <c r="F1111" t="s">
        <v>22</v>
      </c>
      <c r="H1111" t="s">
        <v>71</v>
      </c>
      <c r="I1111" t="s">
        <v>3617</v>
      </c>
      <c r="J1111" t="s">
        <v>2751</v>
      </c>
      <c r="K1111" t="s">
        <v>868</v>
      </c>
      <c r="L1111" t="s">
        <v>3618</v>
      </c>
      <c r="M1111" t="s">
        <v>2751</v>
      </c>
      <c r="N1111" t="s">
        <v>2752</v>
      </c>
      <c r="Q1111" t="s">
        <v>3599</v>
      </c>
      <c r="R1111" t="s">
        <v>3599</v>
      </c>
      <c r="S1111" t="s">
        <v>3599</v>
      </c>
      <c r="T1111">
        <v>1</v>
      </c>
      <c r="U1111" t="s">
        <v>868</v>
      </c>
      <c r="V1111">
        <v>5</v>
      </c>
      <c r="W1111">
        <v>0</v>
      </c>
      <c r="X1111">
        <v>0</v>
      </c>
    </row>
    <row r="1112" spans="1:24" x14ac:dyDescent="0.3">
      <c r="A1112" t="s">
        <v>2753</v>
      </c>
      <c r="B1112" t="s">
        <v>2754</v>
      </c>
      <c r="C1112">
        <v>1</v>
      </c>
      <c r="D1112" t="s">
        <v>11</v>
      </c>
      <c r="E1112" t="s">
        <v>21</v>
      </c>
      <c r="F1112" t="s">
        <v>22</v>
      </c>
      <c r="H1112" t="s">
        <v>71</v>
      </c>
      <c r="I1112" t="s">
        <v>3617</v>
      </c>
      <c r="J1112" t="s">
        <v>2753</v>
      </c>
      <c r="K1112" t="s">
        <v>868</v>
      </c>
      <c r="L1112" t="s">
        <v>3618</v>
      </c>
      <c r="M1112" t="s">
        <v>2753</v>
      </c>
      <c r="N1112" t="s">
        <v>2754</v>
      </c>
      <c r="Q1112" t="s">
        <v>3599</v>
      </c>
      <c r="R1112" t="s">
        <v>3599</v>
      </c>
      <c r="S1112" t="s">
        <v>3599</v>
      </c>
      <c r="T1112">
        <v>1</v>
      </c>
      <c r="U1112" t="s">
        <v>868</v>
      </c>
      <c r="V1112">
        <v>5</v>
      </c>
      <c r="W1112">
        <v>0</v>
      </c>
      <c r="X1112">
        <v>0</v>
      </c>
    </row>
    <row r="1113" spans="1:24" x14ac:dyDescent="0.3">
      <c r="A1113" t="s">
        <v>2755</v>
      </c>
      <c r="B1113" t="s">
        <v>2756</v>
      </c>
      <c r="C1113">
        <v>1</v>
      </c>
      <c r="D1113" t="s">
        <v>11</v>
      </c>
      <c r="E1113" t="s">
        <v>21</v>
      </c>
      <c r="F1113" t="s">
        <v>22</v>
      </c>
      <c r="H1113" t="s">
        <v>71</v>
      </c>
      <c r="I1113" t="s">
        <v>3617</v>
      </c>
      <c r="J1113" t="s">
        <v>2755</v>
      </c>
      <c r="K1113" t="s">
        <v>868</v>
      </c>
      <c r="L1113" t="s">
        <v>3618</v>
      </c>
      <c r="M1113" t="s">
        <v>2755</v>
      </c>
      <c r="N1113" t="s">
        <v>2756</v>
      </c>
      <c r="Q1113" t="s">
        <v>3599</v>
      </c>
      <c r="R1113" t="s">
        <v>3599</v>
      </c>
      <c r="S1113" t="s">
        <v>3599</v>
      </c>
      <c r="T1113">
        <v>1</v>
      </c>
      <c r="U1113" t="s">
        <v>868</v>
      </c>
      <c r="V1113">
        <v>5</v>
      </c>
      <c r="W1113">
        <v>0</v>
      </c>
      <c r="X1113">
        <v>0</v>
      </c>
    </row>
    <row r="1114" spans="1:24" x14ac:dyDescent="0.3">
      <c r="A1114" t="s">
        <v>2757</v>
      </c>
      <c r="B1114" t="s">
        <v>2758</v>
      </c>
      <c r="C1114">
        <v>1</v>
      </c>
      <c r="D1114" t="s">
        <v>11</v>
      </c>
      <c r="E1114" t="s">
        <v>21</v>
      </c>
      <c r="F1114" t="s">
        <v>22</v>
      </c>
      <c r="H1114" t="s">
        <v>71</v>
      </c>
      <c r="I1114" t="s">
        <v>3617</v>
      </c>
      <c r="J1114" t="s">
        <v>2757</v>
      </c>
      <c r="K1114" t="s">
        <v>868</v>
      </c>
      <c r="L1114" t="s">
        <v>3618</v>
      </c>
      <c r="M1114" t="s">
        <v>2757</v>
      </c>
      <c r="N1114" t="s">
        <v>2758</v>
      </c>
      <c r="Q1114" t="s">
        <v>3599</v>
      </c>
      <c r="R1114" t="s">
        <v>3599</v>
      </c>
      <c r="S1114" t="s">
        <v>3599</v>
      </c>
      <c r="T1114">
        <v>1</v>
      </c>
      <c r="U1114" t="s">
        <v>868</v>
      </c>
      <c r="V1114">
        <v>5</v>
      </c>
      <c r="W1114">
        <v>0</v>
      </c>
      <c r="X1114">
        <v>0</v>
      </c>
    </row>
    <row r="1115" spans="1:24" x14ac:dyDescent="0.3">
      <c r="A1115" t="s">
        <v>2759</v>
      </c>
      <c r="B1115" t="s">
        <v>2760</v>
      </c>
      <c r="C1115">
        <v>1</v>
      </c>
      <c r="D1115" t="s">
        <v>11</v>
      </c>
      <c r="E1115" t="s">
        <v>21</v>
      </c>
      <c r="F1115" t="s">
        <v>22</v>
      </c>
      <c r="H1115" t="s">
        <v>71</v>
      </c>
      <c r="I1115" t="s">
        <v>3617</v>
      </c>
      <c r="J1115" t="s">
        <v>2759</v>
      </c>
      <c r="K1115" t="s">
        <v>868</v>
      </c>
      <c r="L1115" t="s">
        <v>3618</v>
      </c>
      <c r="M1115" t="s">
        <v>2759</v>
      </c>
      <c r="N1115" t="s">
        <v>2760</v>
      </c>
      <c r="O1115" t="s">
        <v>2761</v>
      </c>
      <c r="Q1115" t="s">
        <v>3599</v>
      </c>
      <c r="R1115" t="s">
        <v>3599</v>
      </c>
      <c r="S1115" t="s">
        <v>3599</v>
      </c>
      <c r="T1115">
        <v>1</v>
      </c>
      <c r="U1115" t="s">
        <v>868</v>
      </c>
      <c r="V1115">
        <v>5</v>
      </c>
      <c r="W1115">
        <v>0</v>
      </c>
      <c r="X1115">
        <v>0</v>
      </c>
    </row>
    <row r="1116" spans="1:24" x14ac:dyDescent="0.3">
      <c r="A1116" t="s">
        <v>1946</v>
      </c>
      <c r="B1116" t="s">
        <v>1947</v>
      </c>
      <c r="C1116">
        <v>1</v>
      </c>
      <c r="D1116" t="s">
        <v>11</v>
      </c>
      <c r="E1116" t="s">
        <v>21</v>
      </c>
      <c r="F1116" t="s">
        <v>22</v>
      </c>
      <c r="H1116" t="s">
        <v>71</v>
      </c>
      <c r="I1116" t="s">
        <v>3617</v>
      </c>
      <c r="J1116" t="s">
        <v>1946</v>
      </c>
      <c r="K1116" t="s">
        <v>868</v>
      </c>
      <c r="L1116" t="s">
        <v>3618</v>
      </c>
      <c r="M1116" t="s">
        <v>1946</v>
      </c>
      <c r="N1116" t="s">
        <v>1947</v>
      </c>
      <c r="Q1116" t="s">
        <v>3599</v>
      </c>
      <c r="R1116" t="s">
        <v>3599</v>
      </c>
      <c r="S1116" t="s">
        <v>3599</v>
      </c>
      <c r="T1116">
        <v>1</v>
      </c>
      <c r="U1116" t="s">
        <v>868</v>
      </c>
      <c r="V1116">
        <v>5</v>
      </c>
      <c r="W1116">
        <v>0</v>
      </c>
      <c r="X1116">
        <v>0</v>
      </c>
    </row>
    <row r="1117" spans="1:24" x14ac:dyDescent="0.3">
      <c r="A1117" t="s">
        <v>2762</v>
      </c>
      <c r="B1117" t="s">
        <v>2763</v>
      </c>
      <c r="C1117">
        <v>1</v>
      </c>
      <c r="D1117" t="s">
        <v>11</v>
      </c>
      <c r="E1117" t="s">
        <v>21</v>
      </c>
      <c r="F1117" t="s">
        <v>22</v>
      </c>
      <c r="H1117" t="s">
        <v>71</v>
      </c>
      <c r="I1117" t="s">
        <v>3617</v>
      </c>
      <c r="J1117" t="s">
        <v>2762</v>
      </c>
      <c r="K1117" t="s">
        <v>868</v>
      </c>
      <c r="L1117" t="s">
        <v>3618</v>
      </c>
      <c r="M1117" t="s">
        <v>2762</v>
      </c>
      <c r="N1117" t="s">
        <v>2763</v>
      </c>
      <c r="O1117" t="s">
        <v>1409</v>
      </c>
      <c r="Q1117" t="s">
        <v>3599</v>
      </c>
      <c r="R1117" t="s">
        <v>3599</v>
      </c>
      <c r="S1117" t="s">
        <v>3599</v>
      </c>
      <c r="T1117">
        <v>1</v>
      </c>
      <c r="U1117" t="s">
        <v>868</v>
      </c>
      <c r="V1117">
        <v>5</v>
      </c>
      <c r="W1117">
        <v>0</v>
      </c>
      <c r="X1117">
        <v>0</v>
      </c>
    </row>
    <row r="1118" spans="1:24" x14ac:dyDescent="0.3">
      <c r="A1118" t="s">
        <v>2764</v>
      </c>
      <c r="B1118" t="s">
        <v>2765</v>
      </c>
      <c r="C1118">
        <v>1</v>
      </c>
      <c r="D1118" t="s">
        <v>11</v>
      </c>
      <c r="E1118" t="s">
        <v>21</v>
      </c>
      <c r="F1118" t="s">
        <v>22</v>
      </c>
      <c r="H1118" t="s">
        <v>71</v>
      </c>
      <c r="I1118" t="s">
        <v>3617</v>
      </c>
      <c r="J1118" t="s">
        <v>2764</v>
      </c>
      <c r="K1118" t="s">
        <v>868</v>
      </c>
      <c r="L1118" t="s">
        <v>3618</v>
      </c>
      <c r="M1118" t="s">
        <v>2764</v>
      </c>
      <c r="N1118" t="s">
        <v>2765</v>
      </c>
      <c r="Q1118" t="s">
        <v>3599</v>
      </c>
      <c r="R1118" t="s">
        <v>3599</v>
      </c>
      <c r="S1118" t="s">
        <v>3599</v>
      </c>
      <c r="T1118">
        <v>1</v>
      </c>
      <c r="U1118" t="s">
        <v>868</v>
      </c>
      <c r="V1118">
        <v>5</v>
      </c>
      <c r="W1118">
        <v>0</v>
      </c>
      <c r="X1118">
        <v>0</v>
      </c>
    </row>
    <row r="1119" spans="1:24" x14ac:dyDescent="0.3">
      <c r="A1119" t="s">
        <v>947</v>
      </c>
      <c r="B1119" t="s">
        <v>948</v>
      </c>
      <c r="C1119">
        <v>1</v>
      </c>
      <c r="D1119" t="s">
        <v>11</v>
      </c>
      <c r="E1119" t="s">
        <v>21</v>
      </c>
      <c r="F1119" t="s">
        <v>22</v>
      </c>
      <c r="H1119" t="s">
        <v>71</v>
      </c>
      <c r="I1119" t="s">
        <v>3617</v>
      </c>
      <c r="J1119" t="s">
        <v>947</v>
      </c>
      <c r="K1119" t="s">
        <v>868</v>
      </c>
      <c r="L1119" t="s">
        <v>3618</v>
      </c>
      <c r="M1119" t="s">
        <v>947</v>
      </c>
      <c r="N1119" t="s">
        <v>948</v>
      </c>
      <c r="Q1119" t="s">
        <v>3599</v>
      </c>
      <c r="R1119" t="s">
        <v>3599</v>
      </c>
      <c r="S1119" t="s">
        <v>3599</v>
      </c>
      <c r="T1119">
        <v>1</v>
      </c>
      <c r="U1119" t="s">
        <v>868</v>
      </c>
      <c r="V1119">
        <v>5</v>
      </c>
      <c r="W1119">
        <v>0</v>
      </c>
      <c r="X1119">
        <v>0</v>
      </c>
    </row>
    <row r="1120" spans="1:24" x14ac:dyDescent="0.3">
      <c r="A1120" t="s">
        <v>2766</v>
      </c>
      <c r="B1120" t="s">
        <v>2767</v>
      </c>
      <c r="C1120">
        <v>1</v>
      </c>
      <c r="D1120" t="s">
        <v>11</v>
      </c>
      <c r="E1120" t="s">
        <v>21</v>
      </c>
      <c r="F1120" t="s">
        <v>22</v>
      </c>
      <c r="H1120" t="s">
        <v>71</v>
      </c>
      <c r="I1120" t="s">
        <v>3617</v>
      </c>
      <c r="J1120" t="s">
        <v>2766</v>
      </c>
      <c r="K1120" t="s">
        <v>868</v>
      </c>
      <c r="L1120" t="s">
        <v>3618</v>
      </c>
      <c r="M1120" t="s">
        <v>2766</v>
      </c>
      <c r="N1120" t="s">
        <v>2767</v>
      </c>
      <c r="Q1120" t="s">
        <v>3599</v>
      </c>
      <c r="R1120" t="s">
        <v>3599</v>
      </c>
      <c r="S1120" t="s">
        <v>3599</v>
      </c>
      <c r="T1120">
        <v>1</v>
      </c>
      <c r="U1120" t="s">
        <v>868</v>
      </c>
      <c r="V1120">
        <v>5</v>
      </c>
      <c r="W1120">
        <v>0</v>
      </c>
      <c r="X1120">
        <v>0</v>
      </c>
    </row>
    <row r="1121" spans="1:24" x14ac:dyDescent="0.3">
      <c r="A1121" t="s">
        <v>2768</v>
      </c>
      <c r="B1121" t="s">
        <v>2769</v>
      </c>
      <c r="C1121">
        <v>1</v>
      </c>
      <c r="D1121" t="s">
        <v>11</v>
      </c>
      <c r="E1121" t="s">
        <v>21</v>
      </c>
      <c r="F1121" t="s">
        <v>22</v>
      </c>
      <c r="H1121" t="s">
        <v>71</v>
      </c>
      <c r="I1121" t="s">
        <v>3617</v>
      </c>
      <c r="J1121" t="s">
        <v>2768</v>
      </c>
      <c r="K1121" t="s">
        <v>868</v>
      </c>
      <c r="L1121" t="s">
        <v>3618</v>
      </c>
      <c r="M1121" t="s">
        <v>2768</v>
      </c>
      <c r="N1121" t="s">
        <v>2769</v>
      </c>
      <c r="Q1121" t="s">
        <v>3599</v>
      </c>
      <c r="R1121" t="s">
        <v>3599</v>
      </c>
      <c r="S1121" t="s">
        <v>3599</v>
      </c>
      <c r="T1121">
        <v>1</v>
      </c>
      <c r="U1121" t="s">
        <v>868</v>
      </c>
      <c r="V1121">
        <v>5</v>
      </c>
      <c r="W1121">
        <v>0</v>
      </c>
      <c r="X1121">
        <v>0</v>
      </c>
    </row>
    <row r="1122" spans="1:24" x14ac:dyDescent="0.3">
      <c r="A1122" t="s">
        <v>2770</v>
      </c>
      <c r="B1122" t="s">
        <v>2771</v>
      </c>
      <c r="C1122">
        <v>1</v>
      </c>
      <c r="D1122" t="s">
        <v>11</v>
      </c>
      <c r="E1122" t="s">
        <v>21</v>
      </c>
      <c r="F1122" t="s">
        <v>22</v>
      </c>
      <c r="H1122" t="s">
        <v>71</v>
      </c>
      <c r="I1122" t="s">
        <v>3617</v>
      </c>
      <c r="J1122" t="s">
        <v>2770</v>
      </c>
      <c r="K1122" t="s">
        <v>868</v>
      </c>
      <c r="L1122" t="s">
        <v>3618</v>
      </c>
      <c r="M1122" t="s">
        <v>2770</v>
      </c>
      <c r="N1122" t="s">
        <v>2771</v>
      </c>
      <c r="Q1122" t="s">
        <v>3599</v>
      </c>
      <c r="R1122" t="s">
        <v>3599</v>
      </c>
      <c r="S1122" t="s">
        <v>3599</v>
      </c>
      <c r="T1122">
        <v>1</v>
      </c>
      <c r="U1122" t="s">
        <v>868</v>
      </c>
      <c r="V1122">
        <v>5</v>
      </c>
      <c r="W1122">
        <v>0</v>
      </c>
      <c r="X1122">
        <v>0</v>
      </c>
    </row>
    <row r="1123" spans="1:24" x14ac:dyDescent="0.3">
      <c r="A1123" t="s">
        <v>2772</v>
      </c>
      <c r="B1123" t="s">
        <v>2773</v>
      </c>
      <c r="C1123">
        <v>1</v>
      </c>
      <c r="D1123" t="s">
        <v>11</v>
      </c>
      <c r="E1123" t="s">
        <v>21</v>
      </c>
      <c r="F1123" t="s">
        <v>22</v>
      </c>
      <c r="H1123" t="s">
        <v>71</v>
      </c>
      <c r="I1123" t="s">
        <v>3617</v>
      </c>
      <c r="J1123" t="s">
        <v>2772</v>
      </c>
      <c r="K1123" t="s">
        <v>868</v>
      </c>
      <c r="L1123" t="s">
        <v>3618</v>
      </c>
      <c r="M1123" t="s">
        <v>2772</v>
      </c>
      <c r="N1123" t="s">
        <v>2773</v>
      </c>
      <c r="Q1123" t="s">
        <v>3599</v>
      </c>
      <c r="R1123" t="s">
        <v>3599</v>
      </c>
      <c r="S1123" t="s">
        <v>3599</v>
      </c>
      <c r="T1123">
        <v>1</v>
      </c>
      <c r="U1123" t="s">
        <v>868</v>
      </c>
      <c r="V1123">
        <v>5</v>
      </c>
      <c r="W1123">
        <v>0</v>
      </c>
      <c r="X1123">
        <v>0</v>
      </c>
    </row>
    <row r="1124" spans="1:24" x14ac:dyDescent="0.3">
      <c r="A1124" t="s">
        <v>2774</v>
      </c>
      <c r="B1124" t="s">
        <v>2775</v>
      </c>
      <c r="C1124">
        <v>1</v>
      </c>
      <c r="D1124" t="s">
        <v>11</v>
      </c>
      <c r="E1124" t="s">
        <v>21</v>
      </c>
      <c r="F1124" t="s">
        <v>22</v>
      </c>
      <c r="H1124" t="s">
        <v>71</v>
      </c>
      <c r="I1124" t="s">
        <v>3617</v>
      </c>
      <c r="J1124" t="s">
        <v>2774</v>
      </c>
      <c r="K1124" t="s">
        <v>868</v>
      </c>
      <c r="L1124" t="s">
        <v>3618</v>
      </c>
      <c r="M1124" t="s">
        <v>2774</v>
      </c>
      <c r="N1124" t="s">
        <v>2775</v>
      </c>
      <c r="Q1124" t="s">
        <v>3599</v>
      </c>
      <c r="R1124" t="s">
        <v>3599</v>
      </c>
      <c r="S1124" t="s">
        <v>3599</v>
      </c>
      <c r="T1124">
        <v>1</v>
      </c>
      <c r="U1124" t="s">
        <v>868</v>
      </c>
      <c r="V1124">
        <v>5</v>
      </c>
      <c r="W1124">
        <v>0</v>
      </c>
      <c r="X1124">
        <v>0</v>
      </c>
    </row>
    <row r="1125" spans="1:24" x14ac:dyDescent="0.3">
      <c r="A1125" t="s">
        <v>2776</v>
      </c>
      <c r="B1125" t="s">
        <v>2777</v>
      </c>
      <c r="C1125">
        <v>1</v>
      </c>
      <c r="D1125" t="s">
        <v>11</v>
      </c>
      <c r="E1125" t="s">
        <v>21</v>
      </c>
      <c r="F1125" t="s">
        <v>22</v>
      </c>
      <c r="H1125" t="s">
        <v>71</v>
      </c>
      <c r="I1125" t="s">
        <v>3617</v>
      </c>
      <c r="J1125" t="s">
        <v>2776</v>
      </c>
      <c r="K1125" t="s">
        <v>868</v>
      </c>
      <c r="L1125" t="s">
        <v>3618</v>
      </c>
      <c r="M1125" t="s">
        <v>2776</v>
      </c>
      <c r="N1125" t="s">
        <v>2777</v>
      </c>
      <c r="Q1125" t="s">
        <v>3599</v>
      </c>
      <c r="R1125" t="s">
        <v>3599</v>
      </c>
      <c r="S1125" t="s">
        <v>3599</v>
      </c>
      <c r="T1125">
        <v>1</v>
      </c>
      <c r="U1125" t="s">
        <v>868</v>
      </c>
      <c r="V1125">
        <v>5</v>
      </c>
      <c r="W1125">
        <v>0</v>
      </c>
      <c r="X1125">
        <v>0</v>
      </c>
    </row>
    <row r="1126" spans="1:24" x14ac:dyDescent="0.3">
      <c r="A1126" t="s">
        <v>2778</v>
      </c>
      <c r="B1126" t="s">
        <v>2779</v>
      </c>
      <c r="C1126">
        <v>1</v>
      </c>
      <c r="D1126" t="s">
        <v>11</v>
      </c>
      <c r="E1126" t="s">
        <v>21</v>
      </c>
      <c r="F1126" t="s">
        <v>22</v>
      </c>
      <c r="H1126" t="s">
        <v>71</v>
      </c>
      <c r="I1126" t="s">
        <v>3617</v>
      </c>
      <c r="J1126" t="s">
        <v>2778</v>
      </c>
      <c r="K1126" t="s">
        <v>868</v>
      </c>
      <c r="L1126" t="s">
        <v>3618</v>
      </c>
      <c r="M1126" t="s">
        <v>2778</v>
      </c>
      <c r="N1126" t="s">
        <v>2779</v>
      </c>
      <c r="Q1126" t="s">
        <v>3599</v>
      </c>
      <c r="R1126" t="s">
        <v>3599</v>
      </c>
      <c r="S1126" t="s">
        <v>3599</v>
      </c>
      <c r="T1126">
        <v>1</v>
      </c>
      <c r="U1126" t="s">
        <v>868</v>
      </c>
      <c r="V1126">
        <v>5</v>
      </c>
      <c r="W1126">
        <v>0</v>
      </c>
      <c r="X1126">
        <v>0</v>
      </c>
    </row>
    <row r="1127" spans="1:24" x14ac:dyDescent="0.3">
      <c r="A1127" t="s">
        <v>2780</v>
      </c>
      <c r="B1127" t="s">
        <v>2781</v>
      </c>
      <c r="C1127">
        <v>1</v>
      </c>
      <c r="D1127" t="s">
        <v>11</v>
      </c>
      <c r="E1127" t="s">
        <v>21</v>
      </c>
      <c r="F1127" t="s">
        <v>22</v>
      </c>
      <c r="H1127" t="s">
        <v>71</v>
      </c>
      <c r="I1127" t="s">
        <v>3617</v>
      </c>
      <c r="J1127" t="s">
        <v>2780</v>
      </c>
      <c r="K1127" t="s">
        <v>868</v>
      </c>
      <c r="L1127" t="s">
        <v>3618</v>
      </c>
      <c r="M1127" t="s">
        <v>2780</v>
      </c>
      <c r="N1127" t="s">
        <v>2781</v>
      </c>
      <c r="Q1127" t="s">
        <v>3599</v>
      </c>
      <c r="R1127" t="s">
        <v>3599</v>
      </c>
      <c r="S1127" t="s">
        <v>3599</v>
      </c>
      <c r="T1127">
        <v>1</v>
      </c>
      <c r="U1127" t="s">
        <v>868</v>
      </c>
      <c r="V1127">
        <v>5</v>
      </c>
      <c r="W1127">
        <v>0</v>
      </c>
      <c r="X1127">
        <v>0</v>
      </c>
    </row>
    <row r="1128" spans="1:24" x14ac:dyDescent="0.3">
      <c r="A1128" t="s">
        <v>2782</v>
      </c>
      <c r="B1128" t="s">
        <v>2783</v>
      </c>
      <c r="C1128">
        <v>1</v>
      </c>
      <c r="D1128" t="s">
        <v>11</v>
      </c>
      <c r="E1128" t="s">
        <v>21</v>
      </c>
      <c r="F1128" t="s">
        <v>22</v>
      </c>
      <c r="H1128" t="s">
        <v>71</v>
      </c>
      <c r="I1128" t="s">
        <v>3617</v>
      </c>
      <c r="J1128" t="s">
        <v>2782</v>
      </c>
      <c r="K1128" t="s">
        <v>868</v>
      </c>
      <c r="L1128" t="s">
        <v>3618</v>
      </c>
      <c r="M1128" t="s">
        <v>2782</v>
      </c>
      <c r="N1128" t="s">
        <v>2783</v>
      </c>
      <c r="Q1128" t="s">
        <v>3599</v>
      </c>
      <c r="R1128" t="s">
        <v>3599</v>
      </c>
      <c r="S1128" t="s">
        <v>3599</v>
      </c>
      <c r="T1128">
        <v>1</v>
      </c>
      <c r="U1128" t="s">
        <v>868</v>
      </c>
      <c r="V1128">
        <v>5</v>
      </c>
      <c r="W1128">
        <v>0</v>
      </c>
      <c r="X1128">
        <v>0</v>
      </c>
    </row>
    <row r="1129" spans="1:24" x14ac:dyDescent="0.3">
      <c r="A1129" t="s">
        <v>2784</v>
      </c>
      <c r="B1129" t="s">
        <v>2785</v>
      </c>
      <c r="C1129">
        <v>1</v>
      </c>
      <c r="D1129" t="s">
        <v>11</v>
      </c>
      <c r="E1129" t="s">
        <v>21</v>
      </c>
      <c r="F1129" t="s">
        <v>22</v>
      </c>
      <c r="H1129" t="s">
        <v>71</v>
      </c>
      <c r="I1129" t="s">
        <v>3617</v>
      </c>
      <c r="J1129" t="s">
        <v>2784</v>
      </c>
      <c r="K1129" t="s">
        <v>868</v>
      </c>
      <c r="L1129" t="s">
        <v>3618</v>
      </c>
      <c r="M1129" t="s">
        <v>2784</v>
      </c>
      <c r="N1129" t="s">
        <v>2785</v>
      </c>
      <c r="O1129" t="s">
        <v>1409</v>
      </c>
      <c r="Q1129" t="s">
        <v>3599</v>
      </c>
      <c r="R1129" t="s">
        <v>3599</v>
      </c>
      <c r="S1129" t="s">
        <v>3599</v>
      </c>
      <c r="T1129">
        <v>1</v>
      </c>
      <c r="U1129" t="s">
        <v>868</v>
      </c>
      <c r="V1129">
        <v>5</v>
      </c>
      <c r="W1129">
        <v>0</v>
      </c>
      <c r="X1129">
        <v>0</v>
      </c>
    </row>
    <row r="1130" spans="1:24" x14ac:dyDescent="0.3">
      <c r="A1130" t="s">
        <v>2786</v>
      </c>
      <c r="B1130" t="s">
        <v>2787</v>
      </c>
      <c r="C1130">
        <v>1</v>
      </c>
      <c r="D1130" t="s">
        <v>11</v>
      </c>
      <c r="E1130" t="s">
        <v>21</v>
      </c>
      <c r="F1130" t="s">
        <v>22</v>
      </c>
      <c r="H1130" t="s">
        <v>71</v>
      </c>
      <c r="I1130" t="s">
        <v>3617</v>
      </c>
      <c r="J1130" t="s">
        <v>2786</v>
      </c>
      <c r="K1130" t="s">
        <v>868</v>
      </c>
      <c r="L1130" t="s">
        <v>3618</v>
      </c>
      <c r="M1130" t="s">
        <v>2786</v>
      </c>
      <c r="N1130" t="s">
        <v>2787</v>
      </c>
      <c r="Q1130" t="s">
        <v>3599</v>
      </c>
      <c r="R1130" t="s">
        <v>3599</v>
      </c>
      <c r="S1130" t="s">
        <v>3599</v>
      </c>
      <c r="T1130">
        <v>1</v>
      </c>
      <c r="U1130" t="s">
        <v>868</v>
      </c>
      <c r="V1130">
        <v>5</v>
      </c>
      <c r="W1130">
        <v>0</v>
      </c>
      <c r="X1130">
        <v>0</v>
      </c>
    </row>
    <row r="1131" spans="1:24" x14ac:dyDescent="0.3">
      <c r="A1131" t="s">
        <v>2788</v>
      </c>
      <c r="B1131" t="s">
        <v>2789</v>
      </c>
      <c r="C1131">
        <v>1</v>
      </c>
      <c r="D1131" t="s">
        <v>11</v>
      </c>
      <c r="E1131" t="s">
        <v>21</v>
      </c>
      <c r="F1131" t="s">
        <v>22</v>
      </c>
      <c r="H1131" t="s">
        <v>71</v>
      </c>
      <c r="I1131" t="s">
        <v>3617</v>
      </c>
      <c r="J1131" t="s">
        <v>2788</v>
      </c>
      <c r="K1131" t="s">
        <v>868</v>
      </c>
      <c r="L1131" t="s">
        <v>3618</v>
      </c>
      <c r="M1131" t="s">
        <v>2788</v>
      </c>
      <c r="N1131" t="s">
        <v>2789</v>
      </c>
      <c r="Q1131" t="s">
        <v>3599</v>
      </c>
      <c r="R1131" t="s">
        <v>3599</v>
      </c>
      <c r="S1131" t="s">
        <v>3599</v>
      </c>
      <c r="T1131">
        <v>1</v>
      </c>
      <c r="U1131" t="s">
        <v>868</v>
      </c>
      <c r="V1131">
        <v>5</v>
      </c>
      <c r="W1131">
        <v>0</v>
      </c>
      <c r="X1131">
        <v>0</v>
      </c>
    </row>
    <row r="1132" spans="1:24" x14ac:dyDescent="0.3">
      <c r="A1132" t="s">
        <v>2790</v>
      </c>
      <c r="B1132" t="s">
        <v>2791</v>
      </c>
      <c r="C1132">
        <v>1</v>
      </c>
      <c r="D1132" t="s">
        <v>11</v>
      </c>
      <c r="E1132" t="s">
        <v>21</v>
      </c>
      <c r="F1132" t="s">
        <v>22</v>
      </c>
      <c r="H1132" t="s">
        <v>71</v>
      </c>
      <c r="I1132" t="s">
        <v>3617</v>
      </c>
      <c r="J1132" t="s">
        <v>2790</v>
      </c>
      <c r="K1132" t="s">
        <v>868</v>
      </c>
      <c r="L1132" t="s">
        <v>3618</v>
      </c>
      <c r="M1132" t="s">
        <v>2790</v>
      </c>
      <c r="N1132" t="s">
        <v>2791</v>
      </c>
      <c r="Q1132" t="s">
        <v>3599</v>
      </c>
      <c r="R1132" t="s">
        <v>3599</v>
      </c>
      <c r="S1132" t="s">
        <v>3599</v>
      </c>
      <c r="T1132">
        <v>1</v>
      </c>
      <c r="U1132" t="s">
        <v>868</v>
      </c>
      <c r="V1132">
        <v>5</v>
      </c>
      <c r="W1132">
        <v>0</v>
      </c>
      <c r="X1132">
        <v>0</v>
      </c>
    </row>
    <row r="1133" spans="1:24" x14ac:dyDescent="0.3">
      <c r="A1133" t="s">
        <v>2792</v>
      </c>
      <c r="B1133" t="s">
        <v>2793</v>
      </c>
      <c r="C1133">
        <v>1</v>
      </c>
      <c r="D1133" t="s">
        <v>11</v>
      </c>
      <c r="E1133" t="s">
        <v>21</v>
      </c>
      <c r="F1133" t="s">
        <v>22</v>
      </c>
      <c r="H1133" t="s">
        <v>71</v>
      </c>
      <c r="I1133" t="s">
        <v>3617</v>
      </c>
      <c r="J1133" t="s">
        <v>2792</v>
      </c>
      <c r="K1133" t="s">
        <v>868</v>
      </c>
      <c r="L1133" t="s">
        <v>3618</v>
      </c>
      <c r="M1133" t="s">
        <v>2792</v>
      </c>
      <c r="N1133" t="s">
        <v>2793</v>
      </c>
      <c r="Q1133" t="s">
        <v>3599</v>
      </c>
      <c r="R1133" t="s">
        <v>3599</v>
      </c>
      <c r="S1133" t="s">
        <v>3599</v>
      </c>
      <c r="T1133">
        <v>1</v>
      </c>
      <c r="U1133" t="s">
        <v>868</v>
      </c>
      <c r="V1133">
        <v>5</v>
      </c>
      <c r="W1133">
        <v>0</v>
      </c>
      <c r="X1133">
        <v>0</v>
      </c>
    </row>
    <row r="1134" spans="1:24" x14ac:dyDescent="0.3">
      <c r="A1134" t="s">
        <v>2794</v>
      </c>
      <c r="B1134" t="s">
        <v>2795</v>
      </c>
      <c r="C1134">
        <v>1</v>
      </c>
      <c r="D1134" t="s">
        <v>11</v>
      </c>
      <c r="E1134" t="s">
        <v>21</v>
      </c>
      <c r="F1134" t="s">
        <v>22</v>
      </c>
      <c r="H1134" t="s">
        <v>71</v>
      </c>
      <c r="I1134" t="s">
        <v>3617</v>
      </c>
      <c r="J1134" t="s">
        <v>2794</v>
      </c>
      <c r="K1134" t="s">
        <v>868</v>
      </c>
      <c r="L1134" t="s">
        <v>3618</v>
      </c>
      <c r="M1134" t="s">
        <v>2794</v>
      </c>
      <c r="N1134" t="s">
        <v>2795</v>
      </c>
      <c r="Q1134" t="s">
        <v>3599</v>
      </c>
      <c r="R1134" t="s">
        <v>3599</v>
      </c>
      <c r="S1134" t="s">
        <v>3599</v>
      </c>
      <c r="T1134">
        <v>1</v>
      </c>
      <c r="U1134" t="s">
        <v>868</v>
      </c>
      <c r="V1134">
        <v>5</v>
      </c>
      <c r="W1134">
        <v>0</v>
      </c>
      <c r="X1134">
        <v>0</v>
      </c>
    </row>
    <row r="1135" spans="1:24" x14ac:dyDescent="0.3">
      <c r="A1135" t="s">
        <v>2796</v>
      </c>
      <c r="B1135" t="s">
        <v>2797</v>
      </c>
      <c r="C1135">
        <v>1</v>
      </c>
      <c r="D1135" t="s">
        <v>11</v>
      </c>
      <c r="E1135" t="s">
        <v>21</v>
      </c>
      <c r="F1135" t="s">
        <v>22</v>
      </c>
      <c r="H1135" t="s">
        <v>71</v>
      </c>
      <c r="I1135" t="s">
        <v>3617</v>
      </c>
      <c r="J1135" t="s">
        <v>2796</v>
      </c>
      <c r="K1135" t="s">
        <v>868</v>
      </c>
      <c r="L1135" t="s">
        <v>3618</v>
      </c>
      <c r="M1135" t="s">
        <v>2796</v>
      </c>
      <c r="N1135" t="s">
        <v>2797</v>
      </c>
      <c r="Q1135" t="s">
        <v>3599</v>
      </c>
      <c r="R1135" t="s">
        <v>3599</v>
      </c>
      <c r="S1135" t="s">
        <v>3599</v>
      </c>
      <c r="T1135">
        <v>1</v>
      </c>
      <c r="U1135" t="s">
        <v>868</v>
      </c>
      <c r="V1135">
        <v>5</v>
      </c>
      <c r="W1135">
        <v>0</v>
      </c>
      <c r="X1135">
        <v>0</v>
      </c>
    </row>
    <row r="1136" spans="1:24" x14ac:dyDescent="0.3">
      <c r="A1136" t="s">
        <v>2798</v>
      </c>
      <c r="B1136" t="s">
        <v>2799</v>
      </c>
      <c r="C1136">
        <v>1</v>
      </c>
      <c r="D1136" t="s">
        <v>11</v>
      </c>
      <c r="E1136" t="s">
        <v>21</v>
      </c>
      <c r="F1136" t="s">
        <v>22</v>
      </c>
      <c r="H1136" t="s">
        <v>71</v>
      </c>
      <c r="I1136" t="s">
        <v>3617</v>
      </c>
      <c r="J1136" t="s">
        <v>2798</v>
      </c>
      <c r="K1136" t="s">
        <v>868</v>
      </c>
      <c r="L1136" t="s">
        <v>3618</v>
      </c>
      <c r="M1136" t="s">
        <v>2798</v>
      </c>
      <c r="N1136" t="s">
        <v>2799</v>
      </c>
      <c r="Q1136" t="s">
        <v>3599</v>
      </c>
      <c r="R1136" t="s">
        <v>3599</v>
      </c>
      <c r="S1136" t="s">
        <v>3599</v>
      </c>
      <c r="T1136">
        <v>1</v>
      </c>
      <c r="U1136" t="s">
        <v>868</v>
      </c>
      <c r="V1136">
        <v>5</v>
      </c>
      <c r="W1136">
        <v>0</v>
      </c>
      <c r="X1136">
        <v>0</v>
      </c>
    </row>
    <row r="1137" spans="1:24" x14ac:dyDescent="0.3">
      <c r="A1137" t="s">
        <v>2800</v>
      </c>
      <c r="B1137" t="s">
        <v>2801</v>
      </c>
      <c r="C1137">
        <v>1</v>
      </c>
      <c r="D1137" t="s">
        <v>11</v>
      </c>
      <c r="E1137" t="s">
        <v>21</v>
      </c>
      <c r="F1137" t="s">
        <v>22</v>
      </c>
      <c r="H1137" t="s">
        <v>71</v>
      </c>
      <c r="I1137" t="s">
        <v>3617</v>
      </c>
      <c r="J1137" t="s">
        <v>2800</v>
      </c>
      <c r="K1137" t="s">
        <v>868</v>
      </c>
      <c r="L1137" t="s">
        <v>3618</v>
      </c>
      <c r="M1137" t="s">
        <v>2800</v>
      </c>
      <c r="N1137" t="s">
        <v>2801</v>
      </c>
      <c r="Q1137" t="s">
        <v>3599</v>
      </c>
      <c r="R1137" t="s">
        <v>3599</v>
      </c>
      <c r="S1137" t="s">
        <v>3599</v>
      </c>
      <c r="T1137">
        <v>1</v>
      </c>
      <c r="U1137" t="s">
        <v>868</v>
      </c>
      <c r="V1137">
        <v>5</v>
      </c>
      <c r="W1137">
        <v>0</v>
      </c>
      <c r="X1137">
        <v>0</v>
      </c>
    </row>
    <row r="1138" spans="1:24" x14ac:dyDescent="0.3">
      <c r="A1138" t="s">
        <v>2802</v>
      </c>
      <c r="B1138" t="s">
        <v>2803</v>
      </c>
      <c r="C1138">
        <v>1</v>
      </c>
      <c r="D1138" t="s">
        <v>11</v>
      </c>
      <c r="E1138" t="s">
        <v>21</v>
      </c>
      <c r="F1138" t="s">
        <v>22</v>
      </c>
      <c r="H1138" t="s">
        <v>71</v>
      </c>
      <c r="I1138" t="s">
        <v>3617</v>
      </c>
      <c r="J1138" t="s">
        <v>2802</v>
      </c>
      <c r="K1138" t="s">
        <v>868</v>
      </c>
      <c r="L1138" t="s">
        <v>3618</v>
      </c>
      <c r="M1138" t="s">
        <v>2802</v>
      </c>
      <c r="N1138" t="s">
        <v>2803</v>
      </c>
      <c r="Q1138" t="s">
        <v>3599</v>
      </c>
      <c r="R1138" t="s">
        <v>3599</v>
      </c>
      <c r="S1138" t="s">
        <v>3599</v>
      </c>
      <c r="T1138">
        <v>1</v>
      </c>
      <c r="U1138" t="s">
        <v>868</v>
      </c>
      <c r="V1138">
        <v>5</v>
      </c>
      <c r="W1138">
        <v>0</v>
      </c>
      <c r="X1138">
        <v>0</v>
      </c>
    </row>
    <row r="1139" spans="1:24" x14ac:dyDescent="0.3">
      <c r="A1139" t="s">
        <v>2804</v>
      </c>
      <c r="B1139" t="s">
        <v>2805</v>
      </c>
      <c r="C1139">
        <v>1</v>
      </c>
      <c r="D1139" t="s">
        <v>11</v>
      </c>
      <c r="E1139" t="s">
        <v>21</v>
      </c>
      <c r="F1139" t="s">
        <v>22</v>
      </c>
      <c r="H1139" t="s">
        <v>71</v>
      </c>
      <c r="I1139" t="s">
        <v>3617</v>
      </c>
      <c r="J1139" t="s">
        <v>2804</v>
      </c>
      <c r="K1139" t="s">
        <v>868</v>
      </c>
      <c r="L1139" t="s">
        <v>3618</v>
      </c>
      <c r="M1139" t="s">
        <v>2804</v>
      </c>
      <c r="N1139" t="s">
        <v>2805</v>
      </c>
      <c r="Q1139" t="s">
        <v>3599</v>
      </c>
      <c r="R1139" t="s">
        <v>3599</v>
      </c>
      <c r="S1139" t="s">
        <v>3599</v>
      </c>
      <c r="T1139">
        <v>1</v>
      </c>
      <c r="U1139" t="s">
        <v>868</v>
      </c>
      <c r="V1139">
        <v>5</v>
      </c>
      <c r="W1139">
        <v>0</v>
      </c>
      <c r="X1139">
        <v>0</v>
      </c>
    </row>
    <row r="1140" spans="1:24" x14ac:dyDescent="0.3">
      <c r="A1140" t="s">
        <v>2806</v>
      </c>
      <c r="B1140" t="s">
        <v>2807</v>
      </c>
      <c r="C1140">
        <v>1</v>
      </c>
      <c r="D1140" t="s">
        <v>11</v>
      </c>
      <c r="E1140" t="s">
        <v>21</v>
      </c>
      <c r="F1140" t="s">
        <v>22</v>
      </c>
      <c r="H1140" t="s">
        <v>71</v>
      </c>
      <c r="I1140" t="s">
        <v>3617</v>
      </c>
      <c r="J1140" t="s">
        <v>2806</v>
      </c>
      <c r="K1140" t="s">
        <v>868</v>
      </c>
      <c r="L1140" t="s">
        <v>3618</v>
      </c>
      <c r="M1140" t="s">
        <v>2806</v>
      </c>
      <c r="N1140" t="s">
        <v>2807</v>
      </c>
      <c r="Q1140" t="s">
        <v>3599</v>
      </c>
      <c r="R1140" t="s">
        <v>3599</v>
      </c>
      <c r="S1140" t="s">
        <v>3599</v>
      </c>
      <c r="T1140">
        <v>1</v>
      </c>
      <c r="U1140" t="s">
        <v>868</v>
      </c>
      <c r="V1140">
        <v>5</v>
      </c>
      <c r="W1140">
        <v>0</v>
      </c>
      <c r="X1140">
        <v>0</v>
      </c>
    </row>
    <row r="1141" spans="1:24" x14ac:dyDescent="0.3">
      <c r="A1141" t="s">
        <v>2808</v>
      </c>
      <c r="B1141" t="s">
        <v>2809</v>
      </c>
      <c r="C1141">
        <v>1</v>
      </c>
      <c r="D1141" t="s">
        <v>11</v>
      </c>
      <c r="E1141" t="s">
        <v>21</v>
      </c>
      <c r="F1141" t="s">
        <v>22</v>
      </c>
      <c r="H1141" t="s">
        <v>71</v>
      </c>
      <c r="I1141" t="s">
        <v>3617</v>
      </c>
      <c r="J1141" t="s">
        <v>2808</v>
      </c>
      <c r="K1141" t="s">
        <v>868</v>
      </c>
      <c r="L1141" t="s">
        <v>3618</v>
      </c>
      <c r="M1141" t="s">
        <v>2808</v>
      </c>
      <c r="N1141" t="s">
        <v>2809</v>
      </c>
      <c r="Q1141" t="s">
        <v>3599</v>
      </c>
      <c r="R1141" t="s">
        <v>3599</v>
      </c>
      <c r="S1141" t="s">
        <v>3599</v>
      </c>
      <c r="T1141">
        <v>1</v>
      </c>
      <c r="U1141" t="s">
        <v>868</v>
      </c>
      <c r="V1141">
        <v>5</v>
      </c>
      <c r="W1141">
        <v>0</v>
      </c>
      <c r="X1141">
        <v>0</v>
      </c>
    </row>
    <row r="1142" spans="1:24" x14ac:dyDescent="0.3">
      <c r="A1142" t="s">
        <v>2810</v>
      </c>
      <c r="B1142" t="s">
        <v>2811</v>
      </c>
      <c r="C1142">
        <v>1</v>
      </c>
      <c r="D1142" t="s">
        <v>11</v>
      </c>
      <c r="E1142" t="s">
        <v>21</v>
      </c>
      <c r="F1142" t="s">
        <v>22</v>
      </c>
      <c r="H1142" t="s">
        <v>71</v>
      </c>
      <c r="I1142" t="s">
        <v>3617</v>
      </c>
      <c r="K1142" t="s">
        <v>868</v>
      </c>
      <c r="L1142" t="s">
        <v>3618</v>
      </c>
      <c r="N1142" t="s">
        <v>2811</v>
      </c>
      <c r="Q1142" t="s">
        <v>3599</v>
      </c>
      <c r="R1142" t="s">
        <v>3599</v>
      </c>
      <c r="S1142" t="s">
        <v>3599</v>
      </c>
      <c r="T1142">
        <v>1</v>
      </c>
      <c r="U1142" t="s">
        <v>868</v>
      </c>
      <c r="V1142">
        <v>5</v>
      </c>
      <c r="W1142">
        <v>0</v>
      </c>
      <c r="X1142">
        <v>0</v>
      </c>
    </row>
    <row r="1143" spans="1:24" x14ac:dyDescent="0.3">
      <c r="A1143" t="s">
        <v>2812</v>
      </c>
      <c r="B1143" t="s">
        <v>2813</v>
      </c>
      <c r="C1143">
        <v>1</v>
      </c>
      <c r="D1143" t="s">
        <v>11</v>
      </c>
      <c r="E1143" t="s">
        <v>21</v>
      </c>
      <c r="F1143" t="s">
        <v>22</v>
      </c>
      <c r="H1143" t="s">
        <v>71</v>
      </c>
      <c r="I1143" t="s">
        <v>3617</v>
      </c>
      <c r="J1143" t="s">
        <v>2812</v>
      </c>
      <c r="K1143" t="s">
        <v>868</v>
      </c>
      <c r="L1143" t="s">
        <v>3618</v>
      </c>
      <c r="M1143" t="s">
        <v>2812</v>
      </c>
      <c r="N1143" t="s">
        <v>2813</v>
      </c>
      <c r="Q1143" t="s">
        <v>3599</v>
      </c>
      <c r="R1143" t="s">
        <v>3599</v>
      </c>
      <c r="S1143" t="s">
        <v>3599</v>
      </c>
      <c r="T1143">
        <v>1</v>
      </c>
      <c r="U1143" t="s">
        <v>868</v>
      </c>
      <c r="V1143">
        <v>5</v>
      </c>
      <c r="W1143">
        <v>0</v>
      </c>
      <c r="X1143">
        <v>0</v>
      </c>
    </row>
    <row r="1144" spans="1:24" x14ac:dyDescent="0.3">
      <c r="A1144" t="s">
        <v>2814</v>
      </c>
      <c r="B1144" t="s">
        <v>2815</v>
      </c>
      <c r="C1144">
        <v>1</v>
      </c>
      <c r="D1144" t="s">
        <v>11</v>
      </c>
      <c r="E1144" t="s">
        <v>21</v>
      </c>
      <c r="F1144" t="s">
        <v>22</v>
      </c>
      <c r="H1144" t="s">
        <v>71</v>
      </c>
      <c r="I1144" t="s">
        <v>3617</v>
      </c>
      <c r="J1144" t="s">
        <v>2814</v>
      </c>
      <c r="K1144" t="s">
        <v>868</v>
      </c>
      <c r="L1144" t="s">
        <v>3618</v>
      </c>
      <c r="M1144" t="s">
        <v>2814</v>
      </c>
      <c r="N1144" t="s">
        <v>2815</v>
      </c>
      <c r="Q1144" t="s">
        <v>3599</v>
      </c>
      <c r="R1144" t="s">
        <v>3599</v>
      </c>
      <c r="S1144" t="s">
        <v>3599</v>
      </c>
      <c r="T1144">
        <v>1</v>
      </c>
      <c r="U1144" t="s">
        <v>868</v>
      </c>
      <c r="V1144">
        <v>5</v>
      </c>
      <c r="W1144">
        <v>0</v>
      </c>
      <c r="X1144">
        <v>0</v>
      </c>
    </row>
    <row r="1145" spans="1:24" x14ac:dyDescent="0.3">
      <c r="A1145" t="s">
        <v>2816</v>
      </c>
      <c r="B1145" t="s">
        <v>2817</v>
      </c>
      <c r="C1145">
        <v>1</v>
      </c>
      <c r="D1145" t="s">
        <v>11</v>
      </c>
      <c r="E1145" t="s">
        <v>21</v>
      </c>
      <c r="F1145" t="s">
        <v>22</v>
      </c>
      <c r="H1145" t="s">
        <v>71</v>
      </c>
      <c r="I1145" t="s">
        <v>3617</v>
      </c>
      <c r="J1145" t="s">
        <v>2816</v>
      </c>
      <c r="K1145" t="s">
        <v>868</v>
      </c>
      <c r="L1145" t="s">
        <v>3618</v>
      </c>
      <c r="M1145" t="s">
        <v>2816</v>
      </c>
      <c r="N1145" t="s">
        <v>2817</v>
      </c>
      <c r="Q1145" t="s">
        <v>3599</v>
      </c>
      <c r="R1145" t="s">
        <v>3599</v>
      </c>
      <c r="S1145" t="s">
        <v>3599</v>
      </c>
      <c r="T1145">
        <v>1</v>
      </c>
      <c r="U1145" t="s">
        <v>868</v>
      </c>
      <c r="V1145">
        <v>5</v>
      </c>
      <c r="W1145">
        <v>0</v>
      </c>
      <c r="X1145">
        <v>0</v>
      </c>
    </row>
    <row r="1146" spans="1:24" x14ac:dyDescent="0.3">
      <c r="A1146" t="s">
        <v>2818</v>
      </c>
      <c r="B1146" t="s">
        <v>2819</v>
      </c>
      <c r="C1146">
        <v>1</v>
      </c>
      <c r="D1146" t="s">
        <v>11</v>
      </c>
      <c r="E1146" t="s">
        <v>21</v>
      </c>
      <c r="F1146" t="s">
        <v>22</v>
      </c>
      <c r="H1146" t="s">
        <v>71</v>
      </c>
      <c r="I1146" t="s">
        <v>3617</v>
      </c>
      <c r="J1146" t="s">
        <v>2818</v>
      </c>
      <c r="K1146" t="s">
        <v>868</v>
      </c>
      <c r="L1146" t="s">
        <v>3618</v>
      </c>
      <c r="M1146" t="s">
        <v>2818</v>
      </c>
      <c r="N1146" t="s">
        <v>2819</v>
      </c>
      <c r="Q1146" t="s">
        <v>3599</v>
      </c>
      <c r="R1146" t="s">
        <v>3599</v>
      </c>
      <c r="S1146" t="s">
        <v>3599</v>
      </c>
      <c r="T1146">
        <v>1</v>
      </c>
      <c r="U1146" t="s">
        <v>868</v>
      </c>
      <c r="V1146">
        <v>5</v>
      </c>
      <c r="W1146">
        <v>0</v>
      </c>
      <c r="X1146">
        <v>0</v>
      </c>
    </row>
    <row r="1147" spans="1:24" x14ac:dyDescent="0.3">
      <c r="A1147" t="s">
        <v>2820</v>
      </c>
      <c r="B1147" t="s">
        <v>2821</v>
      </c>
      <c r="C1147">
        <v>1</v>
      </c>
      <c r="D1147" t="s">
        <v>11</v>
      </c>
      <c r="E1147" t="s">
        <v>21</v>
      </c>
      <c r="F1147" t="s">
        <v>22</v>
      </c>
      <c r="H1147" t="s">
        <v>71</v>
      </c>
      <c r="I1147" t="s">
        <v>3617</v>
      </c>
      <c r="K1147" t="s">
        <v>868</v>
      </c>
      <c r="L1147" t="s">
        <v>3618</v>
      </c>
      <c r="N1147" t="s">
        <v>2821</v>
      </c>
      <c r="Q1147" t="s">
        <v>3599</v>
      </c>
      <c r="R1147" t="s">
        <v>3599</v>
      </c>
      <c r="S1147" t="s">
        <v>3599</v>
      </c>
      <c r="T1147">
        <v>1</v>
      </c>
      <c r="U1147" t="s">
        <v>868</v>
      </c>
      <c r="V1147">
        <v>5</v>
      </c>
      <c r="W1147">
        <v>0</v>
      </c>
      <c r="X1147">
        <v>0</v>
      </c>
    </row>
    <row r="1148" spans="1:24" x14ac:dyDescent="0.3">
      <c r="A1148" t="s">
        <v>2822</v>
      </c>
      <c r="B1148" t="s">
        <v>2823</v>
      </c>
      <c r="C1148">
        <v>1</v>
      </c>
      <c r="D1148" t="s">
        <v>11</v>
      </c>
      <c r="E1148" t="s">
        <v>21</v>
      </c>
      <c r="F1148" t="s">
        <v>22</v>
      </c>
      <c r="H1148" t="s">
        <v>71</v>
      </c>
      <c r="I1148" t="s">
        <v>3617</v>
      </c>
      <c r="J1148" t="s">
        <v>2822</v>
      </c>
      <c r="K1148" t="s">
        <v>868</v>
      </c>
      <c r="L1148" t="s">
        <v>3618</v>
      </c>
      <c r="M1148" t="s">
        <v>2822</v>
      </c>
      <c r="N1148" t="s">
        <v>2823</v>
      </c>
      <c r="Q1148" t="s">
        <v>3599</v>
      </c>
      <c r="R1148" t="s">
        <v>3599</v>
      </c>
      <c r="S1148" t="s">
        <v>3599</v>
      </c>
      <c r="T1148">
        <v>1</v>
      </c>
      <c r="U1148" t="s">
        <v>868</v>
      </c>
      <c r="V1148">
        <v>5</v>
      </c>
      <c r="W1148">
        <v>0</v>
      </c>
      <c r="X1148">
        <v>0</v>
      </c>
    </row>
    <row r="1149" spans="1:24" x14ac:dyDescent="0.3">
      <c r="A1149" t="s">
        <v>2824</v>
      </c>
      <c r="B1149" t="s">
        <v>2825</v>
      </c>
      <c r="C1149">
        <v>1</v>
      </c>
      <c r="D1149" t="s">
        <v>11</v>
      </c>
      <c r="E1149" t="s">
        <v>21</v>
      </c>
      <c r="F1149" t="s">
        <v>22</v>
      </c>
      <c r="H1149" t="s">
        <v>71</v>
      </c>
      <c r="I1149" t="s">
        <v>3617</v>
      </c>
      <c r="J1149" t="s">
        <v>2824</v>
      </c>
      <c r="K1149" t="s">
        <v>868</v>
      </c>
      <c r="L1149" t="s">
        <v>3618</v>
      </c>
      <c r="M1149" t="s">
        <v>2824</v>
      </c>
      <c r="N1149" t="s">
        <v>2825</v>
      </c>
      <c r="Q1149" t="s">
        <v>3599</v>
      </c>
      <c r="R1149" t="s">
        <v>3599</v>
      </c>
      <c r="S1149" t="s">
        <v>3599</v>
      </c>
      <c r="T1149">
        <v>1</v>
      </c>
      <c r="U1149" t="s">
        <v>868</v>
      </c>
      <c r="V1149">
        <v>5</v>
      </c>
      <c r="W1149">
        <v>0</v>
      </c>
      <c r="X1149">
        <v>0</v>
      </c>
    </row>
    <row r="1150" spans="1:24" x14ac:dyDescent="0.3">
      <c r="A1150" t="s">
        <v>2826</v>
      </c>
      <c r="B1150" t="s">
        <v>2827</v>
      </c>
      <c r="C1150">
        <v>1</v>
      </c>
      <c r="D1150" t="s">
        <v>11</v>
      </c>
      <c r="E1150" t="s">
        <v>21</v>
      </c>
      <c r="F1150" t="s">
        <v>22</v>
      </c>
      <c r="H1150" t="s">
        <v>71</v>
      </c>
      <c r="I1150" t="s">
        <v>3617</v>
      </c>
      <c r="J1150" t="s">
        <v>2826</v>
      </c>
      <c r="K1150" t="s">
        <v>868</v>
      </c>
      <c r="L1150" t="s">
        <v>3618</v>
      </c>
      <c r="M1150" t="s">
        <v>2826</v>
      </c>
      <c r="N1150" t="s">
        <v>2827</v>
      </c>
      <c r="Q1150" t="s">
        <v>3599</v>
      </c>
      <c r="R1150" t="s">
        <v>3599</v>
      </c>
      <c r="S1150" t="s">
        <v>3599</v>
      </c>
      <c r="T1150">
        <v>1</v>
      </c>
      <c r="U1150" t="s">
        <v>868</v>
      </c>
      <c r="V1150">
        <v>5</v>
      </c>
      <c r="W1150">
        <v>0</v>
      </c>
      <c r="X1150">
        <v>0</v>
      </c>
    </row>
    <row r="1151" spans="1:24" x14ac:dyDescent="0.3">
      <c r="A1151" t="s">
        <v>2828</v>
      </c>
      <c r="B1151" t="s">
        <v>2829</v>
      </c>
      <c r="C1151">
        <v>1</v>
      </c>
      <c r="D1151" t="s">
        <v>11</v>
      </c>
      <c r="E1151" t="s">
        <v>21</v>
      </c>
      <c r="F1151" t="s">
        <v>22</v>
      </c>
      <c r="H1151" t="s">
        <v>71</v>
      </c>
      <c r="I1151" t="s">
        <v>3617</v>
      </c>
      <c r="J1151" t="s">
        <v>2828</v>
      </c>
      <c r="K1151" t="s">
        <v>868</v>
      </c>
      <c r="L1151" t="s">
        <v>3618</v>
      </c>
      <c r="M1151" t="s">
        <v>2828</v>
      </c>
      <c r="N1151" t="s">
        <v>2829</v>
      </c>
      <c r="Q1151" t="s">
        <v>3599</v>
      </c>
      <c r="R1151" t="s">
        <v>3599</v>
      </c>
      <c r="S1151" t="s">
        <v>3599</v>
      </c>
      <c r="T1151">
        <v>1</v>
      </c>
      <c r="U1151" t="s">
        <v>868</v>
      </c>
      <c r="V1151">
        <v>5</v>
      </c>
      <c r="W1151">
        <v>0</v>
      </c>
      <c r="X1151">
        <v>0</v>
      </c>
    </row>
    <row r="1152" spans="1:24" x14ac:dyDescent="0.3">
      <c r="A1152" t="s">
        <v>2830</v>
      </c>
      <c r="B1152" t="s">
        <v>2831</v>
      </c>
      <c r="C1152">
        <v>1</v>
      </c>
      <c r="D1152" t="s">
        <v>11</v>
      </c>
      <c r="E1152" t="s">
        <v>21</v>
      </c>
      <c r="F1152" t="s">
        <v>22</v>
      </c>
      <c r="H1152" t="s">
        <v>71</v>
      </c>
      <c r="I1152" t="s">
        <v>3617</v>
      </c>
      <c r="J1152" t="s">
        <v>2830</v>
      </c>
      <c r="K1152" t="s">
        <v>868</v>
      </c>
      <c r="L1152" t="s">
        <v>3618</v>
      </c>
      <c r="M1152" t="s">
        <v>2830</v>
      </c>
      <c r="N1152" t="s">
        <v>2831</v>
      </c>
      <c r="Q1152" t="s">
        <v>3599</v>
      </c>
      <c r="R1152" t="s">
        <v>3599</v>
      </c>
      <c r="S1152" t="s">
        <v>3599</v>
      </c>
      <c r="T1152">
        <v>1</v>
      </c>
      <c r="U1152" t="s">
        <v>868</v>
      </c>
      <c r="V1152">
        <v>5</v>
      </c>
      <c r="W1152">
        <v>0</v>
      </c>
      <c r="X1152">
        <v>0</v>
      </c>
    </row>
    <row r="1153" spans="1:24" x14ac:dyDescent="0.3">
      <c r="A1153" t="s">
        <v>2832</v>
      </c>
      <c r="B1153" t="s">
        <v>2833</v>
      </c>
      <c r="C1153">
        <v>1</v>
      </c>
      <c r="D1153" t="s">
        <v>11</v>
      </c>
      <c r="E1153" t="s">
        <v>21</v>
      </c>
      <c r="F1153" t="s">
        <v>22</v>
      </c>
      <c r="H1153" t="s">
        <v>71</v>
      </c>
      <c r="I1153" t="s">
        <v>3617</v>
      </c>
      <c r="J1153" t="s">
        <v>2832</v>
      </c>
      <c r="K1153" t="s">
        <v>868</v>
      </c>
      <c r="L1153" t="s">
        <v>3618</v>
      </c>
      <c r="M1153" t="s">
        <v>2832</v>
      </c>
      <c r="N1153" t="s">
        <v>2833</v>
      </c>
      <c r="Q1153" t="s">
        <v>3599</v>
      </c>
      <c r="R1153" t="s">
        <v>3599</v>
      </c>
      <c r="S1153" t="s">
        <v>3599</v>
      </c>
      <c r="T1153">
        <v>1</v>
      </c>
      <c r="U1153" t="s">
        <v>868</v>
      </c>
      <c r="V1153">
        <v>5</v>
      </c>
      <c r="W1153">
        <v>0</v>
      </c>
      <c r="X1153">
        <v>0</v>
      </c>
    </row>
    <row r="1154" spans="1:24" x14ac:dyDescent="0.3">
      <c r="A1154" t="s">
        <v>2834</v>
      </c>
      <c r="B1154" t="s">
        <v>2835</v>
      </c>
      <c r="C1154">
        <v>1</v>
      </c>
      <c r="D1154" t="s">
        <v>11</v>
      </c>
      <c r="E1154" t="s">
        <v>21</v>
      </c>
      <c r="F1154" t="s">
        <v>22</v>
      </c>
      <c r="H1154" t="s">
        <v>71</v>
      </c>
      <c r="I1154" t="s">
        <v>3617</v>
      </c>
      <c r="J1154" t="s">
        <v>2834</v>
      </c>
      <c r="K1154" t="s">
        <v>868</v>
      </c>
      <c r="L1154" t="s">
        <v>3618</v>
      </c>
      <c r="M1154" t="s">
        <v>2834</v>
      </c>
      <c r="N1154" t="s">
        <v>2835</v>
      </c>
      <c r="Q1154" t="s">
        <v>3599</v>
      </c>
      <c r="R1154" t="s">
        <v>3599</v>
      </c>
      <c r="S1154" t="s">
        <v>3599</v>
      </c>
      <c r="T1154">
        <v>1</v>
      </c>
      <c r="U1154" t="s">
        <v>868</v>
      </c>
      <c r="V1154">
        <v>5</v>
      </c>
      <c r="W1154">
        <v>0</v>
      </c>
      <c r="X1154">
        <v>0</v>
      </c>
    </row>
    <row r="1155" spans="1:24" x14ac:dyDescent="0.3">
      <c r="A1155" t="s">
        <v>2836</v>
      </c>
      <c r="B1155" t="s">
        <v>2837</v>
      </c>
      <c r="C1155">
        <v>1</v>
      </c>
      <c r="D1155" t="s">
        <v>11</v>
      </c>
      <c r="E1155" t="s">
        <v>21</v>
      </c>
      <c r="F1155" t="s">
        <v>22</v>
      </c>
      <c r="H1155" t="s">
        <v>71</v>
      </c>
      <c r="I1155" t="s">
        <v>3617</v>
      </c>
      <c r="J1155" t="s">
        <v>2836</v>
      </c>
      <c r="K1155" t="s">
        <v>868</v>
      </c>
      <c r="L1155" t="s">
        <v>3618</v>
      </c>
      <c r="M1155" t="s">
        <v>2836</v>
      </c>
      <c r="N1155" t="s">
        <v>2837</v>
      </c>
      <c r="Q1155" t="s">
        <v>3599</v>
      </c>
      <c r="R1155" t="s">
        <v>3599</v>
      </c>
      <c r="S1155" t="s">
        <v>3599</v>
      </c>
      <c r="T1155">
        <v>1</v>
      </c>
      <c r="U1155" t="s">
        <v>868</v>
      </c>
      <c r="V1155">
        <v>5</v>
      </c>
      <c r="W1155">
        <v>0</v>
      </c>
      <c r="X1155">
        <v>0</v>
      </c>
    </row>
    <row r="1156" spans="1:24" x14ac:dyDescent="0.3">
      <c r="A1156" t="s">
        <v>2838</v>
      </c>
      <c r="B1156" t="s">
        <v>2839</v>
      </c>
      <c r="C1156">
        <v>1</v>
      </c>
      <c r="D1156" t="s">
        <v>11</v>
      </c>
      <c r="E1156" t="s">
        <v>21</v>
      </c>
      <c r="F1156" t="s">
        <v>22</v>
      </c>
      <c r="H1156" t="s">
        <v>71</v>
      </c>
      <c r="I1156" t="s">
        <v>3617</v>
      </c>
      <c r="J1156" t="s">
        <v>2838</v>
      </c>
      <c r="K1156" t="s">
        <v>868</v>
      </c>
      <c r="L1156" t="s">
        <v>3618</v>
      </c>
      <c r="M1156" t="s">
        <v>2838</v>
      </c>
      <c r="N1156" t="s">
        <v>2839</v>
      </c>
      <c r="Q1156" t="s">
        <v>3599</v>
      </c>
      <c r="R1156" t="s">
        <v>3599</v>
      </c>
      <c r="S1156" t="s">
        <v>3599</v>
      </c>
      <c r="T1156">
        <v>1</v>
      </c>
      <c r="U1156" t="s">
        <v>868</v>
      </c>
      <c r="V1156">
        <v>5</v>
      </c>
      <c r="W1156">
        <v>0</v>
      </c>
      <c r="X1156">
        <v>0</v>
      </c>
    </row>
    <row r="1157" spans="1:24" x14ac:dyDescent="0.3">
      <c r="A1157" t="s">
        <v>2840</v>
      </c>
      <c r="B1157" t="s">
        <v>2841</v>
      </c>
      <c r="C1157">
        <v>1</v>
      </c>
      <c r="D1157" t="s">
        <v>11</v>
      </c>
      <c r="E1157" t="s">
        <v>21</v>
      </c>
      <c r="F1157" t="s">
        <v>22</v>
      </c>
      <c r="H1157" t="s">
        <v>71</v>
      </c>
      <c r="I1157" t="s">
        <v>3617</v>
      </c>
      <c r="J1157" t="s">
        <v>2840</v>
      </c>
      <c r="K1157" t="s">
        <v>868</v>
      </c>
      <c r="L1157" t="s">
        <v>3618</v>
      </c>
      <c r="M1157" t="s">
        <v>2840</v>
      </c>
      <c r="N1157" t="s">
        <v>2841</v>
      </c>
      <c r="Q1157" t="s">
        <v>3599</v>
      </c>
      <c r="R1157" t="s">
        <v>3599</v>
      </c>
      <c r="S1157" t="s">
        <v>3599</v>
      </c>
      <c r="T1157">
        <v>1</v>
      </c>
      <c r="U1157" t="s">
        <v>868</v>
      </c>
      <c r="V1157">
        <v>5</v>
      </c>
      <c r="W1157">
        <v>0</v>
      </c>
      <c r="X1157">
        <v>0</v>
      </c>
    </row>
    <row r="1158" spans="1:24" x14ac:dyDescent="0.3">
      <c r="A1158" t="s">
        <v>2842</v>
      </c>
      <c r="B1158" t="s">
        <v>2843</v>
      </c>
      <c r="C1158">
        <v>1</v>
      </c>
      <c r="D1158" t="s">
        <v>11</v>
      </c>
      <c r="E1158" t="s">
        <v>21</v>
      </c>
      <c r="F1158" t="s">
        <v>22</v>
      </c>
      <c r="H1158" t="s">
        <v>71</v>
      </c>
      <c r="I1158" t="s">
        <v>3617</v>
      </c>
      <c r="J1158" t="s">
        <v>2842</v>
      </c>
      <c r="K1158" t="s">
        <v>868</v>
      </c>
      <c r="L1158" t="s">
        <v>3618</v>
      </c>
      <c r="M1158" t="s">
        <v>2842</v>
      </c>
      <c r="N1158" t="s">
        <v>2843</v>
      </c>
      <c r="Q1158" t="s">
        <v>3599</v>
      </c>
      <c r="R1158" t="s">
        <v>3599</v>
      </c>
      <c r="S1158" t="s">
        <v>3599</v>
      </c>
      <c r="T1158">
        <v>1</v>
      </c>
      <c r="U1158" t="s">
        <v>868</v>
      </c>
      <c r="V1158">
        <v>5</v>
      </c>
      <c r="W1158">
        <v>0</v>
      </c>
      <c r="X1158">
        <v>0</v>
      </c>
    </row>
    <row r="1159" spans="1:24" x14ac:dyDescent="0.3">
      <c r="A1159" t="s">
        <v>2844</v>
      </c>
      <c r="B1159" t="s">
        <v>2845</v>
      </c>
      <c r="C1159">
        <v>1</v>
      </c>
      <c r="D1159" t="s">
        <v>11</v>
      </c>
      <c r="E1159" t="s">
        <v>21</v>
      </c>
      <c r="F1159" t="s">
        <v>22</v>
      </c>
      <c r="H1159" t="s">
        <v>71</v>
      </c>
      <c r="I1159" t="s">
        <v>3617</v>
      </c>
      <c r="J1159" t="s">
        <v>2844</v>
      </c>
      <c r="K1159" t="s">
        <v>868</v>
      </c>
      <c r="L1159" t="s">
        <v>3618</v>
      </c>
      <c r="M1159" t="s">
        <v>2844</v>
      </c>
      <c r="N1159" t="s">
        <v>2845</v>
      </c>
      <c r="Q1159" t="s">
        <v>3599</v>
      </c>
      <c r="R1159" t="s">
        <v>3599</v>
      </c>
      <c r="S1159" t="s">
        <v>3599</v>
      </c>
      <c r="T1159">
        <v>1</v>
      </c>
      <c r="U1159" t="s">
        <v>868</v>
      </c>
      <c r="V1159">
        <v>5</v>
      </c>
      <c r="W1159">
        <v>0</v>
      </c>
      <c r="X1159">
        <v>0</v>
      </c>
    </row>
    <row r="1160" spans="1:24" x14ac:dyDescent="0.3">
      <c r="A1160" t="s">
        <v>2846</v>
      </c>
      <c r="B1160" t="s">
        <v>2847</v>
      </c>
      <c r="C1160">
        <v>1</v>
      </c>
      <c r="D1160" t="s">
        <v>11</v>
      </c>
      <c r="E1160" t="s">
        <v>21</v>
      </c>
      <c r="F1160" t="s">
        <v>22</v>
      </c>
      <c r="H1160" t="s">
        <v>71</v>
      </c>
      <c r="I1160" t="s">
        <v>3617</v>
      </c>
      <c r="J1160" t="s">
        <v>2846</v>
      </c>
      <c r="K1160" t="s">
        <v>868</v>
      </c>
      <c r="L1160" t="s">
        <v>3618</v>
      </c>
      <c r="M1160" t="s">
        <v>2846</v>
      </c>
      <c r="N1160" t="s">
        <v>2847</v>
      </c>
      <c r="Q1160" t="s">
        <v>3599</v>
      </c>
      <c r="R1160" t="s">
        <v>3599</v>
      </c>
      <c r="S1160" t="s">
        <v>3599</v>
      </c>
      <c r="T1160">
        <v>1</v>
      </c>
      <c r="U1160" t="s">
        <v>868</v>
      </c>
      <c r="V1160">
        <v>5</v>
      </c>
      <c r="W1160">
        <v>0</v>
      </c>
      <c r="X1160">
        <v>0</v>
      </c>
    </row>
    <row r="1161" spans="1:24" x14ac:dyDescent="0.3">
      <c r="A1161" t="s">
        <v>2848</v>
      </c>
      <c r="B1161" t="s">
        <v>2849</v>
      </c>
      <c r="C1161">
        <v>1</v>
      </c>
      <c r="D1161" t="s">
        <v>11</v>
      </c>
      <c r="E1161" t="s">
        <v>21</v>
      </c>
      <c r="F1161" t="s">
        <v>22</v>
      </c>
      <c r="H1161" t="s">
        <v>71</v>
      </c>
      <c r="I1161" t="s">
        <v>3617</v>
      </c>
      <c r="J1161" t="s">
        <v>2848</v>
      </c>
      <c r="K1161" t="s">
        <v>868</v>
      </c>
      <c r="L1161" t="s">
        <v>3618</v>
      </c>
      <c r="M1161" t="s">
        <v>2848</v>
      </c>
      <c r="N1161" t="s">
        <v>2849</v>
      </c>
      <c r="Q1161" t="s">
        <v>3599</v>
      </c>
      <c r="R1161" t="s">
        <v>3599</v>
      </c>
      <c r="S1161" t="s">
        <v>3599</v>
      </c>
      <c r="T1161">
        <v>1</v>
      </c>
      <c r="U1161" t="s">
        <v>868</v>
      </c>
      <c r="V1161">
        <v>5</v>
      </c>
      <c r="W1161">
        <v>0</v>
      </c>
      <c r="X1161">
        <v>0</v>
      </c>
    </row>
    <row r="1162" spans="1:24" x14ac:dyDescent="0.3">
      <c r="A1162" t="s">
        <v>2850</v>
      </c>
      <c r="B1162" t="s">
        <v>2851</v>
      </c>
      <c r="C1162">
        <v>1</v>
      </c>
      <c r="D1162" t="s">
        <v>11</v>
      </c>
      <c r="E1162" t="s">
        <v>21</v>
      </c>
      <c r="F1162" t="s">
        <v>22</v>
      </c>
      <c r="H1162" t="s">
        <v>71</v>
      </c>
      <c r="I1162" t="s">
        <v>3617</v>
      </c>
      <c r="J1162" t="s">
        <v>2850</v>
      </c>
      <c r="K1162" t="s">
        <v>868</v>
      </c>
      <c r="L1162" t="s">
        <v>3618</v>
      </c>
      <c r="M1162" t="s">
        <v>2850</v>
      </c>
      <c r="N1162" t="s">
        <v>2851</v>
      </c>
      <c r="Q1162" t="s">
        <v>3599</v>
      </c>
      <c r="R1162" t="s">
        <v>3599</v>
      </c>
      <c r="S1162" t="s">
        <v>3599</v>
      </c>
      <c r="T1162">
        <v>1</v>
      </c>
      <c r="U1162" t="s">
        <v>868</v>
      </c>
      <c r="V1162">
        <v>5</v>
      </c>
      <c r="W1162">
        <v>0</v>
      </c>
      <c r="X1162">
        <v>0</v>
      </c>
    </row>
    <row r="1163" spans="1:24" x14ac:dyDescent="0.3">
      <c r="A1163" t="s">
        <v>2852</v>
      </c>
      <c r="B1163" t="s">
        <v>2853</v>
      </c>
      <c r="C1163">
        <v>1</v>
      </c>
      <c r="D1163" t="s">
        <v>11</v>
      </c>
      <c r="E1163" t="s">
        <v>21</v>
      </c>
      <c r="F1163" t="s">
        <v>22</v>
      </c>
      <c r="H1163" t="s">
        <v>71</v>
      </c>
      <c r="I1163" t="s">
        <v>3617</v>
      </c>
      <c r="J1163" t="s">
        <v>2852</v>
      </c>
      <c r="K1163" t="s">
        <v>868</v>
      </c>
      <c r="L1163" t="s">
        <v>3618</v>
      </c>
      <c r="M1163" t="s">
        <v>2852</v>
      </c>
      <c r="N1163" t="s">
        <v>2853</v>
      </c>
      <c r="Q1163" t="s">
        <v>3599</v>
      </c>
      <c r="R1163" t="s">
        <v>3599</v>
      </c>
      <c r="S1163" t="s">
        <v>3599</v>
      </c>
      <c r="T1163">
        <v>1</v>
      </c>
      <c r="U1163" t="s">
        <v>868</v>
      </c>
      <c r="V1163">
        <v>5</v>
      </c>
      <c r="W1163">
        <v>0</v>
      </c>
      <c r="X1163">
        <v>0</v>
      </c>
    </row>
    <row r="1164" spans="1:24" x14ac:dyDescent="0.3">
      <c r="A1164" t="s">
        <v>2854</v>
      </c>
      <c r="B1164" t="s">
        <v>2855</v>
      </c>
      <c r="C1164">
        <v>1</v>
      </c>
      <c r="D1164" t="s">
        <v>11</v>
      </c>
      <c r="E1164" t="s">
        <v>21</v>
      </c>
      <c r="F1164" t="s">
        <v>22</v>
      </c>
      <c r="H1164" t="s">
        <v>71</v>
      </c>
      <c r="I1164" t="s">
        <v>3617</v>
      </c>
      <c r="J1164" t="s">
        <v>2854</v>
      </c>
      <c r="K1164" t="s">
        <v>868</v>
      </c>
      <c r="L1164" t="s">
        <v>3618</v>
      </c>
      <c r="M1164" t="s">
        <v>2854</v>
      </c>
      <c r="N1164" t="s">
        <v>2855</v>
      </c>
      <c r="Q1164" t="s">
        <v>3599</v>
      </c>
      <c r="R1164" t="s">
        <v>3599</v>
      </c>
      <c r="S1164" t="s">
        <v>3599</v>
      </c>
      <c r="T1164">
        <v>1</v>
      </c>
      <c r="U1164" t="s">
        <v>868</v>
      </c>
      <c r="V1164">
        <v>5</v>
      </c>
      <c r="W1164">
        <v>0</v>
      </c>
      <c r="X1164">
        <v>0</v>
      </c>
    </row>
    <row r="1165" spans="1:24" x14ac:dyDescent="0.3">
      <c r="A1165" t="s">
        <v>2856</v>
      </c>
      <c r="B1165" t="s">
        <v>2857</v>
      </c>
      <c r="C1165">
        <v>1</v>
      </c>
      <c r="D1165" t="s">
        <v>11</v>
      </c>
      <c r="E1165" t="s">
        <v>21</v>
      </c>
      <c r="F1165" t="s">
        <v>22</v>
      </c>
      <c r="H1165" t="s">
        <v>71</v>
      </c>
      <c r="I1165" t="s">
        <v>3617</v>
      </c>
      <c r="J1165" t="s">
        <v>2856</v>
      </c>
      <c r="K1165" t="s">
        <v>868</v>
      </c>
      <c r="L1165" t="s">
        <v>3618</v>
      </c>
      <c r="M1165" t="s">
        <v>2856</v>
      </c>
      <c r="N1165" t="s">
        <v>2857</v>
      </c>
      <c r="Q1165" t="s">
        <v>3599</v>
      </c>
      <c r="R1165" t="s">
        <v>3599</v>
      </c>
      <c r="S1165" t="s">
        <v>3599</v>
      </c>
      <c r="T1165">
        <v>1</v>
      </c>
      <c r="U1165" t="s">
        <v>868</v>
      </c>
      <c r="V1165">
        <v>5</v>
      </c>
      <c r="W1165">
        <v>0</v>
      </c>
      <c r="X1165">
        <v>0</v>
      </c>
    </row>
    <row r="1166" spans="1:24" x14ac:dyDescent="0.3">
      <c r="A1166" t="s">
        <v>2858</v>
      </c>
      <c r="B1166" t="s">
        <v>2859</v>
      </c>
      <c r="C1166">
        <v>1</v>
      </c>
      <c r="D1166" t="s">
        <v>11</v>
      </c>
      <c r="E1166" t="s">
        <v>21</v>
      </c>
      <c r="F1166" t="s">
        <v>22</v>
      </c>
      <c r="H1166" t="s">
        <v>71</v>
      </c>
      <c r="I1166" t="s">
        <v>3617</v>
      </c>
      <c r="J1166" t="s">
        <v>2858</v>
      </c>
      <c r="K1166" t="s">
        <v>868</v>
      </c>
      <c r="L1166" t="s">
        <v>3618</v>
      </c>
      <c r="M1166" t="s">
        <v>2858</v>
      </c>
      <c r="N1166" t="s">
        <v>2859</v>
      </c>
      <c r="Q1166" t="s">
        <v>3599</v>
      </c>
      <c r="R1166" t="s">
        <v>3599</v>
      </c>
      <c r="S1166" t="s">
        <v>3599</v>
      </c>
      <c r="T1166">
        <v>1</v>
      </c>
      <c r="U1166" t="s">
        <v>868</v>
      </c>
      <c r="V1166">
        <v>5</v>
      </c>
      <c r="W1166">
        <v>0</v>
      </c>
      <c r="X1166">
        <v>0</v>
      </c>
    </row>
    <row r="1167" spans="1:24" x14ac:dyDescent="0.3">
      <c r="A1167" t="s">
        <v>2860</v>
      </c>
      <c r="B1167" t="s">
        <v>2861</v>
      </c>
      <c r="C1167">
        <v>1</v>
      </c>
      <c r="D1167" t="s">
        <v>11</v>
      </c>
      <c r="E1167" t="s">
        <v>21</v>
      </c>
      <c r="F1167" t="s">
        <v>22</v>
      </c>
      <c r="H1167" t="s">
        <v>71</v>
      </c>
      <c r="I1167" t="s">
        <v>3617</v>
      </c>
      <c r="J1167" t="s">
        <v>2860</v>
      </c>
      <c r="K1167" t="s">
        <v>868</v>
      </c>
      <c r="L1167" t="s">
        <v>3618</v>
      </c>
      <c r="M1167" t="s">
        <v>2860</v>
      </c>
      <c r="N1167" t="s">
        <v>2861</v>
      </c>
      <c r="Q1167" t="s">
        <v>3599</v>
      </c>
      <c r="R1167" t="s">
        <v>3599</v>
      </c>
      <c r="S1167" t="s">
        <v>3599</v>
      </c>
      <c r="T1167">
        <v>1</v>
      </c>
      <c r="U1167" t="s">
        <v>868</v>
      </c>
      <c r="V1167">
        <v>5</v>
      </c>
      <c r="W1167">
        <v>0</v>
      </c>
      <c r="X1167">
        <v>0</v>
      </c>
    </row>
    <row r="1168" spans="1:24" x14ac:dyDescent="0.3">
      <c r="A1168" t="s">
        <v>2862</v>
      </c>
      <c r="B1168" t="s">
        <v>2863</v>
      </c>
      <c r="C1168">
        <v>1</v>
      </c>
      <c r="D1168" t="s">
        <v>11</v>
      </c>
      <c r="E1168" t="s">
        <v>21</v>
      </c>
      <c r="F1168" t="s">
        <v>22</v>
      </c>
      <c r="H1168" t="s">
        <v>71</v>
      </c>
      <c r="I1168" t="s">
        <v>3617</v>
      </c>
      <c r="J1168" t="s">
        <v>2862</v>
      </c>
      <c r="K1168" t="s">
        <v>868</v>
      </c>
      <c r="L1168" t="s">
        <v>3618</v>
      </c>
      <c r="M1168" t="s">
        <v>2862</v>
      </c>
      <c r="N1168" t="s">
        <v>2863</v>
      </c>
      <c r="Q1168" t="s">
        <v>3599</v>
      </c>
      <c r="R1168" t="s">
        <v>3599</v>
      </c>
      <c r="S1168" t="s">
        <v>3599</v>
      </c>
      <c r="T1168">
        <v>1</v>
      </c>
      <c r="U1168" t="s">
        <v>868</v>
      </c>
      <c r="V1168">
        <v>5</v>
      </c>
      <c r="W1168">
        <v>0</v>
      </c>
      <c r="X1168">
        <v>0</v>
      </c>
    </row>
    <row r="1169" spans="1:24" x14ac:dyDescent="0.3">
      <c r="A1169" t="s">
        <v>2864</v>
      </c>
      <c r="B1169" t="s">
        <v>2865</v>
      </c>
      <c r="C1169">
        <v>1</v>
      </c>
      <c r="D1169" t="s">
        <v>11</v>
      </c>
      <c r="E1169" t="s">
        <v>21</v>
      </c>
      <c r="F1169" t="s">
        <v>22</v>
      </c>
      <c r="H1169" t="s">
        <v>71</v>
      </c>
      <c r="I1169" t="s">
        <v>3617</v>
      </c>
      <c r="K1169" t="s">
        <v>868</v>
      </c>
      <c r="L1169" t="s">
        <v>3618</v>
      </c>
      <c r="N1169" t="s">
        <v>2865</v>
      </c>
      <c r="Q1169" t="s">
        <v>3599</v>
      </c>
      <c r="R1169" t="s">
        <v>3599</v>
      </c>
      <c r="S1169" t="s">
        <v>3599</v>
      </c>
      <c r="T1169">
        <v>1</v>
      </c>
      <c r="U1169" t="s">
        <v>868</v>
      </c>
      <c r="V1169">
        <v>5</v>
      </c>
      <c r="W1169">
        <v>0</v>
      </c>
      <c r="X1169">
        <v>0</v>
      </c>
    </row>
    <row r="1170" spans="1:24" x14ac:dyDescent="0.3">
      <c r="A1170" t="s">
        <v>2866</v>
      </c>
      <c r="B1170" t="s">
        <v>2867</v>
      </c>
      <c r="C1170">
        <v>1</v>
      </c>
      <c r="D1170" t="s">
        <v>11</v>
      </c>
      <c r="E1170" t="s">
        <v>21</v>
      </c>
      <c r="F1170" t="s">
        <v>22</v>
      </c>
      <c r="H1170" t="s">
        <v>71</v>
      </c>
      <c r="I1170" t="s">
        <v>3617</v>
      </c>
      <c r="J1170" t="s">
        <v>2866</v>
      </c>
      <c r="K1170" t="s">
        <v>868</v>
      </c>
      <c r="L1170" t="s">
        <v>3618</v>
      </c>
      <c r="M1170" t="s">
        <v>2866</v>
      </c>
      <c r="N1170" t="s">
        <v>2867</v>
      </c>
      <c r="Q1170" t="s">
        <v>3599</v>
      </c>
      <c r="R1170" t="s">
        <v>3599</v>
      </c>
      <c r="S1170" t="s">
        <v>3599</v>
      </c>
      <c r="T1170">
        <v>1</v>
      </c>
      <c r="U1170" t="s">
        <v>868</v>
      </c>
      <c r="V1170">
        <v>5</v>
      </c>
      <c r="W1170">
        <v>0</v>
      </c>
      <c r="X1170">
        <v>0</v>
      </c>
    </row>
    <row r="1171" spans="1:24" x14ac:dyDescent="0.3">
      <c r="A1171" t="s">
        <v>2868</v>
      </c>
      <c r="B1171" t="s">
        <v>2869</v>
      </c>
      <c r="C1171">
        <v>1</v>
      </c>
      <c r="D1171" t="s">
        <v>11</v>
      </c>
      <c r="E1171" t="s">
        <v>21</v>
      </c>
      <c r="F1171" t="s">
        <v>22</v>
      </c>
      <c r="H1171" t="s">
        <v>71</v>
      </c>
      <c r="I1171" t="s">
        <v>3617</v>
      </c>
      <c r="J1171" t="s">
        <v>2868</v>
      </c>
      <c r="K1171" t="s">
        <v>868</v>
      </c>
      <c r="L1171" t="s">
        <v>3618</v>
      </c>
      <c r="M1171" t="s">
        <v>2868</v>
      </c>
      <c r="N1171" t="s">
        <v>2869</v>
      </c>
      <c r="Q1171" t="s">
        <v>3599</v>
      </c>
      <c r="R1171" t="s">
        <v>3599</v>
      </c>
      <c r="S1171" t="s">
        <v>3599</v>
      </c>
      <c r="T1171">
        <v>1</v>
      </c>
      <c r="U1171" t="s">
        <v>868</v>
      </c>
      <c r="V1171">
        <v>5</v>
      </c>
      <c r="W1171">
        <v>0</v>
      </c>
      <c r="X1171">
        <v>0</v>
      </c>
    </row>
    <row r="1172" spans="1:24" x14ac:dyDescent="0.3">
      <c r="A1172" t="s">
        <v>2870</v>
      </c>
      <c r="B1172" t="s">
        <v>2871</v>
      </c>
      <c r="C1172">
        <v>1</v>
      </c>
      <c r="D1172" t="s">
        <v>11</v>
      </c>
      <c r="E1172" t="s">
        <v>21</v>
      </c>
      <c r="F1172" t="s">
        <v>22</v>
      </c>
      <c r="H1172" t="s">
        <v>71</v>
      </c>
      <c r="I1172" t="s">
        <v>3617</v>
      </c>
      <c r="J1172" t="s">
        <v>2870</v>
      </c>
      <c r="K1172" t="s">
        <v>868</v>
      </c>
      <c r="L1172" t="s">
        <v>3618</v>
      </c>
      <c r="M1172" t="s">
        <v>2870</v>
      </c>
      <c r="N1172" t="s">
        <v>2871</v>
      </c>
      <c r="Q1172" t="s">
        <v>3599</v>
      </c>
      <c r="R1172" t="s">
        <v>3599</v>
      </c>
      <c r="S1172" t="s">
        <v>3599</v>
      </c>
      <c r="T1172">
        <v>1</v>
      </c>
      <c r="U1172" t="s">
        <v>868</v>
      </c>
      <c r="V1172">
        <v>5</v>
      </c>
      <c r="W1172">
        <v>0</v>
      </c>
      <c r="X1172">
        <v>0</v>
      </c>
    </row>
    <row r="1173" spans="1:24" x14ac:dyDescent="0.3">
      <c r="A1173" t="s">
        <v>2872</v>
      </c>
      <c r="B1173" t="s">
        <v>2873</v>
      </c>
      <c r="C1173">
        <v>1</v>
      </c>
      <c r="D1173" t="s">
        <v>11</v>
      </c>
      <c r="E1173" t="s">
        <v>21</v>
      </c>
      <c r="F1173" t="s">
        <v>22</v>
      </c>
      <c r="H1173" t="s">
        <v>71</v>
      </c>
      <c r="I1173" t="s">
        <v>3617</v>
      </c>
      <c r="J1173" t="s">
        <v>2872</v>
      </c>
      <c r="K1173" t="s">
        <v>868</v>
      </c>
      <c r="L1173" t="s">
        <v>3618</v>
      </c>
      <c r="M1173" t="s">
        <v>2872</v>
      </c>
      <c r="N1173" t="s">
        <v>2873</v>
      </c>
      <c r="Q1173" t="s">
        <v>3599</v>
      </c>
      <c r="R1173" t="s">
        <v>3599</v>
      </c>
      <c r="S1173" t="s">
        <v>3599</v>
      </c>
      <c r="T1173">
        <v>1</v>
      </c>
      <c r="U1173" t="s">
        <v>868</v>
      </c>
      <c r="V1173">
        <v>5</v>
      </c>
      <c r="W1173">
        <v>0</v>
      </c>
      <c r="X1173">
        <v>0</v>
      </c>
    </row>
    <row r="1174" spans="1:24" x14ac:dyDescent="0.3">
      <c r="A1174" t="s">
        <v>2874</v>
      </c>
      <c r="B1174" t="s">
        <v>2875</v>
      </c>
      <c r="C1174">
        <v>1</v>
      </c>
      <c r="D1174" t="s">
        <v>11</v>
      </c>
      <c r="E1174" t="s">
        <v>21</v>
      </c>
      <c r="F1174" t="s">
        <v>22</v>
      </c>
      <c r="H1174" t="s">
        <v>71</v>
      </c>
      <c r="I1174" t="s">
        <v>3617</v>
      </c>
      <c r="J1174" t="s">
        <v>2874</v>
      </c>
      <c r="K1174" t="s">
        <v>868</v>
      </c>
      <c r="L1174" t="s">
        <v>3618</v>
      </c>
      <c r="M1174" t="s">
        <v>2874</v>
      </c>
      <c r="N1174" t="s">
        <v>2875</v>
      </c>
      <c r="Q1174" t="s">
        <v>3599</v>
      </c>
      <c r="R1174" t="s">
        <v>3599</v>
      </c>
      <c r="S1174" t="s">
        <v>3599</v>
      </c>
      <c r="T1174">
        <v>1</v>
      </c>
      <c r="U1174" t="s">
        <v>868</v>
      </c>
      <c r="V1174">
        <v>5</v>
      </c>
      <c r="W1174">
        <v>0</v>
      </c>
      <c r="X1174">
        <v>0</v>
      </c>
    </row>
    <row r="1175" spans="1:24" x14ac:dyDescent="0.3">
      <c r="A1175" t="s">
        <v>2876</v>
      </c>
      <c r="B1175" t="s">
        <v>2877</v>
      </c>
      <c r="C1175">
        <v>1</v>
      </c>
      <c r="D1175" t="s">
        <v>11</v>
      </c>
      <c r="E1175" t="s">
        <v>21</v>
      </c>
      <c r="F1175" t="s">
        <v>22</v>
      </c>
      <c r="H1175" t="s">
        <v>71</v>
      </c>
      <c r="I1175" t="s">
        <v>3617</v>
      </c>
      <c r="J1175" t="s">
        <v>2876</v>
      </c>
      <c r="K1175" t="s">
        <v>868</v>
      </c>
      <c r="L1175" t="s">
        <v>3618</v>
      </c>
      <c r="M1175" t="s">
        <v>2876</v>
      </c>
      <c r="N1175" t="s">
        <v>2877</v>
      </c>
      <c r="Q1175" t="s">
        <v>3599</v>
      </c>
      <c r="R1175" t="s">
        <v>3599</v>
      </c>
      <c r="S1175" t="s">
        <v>3599</v>
      </c>
      <c r="T1175">
        <v>1</v>
      </c>
      <c r="U1175" t="s">
        <v>868</v>
      </c>
      <c r="V1175">
        <v>5</v>
      </c>
      <c r="W1175">
        <v>0</v>
      </c>
      <c r="X1175">
        <v>0</v>
      </c>
    </row>
    <row r="1176" spans="1:24" x14ac:dyDescent="0.3">
      <c r="A1176" t="s">
        <v>1105</v>
      </c>
      <c r="B1176" t="s">
        <v>1106</v>
      </c>
      <c r="C1176">
        <v>1</v>
      </c>
      <c r="D1176" t="s">
        <v>11</v>
      </c>
      <c r="E1176" t="s">
        <v>21</v>
      </c>
      <c r="F1176" t="s">
        <v>22</v>
      </c>
      <c r="H1176" t="s">
        <v>71</v>
      </c>
      <c r="I1176" t="s">
        <v>3617</v>
      </c>
      <c r="J1176" t="s">
        <v>1105</v>
      </c>
      <c r="K1176" t="s">
        <v>868</v>
      </c>
      <c r="L1176" t="s">
        <v>3618</v>
      </c>
      <c r="M1176" t="s">
        <v>1105</v>
      </c>
      <c r="N1176" t="s">
        <v>1106</v>
      </c>
      <c r="Q1176" t="s">
        <v>3599</v>
      </c>
      <c r="R1176" t="s">
        <v>3599</v>
      </c>
      <c r="S1176" t="s">
        <v>3599</v>
      </c>
      <c r="T1176">
        <v>1</v>
      </c>
      <c r="U1176" t="s">
        <v>868</v>
      </c>
      <c r="V1176">
        <v>5</v>
      </c>
      <c r="W1176">
        <v>0</v>
      </c>
      <c r="X1176">
        <v>0</v>
      </c>
    </row>
    <row r="1177" spans="1:24" x14ac:dyDescent="0.3">
      <c r="A1177" t="s">
        <v>2878</v>
      </c>
      <c r="B1177" t="s">
        <v>2879</v>
      </c>
      <c r="C1177">
        <v>1</v>
      </c>
      <c r="D1177" t="s">
        <v>11</v>
      </c>
      <c r="E1177" t="s">
        <v>21</v>
      </c>
      <c r="F1177" t="s">
        <v>22</v>
      </c>
      <c r="H1177" t="s">
        <v>71</v>
      </c>
      <c r="I1177" t="s">
        <v>3617</v>
      </c>
      <c r="J1177" t="s">
        <v>2878</v>
      </c>
      <c r="K1177" t="s">
        <v>868</v>
      </c>
      <c r="L1177" t="s">
        <v>3618</v>
      </c>
      <c r="M1177" t="s">
        <v>2878</v>
      </c>
      <c r="N1177" t="s">
        <v>2879</v>
      </c>
      <c r="Q1177" t="s">
        <v>3599</v>
      </c>
      <c r="R1177" t="s">
        <v>3599</v>
      </c>
      <c r="S1177" t="s">
        <v>3599</v>
      </c>
      <c r="T1177">
        <v>1</v>
      </c>
      <c r="U1177" t="s">
        <v>868</v>
      </c>
      <c r="V1177">
        <v>5</v>
      </c>
      <c r="W1177">
        <v>0</v>
      </c>
      <c r="X1177">
        <v>0</v>
      </c>
    </row>
    <row r="1178" spans="1:24" x14ac:dyDescent="0.3">
      <c r="A1178" t="s">
        <v>2880</v>
      </c>
      <c r="B1178" t="s">
        <v>2881</v>
      </c>
      <c r="C1178">
        <v>1</v>
      </c>
      <c r="D1178" t="s">
        <v>11</v>
      </c>
      <c r="E1178" t="s">
        <v>21</v>
      </c>
      <c r="F1178" t="s">
        <v>22</v>
      </c>
      <c r="H1178" t="s">
        <v>71</v>
      </c>
      <c r="I1178" t="s">
        <v>3617</v>
      </c>
      <c r="J1178" t="s">
        <v>2880</v>
      </c>
      <c r="K1178" t="s">
        <v>868</v>
      </c>
      <c r="L1178" t="s">
        <v>3618</v>
      </c>
      <c r="M1178" t="s">
        <v>2880</v>
      </c>
      <c r="N1178" t="s">
        <v>2881</v>
      </c>
      <c r="Q1178" t="s">
        <v>3599</v>
      </c>
      <c r="R1178" t="s">
        <v>3599</v>
      </c>
      <c r="S1178" t="s">
        <v>3599</v>
      </c>
      <c r="T1178">
        <v>1</v>
      </c>
      <c r="U1178" t="s">
        <v>868</v>
      </c>
      <c r="V1178">
        <v>5</v>
      </c>
      <c r="W1178">
        <v>0</v>
      </c>
      <c r="X1178">
        <v>0</v>
      </c>
    </row>
    <row r="1179" spans="1:24" x14ac:dyDescent="0.3">
      <c r="A1179" t="s">
        <v>2882</v>
      </c>
      <c r="B1179" t="s">
        <v>2883</v>
      </c>
      <c r="C1179">
        <v>1</v>
      </c>
      <c r="D1179" t="s">
        <v>11</v>
      </c>
      <c r="E1179" t="s">
        <v>21</v>
      </c>
      <c r="F1179" t="s">
        <v>22</v>
      </c>
      <c r="H1179" t="s">
        <v>71</v>
      </c>
      <c r="I1179" t="s">
        <v>3617</v>
      </c>
      <c r="J1179" t="s">
        <v>2882</v>
      </c>
      <c r="K1179" t="s">
        <v>868</v>
      </c>
      <c r="L1179" t="s">
        <v>3618</v>
      </c>
      <c r="M1179" t="s">
        <v>2882</v>
      </c>
      <c r="N1179" t="s">
        <v>2883</v>
      </c>
      <c r="Q1179" t="s">
        <v>3599</v>
      </c>
      <c r="R1179" t="s">
        <v>3599</v>
      </c>
      <c r="S1179" t="s">
        <v>3599</v>
      </c>
      <c r="T1179">
        <v>1</v>
      </c>
      <c r="U1179" t="s">
        <v>868</v>
      </c>
      <c r="V1179">
        <v>5</v>
      </c>
      <c r="W1179">
        <v>0</v>
      </c>
      <c r="X1179">
        <v>0</v>
      </c>
    </row>
    <row r="1180" spans="1:24" x14ac:dyDescent="0.3">
      <c r="A1180" t="s">
        <v>2884</v>
      </c>
      <c r="B1180" t="s">
        <v>2885</v>
      </c>
      <c r="C1180">
        <v>1</v>
      </c>
      <c r="D1180" t="s">
        <v>11</v>
      </c>
      <c r="E1180" t="s">
        <v>21</v>
      </c>
      <c r="F1180" t="s">
        <v>22</v>
      </c>
      <c r="H1180" t="s">
        <v>71</v>
      </c>
      <c r="I1180" t="s">
        <v>3617</v>
      </c>
      <c r="J1180" t="s">
        <v>2884</v>
      </c>
      <c r="K1180" t="s">
        <v>868</v>
      </c>
      <c r="L1180" t="s">
        <v>3618</v>
      </c>
      <c r="M1180" t="s">
        <v>2884</v>
      </c>
      <c r="N1180" t="s">
        <v>2885</v>
      </c>
      <c r="Q1180" t="s">
        <v>3599</v>
      </c>
      <c r="R1180" t="s">
        <v>3599</v>
      </c>
      <c r="S1180" t="s">
        <v>3599</v>
      </c>
      <c r="T1180">
        <v>1</v>
      </c>
      <c r="U1180" t="s">
        <v>868</v>
      </c>
      <c r="V1180">
        <v>5</v>
      </c>
      <c r="W1180">
        <v>0</v>
      </c>
      <c r="X1180">
        <v>0</v>
      </c>
    </row>
    <row r="1181" spans="1:24" x14ac:dyDescent="0.3">
      <c r="A1181" t="s">
        <v>2886</v>
      </c>
      <c r="B1181" t="s">
        <v>2887</v>
      </c>
      <c r="C1181">
        <v>1</v>
      </c>
      <c r="D1181" t="s">
        <v>11</v>
      </c>
      <c r="E1181" t="s">
        <v>21</v>
      </c>
      <c r="F1181" t="s">
        <v>22</v>
      </c>
      <c r="H1181" t="s">
        <v>71</v>
      </c>
      <c r="I1181" t="s">
        <v>3617</v>
      </c>
      <c r="J1181" t="s">
        <v>2886</v>
      </c>
      <c r="K1181" t="s">
        <v>868</v>
      </c>
      <c r="L1181" t="s">
        <v>3618</v>
      </c>
      <c r="M1181" t="s">
        <v>2886</v>
      </c>
      <c r="N1181" t="s">
        <v>2887</v>
      </c>
      <c r="Q1181" t="s">
        <v>3599</v>
      </c>
      <c r="R1181" t="s">
        <v>3599</v>
      </c>
      <c r="S1181" t="s">
        <v>3599</v>
      </c>
      <c r="T1181">
        <v>1</v>
      </c>
      <c r="U1181" t="s">
        <v>868</v>
      </c>
      <c r="V1181">
        <v>5</v>
      </c>
      <c r="W1181">
        <v>0</v>
      </c>
      <c r="X1181">
        <v>0</v>
      </c>
    </row>
    <row r="1182" spans="1:24" x14ac:dyDescent="0.3">
      <c r="A1182" t="s">
        <v>2888</v>
      </c>
      <c r="B1182" t="s">
        <v>2889</v>
      </c>
      <c r="C1182">
        <v>1</v>
      </c>
      <c r="D1182" t="s">
        <v>11</v>
      </c>
      <c r="E1182" t="s">
        <v>21</v>
      </c>
      <c r="F1182" t="s">
        <v>22</v>
      </c>
      <c r="H1182" t="s">
        <v>71</v>
      </c>
      <c r="I1182" t="s">
        <v>3617</v>
      </c>
      <c r="J1182" t="s">
        <v>2888</v>
      </c>
      <c r="K1182" t="s">
        <v>868</v>
      </c>
      <c r="L1182" t="s">
        <v>3618</v>
      </c>
      <c r="M1182" t="s">
        <v>2888</v>
      </c>
      <c r="N1182" t="s">
        <v>2889</v>
      </c>
      <c r="Q1182" t="s">
        <v>3599</v>
      </c>
      <c r="R1182" t="s">
        <v>3599</v>
      </c>
      <c r="S1182" t="s">
        <v>3599</v>
      </c>
      <c r="T1182">
        <v>1</v>
      </c>
      <c r="U1182" t="s">
        <v>868</v>
      </c>
      <c r="V1182">
        <v>5</v>
      </c>
      <c r="W1182">
        <v>0</v>
      </c>
      <c r="X1182">
        <v>0</v>
      </c>
    </row>
    <row r="1183" spans="1:24" x14ac:dyDescent="0.3">
      <c r="A1183" t="s">
        <v>2890</v>
      </c>
      <c r="B1183" t="s">
        <v>2891</v>
      </c>
      <c r="C1183">
        <v>1</v>
      </c>
      <c r="D1183" t="s">
        <v>11</v>
      </c>
      <c r="E1183" t="s">
        <v>21</v>
      </c>
      <c r="F1183" t="s">
        <v>22</v>
      </c>
      <c r="H1183" t="s">
        <v>71</v>
      </c>
      <c r="I1183" t="s">
        <v>3617</v>
      </c>
      <c r="J1183" t="s">
        <v>2890</v>
      </c>
      <c r="K1183" t="s">
        <v>868</v>
      </c>
      <c r="L1183" t="s">
        <v>3618</v>
      </c>
      <c r="M1183" t="s">
        <v>2890</v>
      </c>
      <c r="N1183" t="s">
        <v>2891</v>
      </c>
      <c r="Q1183" t="s">
        <v>3599</v>
      </c>
      <c r="R1183" t="s">
        <v>3599</v>
      </c>
      <c r="S1183" t="s">
        <v>3599</v>
      </c>
      <c r="T1183">
        <v>1</v>
      </c>
      <c r="U1183" t="s">
        <v>868</v>
      </c>
      <c r="V1183">
        <v>5</v>
      </c>
      <c r="W1183">
        <v>0</v>
      </c>
      <c r="X1183">
        <v>0</v>
      </c>
    </row>
    <row r="1184" spans="1:24" x14ac:dyDescent="0.3">
      <c r="A1184" t="s">
        <v>2892</v>
      </c>
      <c r="B1184" t="s">
        <v>2893</v>
      </c>
      <c r="C1184">
        <v>1</v>
      </c>
      <c r="D1184" t="s">
        <v>11</v>
      </c>
      <c r="E1184" t="s">
        <v>21</v>
      </c>
      <c r="F1184" t="s">
        <v>22</v>
      </c>
      <c r="H1184" t="s">
        <v>71</v>
      </c>
      <c r="I1184" t="s">
        <v>3617</v>
      </c>
      <c r="J1184" t="s">
        <v>2892</v>
      </c>
      <c r="K1184" t="s">
        <v>868</v>
      </c>
      <c r="L1184" t="s">
        <v>3618</v>
      </c>
      <c r="M1184" t="s">
        <v>2892</v>
      </c>
      <c r="N1184" t="s">
        <v>2893</v>
      </c>
      <c r="Q1184" t="s">
        <v>3599</v>
      </c>
      <c r="R1184" t="s">
        <v>3599</v>
      </c>
      <c r="S1184" t="s">
        <v>3599</v>
      </c>
      <c r="T1184">
        <v>1</v>
      </c>
      <c r="U1184" t="s">
        <v>868</v>
      </c>
      <c r="V1184">
        <v>5</v>
      </c>
      <c r="W1184">
        <v>0</v>
      </c>
      <c r="X1184">
        <v>0</v>
      </c>
    </row>
    <row r="1185" spans="1:24" x14ac:dyDescent="0.3">
      <c r="A1185" t="s">
        <v>2894</v>
      </c>
      <c r="B1185" t="s">
        <v>2895</v>
      </c>
      <c r="C1185">
        <v>1</v>
      </c>
      <c r="D1185" t="s">
        <v>11</v>
      </c>
      <c r="E1185" t="s">
        <v>21</v>
      </c>
      <c r="F1185" t="s">
        <v>22</v>
      </c>
      <c r="H1185" t="s">
        <v>71</v>
      </c>
      <c r="I1185" t="s">
        <v>3617</v>
      </c>
      <c r="J1185" t="s">
        <v>2894</v>
      </c>
      <c r="K1185" t="s">
        <v>868</v>
      </c>
      <c r="L1185" t="s">
        <v>3618</v>
      </c>
      <c r="M1185" t="s">
        <v>2894</v>
      </c>
      <c r="N1185" t="s">
        <v>2895</v>
      </c>
      <c r="Q1185" t="s">
        <v>3599</v>
      </c>
      <c r="R1185" t="s">
        <v>3599</v>
      </c>
      <c r="S1185" t="s">
        <v>3599</v>
      </c>
      <c r="T1185">
        <v>1</v>
      </c>
      <c r="U1185" t="s">
        <v>868</v>
      </c>
      <c r="V1185">
        <v>5</v>
      </c>
      <c r="W1185">
        <v>0</v>
      </c>
      <c r="X1185">
        <v>0</v>
      </c>
    </row>
    <row r="1186" spans="1:24" x14ac:dyDescent="0.3">
      <c r="A1186" t="s">
        <v>2896</v>
      </c>
      <c r="B1186" t="s">
        <v>2897</v>
      </c>
      <c r="C1186">
        <v>1</v>
      </c>
      <c r="D1186" t="s">
        <v>11</v>
      </c>
      <c r="E1186" t="s">
        <v>21</v>
      </c>
      <c r="F1186" t="s">
        <v>22</v>
      </c>
      <c r="H1186" t="s">
        <v>71</v>
      </c>
      <c r="I1186" t="s">
        <v>3617</v>
      </c>
      <c r="J1186" t="s">
        <v>2896</v>
      </c>
      <c r="K1186" t="s">
        <v>868</v>
      </c>
      <c r="L1186" t="s">
        <v>3618</v>
      </c>
      <c r="M1186" t="s">
        <v>2896</v>
      </c>
      <c r="N1186" t="s">
        <v>2897</v>
      </c>
      <c r="Q1186" t="s">
        <v>3599</v>
      </c>
      <c r="R1186" t="s">
        <v>3599</v>
      </c>
      <c r="S1186" t="s">
        <v>3599</v>
      </c>
      <c r="T1186">
        <v>1</v>
      </c>
      <c r="U1186" t="s">
        <v>868</v>
      </c>
      <c r="V1186">
        <v>5</v>
      </c>
      <c r="W1186">
        <v>0</v>
      </c>
      <c r="X1186">
        <v>0</v>
      </c>
    </row>
    <row r="1187" spans="1:24" x14ac:dyDescent="0.3">
      <c r="A1187" t="s">
        <v>2898</v>
      </c>
      <c r="B1187" t="s">
        <v>2899</v>
      </c>
      <c r="C1187">
        <v>1</v>
      </c>
      <c r="D1187" t="s">
        <v>11</v>
      </c>
      <c r="E1187" t="s">
        <v>21</v>
      </c>
      <c r="F1187" t="s">
        <v>22</v>
      </c>
      <c r="H1187" t="s">
        <v>71</v>
      </c>
      <c r="I1187" t="s">
        <v>3617</v>
      </c>
      <c r="J1187" t="s">
        <v>2898</v>
      </c>
      <c r="K1187" t="s">
        <v>868</v>
      </c>
      <c r="L1187" t="s">
        <v>3618</v>
      </c>
      <c r="M1187" t="s">
        <v>2898</v>
      </c>
      <c r="N1187" t="s">
        <v>2899</v>
      </c>
      <c r="Q1187" t="s">
        <v>3599</v>
      </c>
      <c r="R1187" t="s">
        <v>3599</v>
      </c>
      <c r="S1187" t="s">
        <v>3599</v>
      </c>
      <c r="T1187">
        <v>1</v>
      </c>
      <c r="U1187" t="s">
        <v>868</v>
      </c>
      <c r="V1187">
        <v>5</v>
      </c>
      <c r="W1187">
        <v>0</v>
      </c>
      <c r="X1187">
        <v>0</v>
      </c>
    </row>
    <row r="1188" spans="1:24" x14ac:dyDescent="0.3">
      <c r="A1188" t="s">
        <v>2900</v>
      </c>
      <c r="B1188" t="s">
        <v>2901</v>
      </c>
      <c r="C1188">
        <v>1</v>
      </c>
      <c r="D1188" t="s">
        <v>11</v>
      </c>
      <c r="E1188" t="s">
        <v>21</v>
      </c>
      <c r="F1188" t="s">
        <v>22</v>
      </c>
      <c r="H1188" t="s">
        <v>71</v>
      </c>
      <c r="I1188" t="s">
        <v>3617</v>
      </c>
      <c r="J1188" t="s">
        <v>2900</v>
      </c>
      <c r="K1188" t="s">
        <v>868</v>
      </c>
      <c r="L1188" t="s">
        <v>3618</v>
      </c>
      <c r="M1188" t="s">
        <v>2900</v>
      </c>
      <c r="N1188" t="s">
        <v>2901</v>
      </c>
      <c r="Q1188" t="s">
        <v>3599</v>
      </c>
      <c r="R1188" t="s">
        <v>3599</v>
      </c>
      <c r="S1188" t="s">
        <v>3599</v>
      </c>
      <c r="T1188">
        <v>1</v>
      </c>
      <c r="U1188" t="s">
        <v>868</v>
      </c>
      <c r="V1188">
        <v>5</v>
      </c>
      <c r="W1188">
        <v>0</v>
      </c>
      <c r="X1188">
        <v>0</v>
      </c>
    </row>
    <row r="1189" spans="1:24" x14ac:dyDescent="0.3">
      <c r="A1189" t="s">
        <v>2902</v>
      </c>
      <c r="B1189" t="s">
        <v>2903</v>
      </c>
      <c r="C1189">
        <v>1</v>
      </c>
      <c r="D1189" t="s">
        <v>11</v>
      </c>
      <c r="E1189" t="s">
        <v>21</v>
      </c>
      <c r="F1189" t="s">
        <v>22</v>
      </c>
      <c r="H1189" t="s">
        <v>71</v>
      </c>
      <c r="I1189" t="s">
        <v>3617</v>
      </c>
      <c r="J1189" t="s">
        <v>2902</v>
      </c>
      <c r="K1189" t="s">
        <v>868</v>
      </c>
      <c r="L1189" t="s">
        <v>3618</v>
      </c>
      <c r="M1189" t="s">
        <v>2902</v>
      </c>
      <c r="N1189" t="s">
        <v>2903</v>
      </c>
      <c r="Q1189" t="s">
        <v>3599</v>
      </c>
      <c r="R1189" t="s">
        <v>3599</v>
      </c>
      <c r="S1189" t="s">
        <v>3599</v>
      </c>
      <c r="T1189">
        <v>1</v>
      </c>
      <c r="U1189" t="s">
        <v>868</v>
      </c>
      <c r="V1189">
        <v>5</v>
      </c>
      <c r="W1189">
        <v>0</v>
      </c>
      <c r="X1189">
        <v>0</v>
      </c>
    </row>
    <row r="1190" spans="1:24" x14ac:dyDescent="0.3">
      <c r="A1190" t="s">
        <v>2904</v>
      </c>
      <c r="B1190" t="s">
        <v>2905</v>
      </c>
      <c r="C1190">
        <v>1</v>
      </c>
      <c r="D1190" t="s">
        <v>11</v>
      </c>
      <c r="E1190" t="s">
        <v>21</v>
      </c>
      <c r="F1190" t="s">
        <v>22</v>
      </c>
      <c r="H1190" t="s">
        <v>71</v>
      </c>
      <c r="I1190" t="s">
        <v>3617</v>
      </c>
      <c r="J1190" t="s">
        <v>2904</v>
      </c>
      <c r="K1190" t="s">
        <v>868</v>
      </c>
      <c r="L1190" t="s">
        <v>3618</v>
      </c>
      <c r="M1190" t="s">
        <v>2904</v>
      </c>
      <c r="N1190" t="s">
        <v>2905</v>
      </c>
      <c r="Q1190" t="s">
        <v>3599</v>
      </c>
      <c r="R1190" t="s">
        <v>3599</v>
      </c>
      <c r="S1190" t="s">
        <v>3599</v>
      </c>
      <c r="T1190">
        <v>1</v>
      </c>
      <c r="U1190" t="s">
        <v>868</v>
      </c>
      <c r="V1190">
        <v>5</v>
      </c>
      <c r="W1190">
        <v>0</v>
      </c>
      <c r="X1190">
        <v>0</v>
      </c>
    </row>
    <row r="1191" spans="1:24" x14ac:dyDescent="0.3">
      <c r="A1191" t="s">
        <v>2906</v>
      </c>
      <c r="B1191" t="s">
        <v>2907</v>
      </c>
      <c r="C1191">
        <v>1</v>
      </c>
      <c r="D1191" t="s">
        <v>11</v>
      </c>
      <c r="E1191" t="s">
        <v>21</v>
      </c>
      <c r="F1191" t="s">
        <v>22</v>
      </c>
      <c r="H1191" t="s">
        <v>71</v>
      </c>
      <c r="I1191" t="s">
        <v>3617</v>
      </c>
      <c r="J1191" t="s">
        <v>2906</v>
      </c>
      <c r="K1191" t="s">
        <v>868</v>
      </c>
      <c r="L1191" t="s">
        <v>3618</v>
      </c>
      <c r="M1191" t="s">
        <v>2906</v>
      </c>
      <c r="N1191" t="s">
        <v>2907</v>
      </c>
      <c r="Q1191" t="s">
        <v>3599</v>
      </c>
      <c r="R1191" t="s">
        <v>3599</v>
      </c>
      <c r="S1191" t="s">
        <v>3599</v>
      </c>
      <c r="T1191">
        <v>1</v>
      </c>
      <c r="U1191" t="s">
        <v>868</v>
      </c>
      <c r="V1191">
        <v>5</v>
      </c>
      <c r="W1191">
        <v>0</v>
      </c>
      <c r="X1191">
        <v>0</v>
      </c>
    </row>
    <row r="1192" spans="1:24" x14ac:dyDescent="0.3">
      <c r="A1192" t="s">
        <v>2908</v>
      </c>
      <c r="B1192" t="s">
        <v>2909</v>
      </c>
      <c r="C1192">
        <v>1</v>
      </c>
      <c r="D1192" t="s">
        <v>11</v>
      </c>
      <c r="E1192" t="s">
        <v>21</v>
      </c>
      <c r="F1192" t="s">
        <v>22</v>
      </c>
      <c r="H1192" t="s">
        <v>71</v>
      </c>
      <c r="I1192" t="s">
        <v>3617</v>
      </c>
      <c r="J1192" t="s">
        <v>2908</v>
      </c>
      <c r="K1192" t="s">
        <v>868</v>
      </c>
      <c r="L1192" t="s">
        <v>3618</v>
      </c>
      <c r="M1192" t="s">
        <v>2908</v>
      </c>
      <c r="N1192" t="s">
        <v>2909</v>
      </c>
      <c r="Q1192" t="s">
        <v>3599</v>
      </c>
      <c r="R1192" t="s">
        <v>3599</v>
      </c>
      <c r="S1192" t="s">
        <v>3599</v>
      </c>
      <c r="T1192">
        <v>1</v>
      </c>
      <c r="U1192" t="s">
        <v>868</v>
      </c>
      <c r="V1192">
        <v>5</v>
      </c>
      <c r="W1192">
        <v>0</v>
      </c>
      <c r="X1192">
        <v>0</v>
      </c>
    </row>
    <row r="1193" spans="1:24" x14ac:dyDescent="0.3">
      <c r="A1193" t="s">
        <v>2910</v>
      </c>
      <c r="B1193" t="s">
        <v>2911</v>
      </c>
      <c r="C1193">
        <v>1</v>
      </c>
      <c r="D1193" t="s">
        <v>11</v>
      </c>
      <c r="E1193" t="s">
        <v>21</v>
      </c>
      <c r="F1193" t="s">
        <v>22</v>
      </c>
      <c r="H1193" t="s">
        <v>71</v>
      </c>
      <c r="I1193" t="s">
        <v>3617</v>
      </c>
      <c r="J1193" t="s">
        <v>2910</v>
      </c>
      <c r="K1193" t="s">
        <v>868</v>
      </c>
      <c r="L1193" t="s">
        <v>3618</v>
      </c>
      <c r="M1193" t="s">
        <v>2910</v>
      </c>
      <c r="N1193" t="s">
        <v>2911</v>
      </c>
      <c r="Q1193" t="s">
        <v>3599</v>
      </c>
      <c r="R1193" t="s">
        <v>3599</v>
      </c>
      <c r="S1193" t="s">
        <v>3599</v>
      </c>
      <c r="T1193">
        <v>1</v>
      </c>
      <c r="U1193" t="s">
        <v>868</v>
      </c>
      <c r="V1193">
        <v>5</v>
      </c>
      <c r="W1193">
        <v>0</v>
      </c>
      <c r="X1193">
        <v>0</v>
      </c>
    </row>
    <row r="1194" spans="1:24" x14ac:dyDescent="0.3">
      <c r="A1194" t="s">
        <v>2912</v>
      </c>
      <c r="B1194" t="s">
        <v>2913</v>
      </c>
      <c r="C1194">
        <v>1</v>
      </c>
      <c r="D1194" t="s">
        <v>11</v>
      </c>
      <c r="E1194" t="s">
        <v>21</v>
      </c>
      <c r="F1194" t="s">
        <v>22</v>
      </c>
      <c r="H1194" t="s">
        <v>71</v>
      </c>
      <c r="I1194" t="s">
        <v>3617</v>
      </c>
      <c r="J1194" t="s">
        <v>2912</v>
      </c>
      <c r="K1194" t="s">
        <v>868</v>
      </c>
      <c r="L1194" t="s">
        <v>3618</v>
      </c>
      <c r="M1194" t="s">
        <v>2912</v>
      </c>
      <c r="N1194" t="s">
        <v>2913</v>
      </c>
      <c r="Q1194" t="s">
        <v>3599</v>
      </c>
      <c r="R1194" t="s">
        <v>3599</v>
      </c>
      <c r="S1194" t="s">
        <v>3599</v>
      </c>
      <c r="T1194">
        <v>1</v>
      </c>
      <c r="U1194" t="s">
        <v>868</v>
      </c>
      <c r="V1194">
        <v>5</v>
      </c>
      <c r="W1194">
        <v>0</v>
      </c>
      <c r="X1194">
        <v>0</v>
      </c>
    </row>
    <row r="1195" spans="1:24" x14ac:dyDescent="0.3">
      <c r="A1195" t="s">
        <v>2914</v>
      </c>
      <c r="B1195" t="s">
        <v>2915</v>
      </c>
      <c r="C1195">
        <v>1</v>
      </c>
      <c r="D1195" t="s">
        <v>11</v>
      </c>
      <c r="E1195" t="s">
        <v>21</v>
      </c>
      <c r="F1195" t="s">
        <v>22</v>
      </c>
      <c r="H1195" t="s">
        <v>71</v>
      </c>
      <c r="I1195" t="s">
        <v>3617</v>
      </c>
      <c r="K1195" t="s">
        <v>868</v>
      </c>
      <c r="L1195" t="s">
        <v>3618</v>
      </c>
      <c r="N1195" t="s">
        <v>2915</v>
      </c>
      <c r="Q1195" t="s">
        <v>3599</v>
      </c>
      <c r="R1195" t="s">
        <v>3599</v>
      </c>
      <c r="S1195" t="s">
        <v>3599</v>
      </c>
      <c r="T1195">
        <v>1</v>
      </c>
      <c r="U1195" t="s">
        <v>868</v>
      </c>
      <c r="V1195">
        <v>5</v>
      </c>
      <c r="W1195">
        <v>0</v>
      </c>
      <c r="X1195">
        <v>0</v>
      </c>
    </row>
    <row r="1196" spans="1:24" x14ac:dyDescent="0.3">
      <c r="A1196" t="s">
        <v>2916</v>
      </c>
      <c r="B1196" t="s">
        <v>2917</v>
      </c>
      <c r="C1196">
        <v>1</v>
      </c>
      <c r="D1196" t="s">
        <v>11</v>
      </c>
      <c r="E1196" t="s">
        <v>21</v>
      </c>
      <c r="F1196" t="s">
        <v>22</v>
      </c>
      <c r="H1196" t="s">
        <v>71</v>
      </c>
      <c r="I1196" t="s">
        <v>3617</v>
      </c>
      <c r="K1196" t="s">
        <v>868</v>
      </c>
      <c r="L1196" t="s">
        <v>3618</v>
      </c>
      <c r="N1196" t="s">
        <v>2917</v>
      </c>
      <c r="Q1196" t="s">
        <v>3599</v>
      </c>
      <c r="R1196" t="s">
        <v>3599</v>
      </c>
      <c r="S1196" t="s">
        <v>3599</v>
      </c>
      <c r="T1196">
        <v>1</v>
      </c>
      <c r="U1196" t="s">
        <v>868</v>
      </c>
      <c r="V1196">
        <v>5</v>
      </c>
      <c r="W1196">
        <v>0</v>
      </c>
      <c r="X1196">
        <v>0</v>
      </c>
    </row>
    <row r="1197" spans="1:24" x14ac:dyDescent="0.3">
      <c r="A1197" t="s">
        <v>2918</v>
      </c>
      <c r="B1197" t="s">
        <v>2919</v>
      </c>
      <c r="C1197">
        <v>1</v>
      </c>
      <c r="D1197" t="s">
        <v>11</v>
      </c>
      <c r="E1197" t="s">
        <v>21</v>
      </c>
      <c r="F1197" t="s">
        <v>22</v>
      </c>
      <c r="H1197" t="s">
        <v>71</v>
      </c>
      <c r="I1197" t="s">
        <v>3617</v>
      </c>
      <c r="K1197" t="s">
        <v>868</v>
      </c>
      <c r="L1197" t="s">
        <v>3618</v>
      </c>
      <c r="N1197" t="s">
        <v>2919</v>
      </c>
      <c r="Q1197" t="s">
        <v>3599</v>
      </c>
      <c r="R1197" t="s">
        <v>3599</v>
      </c>
      <c r="S1197" t="s">
        <v>3599</v>
      </c>
      <c r="T1197">
        <v>1</v>
      </c>
      <c r="U1197" t="s">
        <v>868</v>
      </c>
      <c r="V1197">
        <v>5</v>
      </c>
      <c r="W1197">
        <v>0</v>
      </c>
      <c r="X1197">
        <v>0</v>
      </c>
    </row>
    <row r="1198" spans="1:24" x14ac:dyDescent="0.3">
      <c r="A1198" t="s">
        <v>2920</v>
      </c>
      <c r="B1198" t="s">
        <v>2921</v>
      </c>
      <c r="C1198">
        <v>1</v>
      </c>
      <c r="D1198" t="s">
        <v>11</v>
      </c>
      <c r="E1198" t="s">
        <v>21</v>
      </c>
      <c r="F1198" t="s">
        <v>22</v>
      </c>
      <c r="H1198" t="s">
        <v>71</v>
      </c>
      <c r="I1198" t="s">
        <v>3617</v>
      </c>
      <c r="K1198" t="s">
        <v>868</v>
      </c>
      <c r="L1198" t="s">
        <v>3618</v>
      </c>
      <c r="N1198" t="s">
        <v>2921</v>
      </c>
      <c r="Q1198" t="s">
        <v>3599</v>
      </c>
      <c r="R1198" t="s">
        <v>3599</v>
      </c>
      <c r="S1198" t="s">
        <v>3599</v>
      </c>
      <c r="T1198">
        <v>1</v>
      </c>
      <c r="U1198" t="s">
        <v>868</v>
      </c>
      <c r="V1198">
        <v>5</v>
      </c>
      <c r="W1198">
        <v>0</v>
      </c>
      <c r="X1198">
        <v>0</v>
      </c>
    </row>
    <row r="1199" spans="1:24" x14ac:dyDescent="0.3">
      <c r="A1199" t="s">
        <v>2922</v>
      </c>
      <c r="B1199" t="s">
        <v>2923</v>
      </c>
      <c r="C1199">
        <v>1</v>
      </c>
      <c r="D1199" t="s">
        <v>11</v>
      </c>
      <c r="E1199" t="s">
        <v>21</v>
      </c>
      <c r="F1199" t="s">
        <v>22</v>
      </c>
      <c r="H1199" t="s">
        <v>71</v>
      </c>
      <c r="I1199" t="s">
        <v>3617</v>
      </c>
      <c r="J1199" t="s">
        <v>2922</v>
      </c>
      <c r="K1199" t="s">
        <v>868</v>
      </c>
      <c r="L1199" t="s">
        <v>3618</v>
      </c>
      <c r="M1199" t="s">
        <v>2922</v>
      </c>
      <c r="N1199" t="s">
        <v>2923</v>
      </c>
      <c r="O1199" t="s">
        <v>1409</v>
      </c>
      <c r="Q1199" t="s">
        <v>3599</v>
      </c>
      <c r="R1199" t="s">
        <v>3599</v>
      </c>
      <c r="S1199" t="s">
        <v>3599</v>
      </c>
      <c r="T1199">
        <v>1</v>
      </c>
      <c r="U1199" t="s">
        <v>868</v>
      </c>
      <c r="V1199">
        <v>5</v>
      </c>
      <c r="W1199">
        <v>0</v>
      </c>
      <c r="X1199">
        <v>0</v>
      </c>
    </row>
    <row r="1200" spans="1:24" x14ac:dyDescent="0.3">
      <c r="A1200" t="s">
        <v>2924</v>
      </c>
      <c r="B1200" t="s">
        <v>2925</v>
      </c>
      <c r="C1200">
        <v>1</v>
      </c>
      <c r="D1200" t="s">
        <v>11</v>
      </c>
      <c r="E1200" t="s">
        <v>21</v>
      </c>
      <c r="F1200" t="s">
        <v>22</v>
      </c>
      <c r="H1200" t="s">
        <v>71</v>
      </c>
      <c r="I1200" t="s">
        <v>3617</v>
      </c>
      <c r="J1200" t="s">
        <v>2924</v>
      </c>
      <c r="K1200" t="s">
        <v>868</v>
      </c>
      <c r="L1200" t="s">
        <v>3618</v>
      </c>
      <c r="M1200" t="s">
        <v>2924</v>
      </c>
      <c r="N1200" t="s">
        <v>2925</v>
      </c>
      <c r="Q1200" t="s">
        <v>3599</v>
      </c>
      <c r="R1200" t="s">
        <v>3599</v>
      </c>
      <c r="S1200" t="s">
        <v>3599</v>
      </c>
      <c r="T1200">
        <v>1</v>
      </c>
      <c r="U1200" t="s">
        <v>868</v>
      </c>
      <c r="V1200">
        <v>5</v>
      </c>
      <c r="W1200">
        <v>0</v>
      </c>
      <c r="X1200">
        <v>0</v>
      </c>
    </row>
    <row r="1201" spans="1:24" x14ac:dyDescent="0.3">
      <c r="A1201" t="s">
        <v>2926</v>
      </c>
      <c r="B1201" t="s">
        <v>2927</v>
      </c>
      <c r="C1201">
        <v>1</v>
      </c>
      <c r="D1201" t="s">
        <v>11</v>
      </c>
      <c r="E1201" t="s">
        <v>21</v>
      </c>
      <c r="F1201" t="s">
        <v>22</v>
      </c>
      <c r="H1201" t="s">
        <v>71</v>
      </c>
      <c r="I1201" t="s">
        <v>3617</v>
      </c>
      <c r="J1201" t="s">
        <v>2926</v>
      </c>
      <c r="K1201" t="s">
        <v>868</v>
      </c>
      <c r="L1201" t="s">
        <v>3618</v>
      </c>
      <c r="M1201" t="s">
        <v>2926</v>
      </c>
      <c r="N1201" t="s">
        <v>2927</v>
      </c>
      <c r="Q1201" t="s">
        <v>3599</v>
      </c>
      <c r="R1201" t="s">
        <v>3599</v>
      </c>
      <c r="S1201" t="s">
        <v>3599</v>
      </c>
      <c r="T1201">
        <v>1</v>
      </c>
      <c r="U1201" t="s">
        <v>868</v>
      </c>
      <c r="V1201">
        <v>5</v>
      </c>
      <c r="W1201">
        <v>0</v>
      </c>
      <c r="X1201">
        <v>0</v>
      </c>
    </row>
    <row r="1202" spans="1:24" x14ac:dyDescent="0.3">
      <c r="A1202" t="s">
        <v>2928</v>
      </c>
      <c r="B1202" t="s">
        <v>2929</v>
      </c>
      <c r="C1202">
        <v>1</v>
      </c>
      <c r="D1202" t="s">
        <v>11</v>
      </c>
      <c r="E1202" t="s">
        <v>21</v>
      </c>
      <c r="F1202" t="s">
        <v>22</v>
      </c>
      <c r="H1202" t="s">
        <v>71</v>
      </c>
      <c r="I1202" t="s">
        <v>3617</v>
      </c>
      <c r="J1202" t="s">
        <v>2928</v>
      </c>
      <c r="K1202" t="s">
        <v>868</v>
      </c>
      <c r="L1202" t="s">
        <v>3618</v>
      </c>
      <c r="M1202" t="s">
        <v>2928</v>
      </c>
      <c r="N1202" t="s">
        <v>2929</v>
      </c>
      <c r="Q1202" t="s">
        <v>3599</v>
      </c>
      <c r="R1202" t="s">
        <v>3599</v>
      </c>
      <c r="S1202" t="s">
        <v>3599</v>
      </c>
      <c r="T1202">
        <v>1</v>
      </c>
      <c r="U1202" t="s">
        <v>868</v>
      </c>
      <c r="V1202">
        <v>5</v>
      </c>
      <c r="W1202">
        <v>0</v>
      </c>
      <c r="X1202">
        <v>0</v>
      </c>
    </row>
    <row r="1203" spans="1:24" x14ac:dyDescent="0.3">
      <c r="A1203" t="s">
        <v>2930</v>
      </c>
      <c r="B1203" t="s">
        <v>2931</v>
      </c>
      <c r="C1203">
        <v>1</v>
      </c>
      <c r="D1203" t="s">
        <v>11</v>
      </c>
      <c r="E1203" t="s">
        <v>21</v>
      </c>
      <c r="F1203" t="s">
        <v>22</v>
      </c>
      <c r="H1203" t="s">
        <v>71</v>
      </c>
      <c r="I1203" t="s">
        <v>3617</v>
      </c>
      <c r="J1203" t="s">
        <v>2930</v>
      </c>
      <c r="K1203" t="s">
        <v>868</v>
      </c>
      <c r="L1203" t="s">
        <v>3618</v>
      </c>
      <c r="M1203" t="s">
        <v>2930</v>
      </c>
      <c r="N1203" t="s">
        <v>2931</v>
      </c>
      <c r="Q1203" t="s">
        <v>3599</v>
      </c>
      <c r="R1203" t="s">
        <v>3599</v>
      </c>
      <c r="S1203" t="s">
        <v>3599</v>
      </c>
      <c r="T1203">
        <v>1</v>
      </c>
      <c r="U1203" t="s">
        <v>868</v>
      </c>
      <c r="V1203">
        <v>5</v>
      </c>
      <c r="W1203">
        <v>0</v>
      </c>
      <c r="X1203">
        <v>0</v>
      </c>
    </row>
    <row r="1204" spans="1:24" x14ac:dyDescent="0.3">
      <c r="A1204" t="s">
        <v>2932</v>
      </c>
      <c r="B1204" t="s">
        <v>2933</v>
      </c>
      <c r="C1204">
        <v>1</v>
      </c>
      <c r="D1204" t="s">
        <v>11</v>
      </c>
      <c r="E1204" t="s">
        <v>21</v>
      </c>
      <c r="F1204" t="s">
        <v>22</v>
      </c>
      <c r="H1204" t="s">
        <v>71</v>
      </c>
      <c r="I1204" t="s">
        <v>3617</v>
      </c>
      <c r="J1204" t="s">
        <v>2932</v>
      </c>
      <c r="K1204" t="s">
        <v>868</v>
      </c>
      <c r="L1204" t="s">
        <v>3618</v>
      </c>
      <c r="M1204" t="s">
        <v>2932</v>
      </c>
      <c r="N1204" t="s">
        <v>2933</v>
      </c>
      <c r="Q1204" t="s">
        <v>3599</v>
      </c>
      <c r="R1204" t="s">
        <v>3599</v>
      </c>
      <c r="S1204" t="s">
        <v>3599</v>
      </c>
      <c r="T1204">
        <v>1</v>
      </c>
      <c r="U1204" t="s">
        <v>868</v>
      </c>
      <c r="V1204">
        <v>5</v>
      </c>
      <c r="W1204">
        <v>0</v>
      </c>
      <c r="X1204">
        <v>0</v>
      </c>
    </row>
    <row r="1205" spans="1:24" x14ac:dyDescent="0.3">
      <c r="A1205" t="s">
        <v>2934</v>
      </c>
      <c r="B1205" t="s">
        <v>2935</v>
      </c>
      <c r="C1205">
        <v>1</v>
      </c>
      <c r="D1205" t="s">
        <v>11</v>
      </c>
      <c r="E1205" t="s">
        <v>21</v>
      </c>
      <c r="F1205" t="s">
        <v>22</v>
      </c>
      <c r="H1205" t="s">
        <v>71</v>
      </c>
      <c r="I1205" t="s">
        <v>3617</v>
      </c>
      <c r="J1205" t="s">
        <v>2934</v>
      </c>
      <c r="K1205" t="s">
        <v>868</v>
      </c>
      <c r="L1205" t="s">
        <v>3618</v>
      </c>
      <c r="M1205" t="s">
        <v>2934</v>
      </c>
      <c r="N1205" t="s">
        <v>2935</v>
      </c>
      <c r="Q1205" t="s">
        <v>3599</v>
      </c>
      <c r="R1205" t="s">
        <v>3599</v>
      </c>
      <c r="S1205" t="s">
        <v>3599</v>
      </c>
      <c r="T1205">
        <v>1</v>
      </c>
      <c r="U1205" t="s">
        <v>868</v>
      </c>
      <c r="V1205">
        <v>5</v>
      </c>
      <c r="W1205">
        <v>0</v>
      </c>
      <c r="X1205">
        <v>0</v>
      </c>
    </row>
    <row r="1206" spans="1:24" x14ac:dyDescent="0.3">
      <c r="A1206" t="s">
        <v>2936</v>
      </c>
      <c r="B1206" t="s">
        <v>2937</v>
      </c>
      <c r="C1206">
        <v>1</v>
      </c>
      <c r="D1206" t="s">
        <v>11</v>
      </c>
      <c r="E1206" t="s">
        <v>21</v>
      </c>
      <c r="F1206" t="s">
        <v>22</v>
      </c>
      <c r="H1206" t="s">
        <v>71</v>
      </c>
      <c r="I1206" t="s">
        <v>3617</v>
      </c>
      <c r="J1206" t="s">
        <v>2936</v>
      </c>
      <c r="K1206" t="s">
        <v>868</v>
      </c>
      <c r="L1206" t="s">
        <v>3618</v>
      </c>
      <c r="M1206" t="s">
        <v>2936</v>
      </c>
      <c r="N1206" t="s">
        <v>2937</v>
      </c>
      <c r="Q1206" t="s">
        <v>3599</v>
      </c>
      <c r="R1206" t="s">
        <v>3599</v>
      </c>
      <c r="S1206" t="s">
        <v>3599</v>
      </c>
      <c r="T1206">
        <v>1</v>
      </c>
      <c r="U1206" t="s">
        <v>868</v>
      </c>
      <c r="V1206">
        <v>5</v>
      </c>
      <c r="W1206">
        <v>0</v>
      </c>
      <c r="X1206">
        <v>0</v>
      </c>
    </row>
    <row r="1207" spans="1:24" x14ac:dyDescent="0.3">
      <c r="A1207" t="s">
        <v>2938</v>
      </c>
      <c r="B1207" t="s">
        <v>2939</v>
      </c>
      <c r="C1207">
        <v>1</v>
      </c>
      <c r="D1207" t="s">
        <v>11</v>
      </c>
      <c r="E1207" t="s">
        <v>21</v>
      </c>
      <c r="F1207" t="s">
        <v>22</v>
      </c>
      <c r="H1207" t="s">
        <v>71</v>
      </c>
      <c r="I1207" t="s">
        <v>3617</v>
      </c>
      <c r="J1207" t="s">
        <v>2938</v>
      </c>
      <c r="K1207" t="s">
        <v>868</v>
      </c>
      <c r="L1207" t="s">
        <v>3618</v>
      </c>
      <c r="M1207" t="s">
        <v>2938</v>
      </c>
      <c r="N1207" t="s">
        <v>2939</v>
      </c>
      <c r="Q1207" t="s">
        <v>3599</v>
      </c>
      <c r="R1207" t="s">
        <v>3599</v>
      </c>
      <c r="S1207" t="s">
        <v>3599</v>
      </c>
      <c r="T1207">
        <v>1</v>
      </c>
      <c r="U1207" t="s">
        <v>868</v>
      </c>
      <c r="V1207">
        <v>5</v>
      </c>
      <c r="W1207">
        <v>0</v>
      </c>
      <c r="X1207">
        <v>0</v>
      </c>
    </row>
    <row r="1208" spans="1:24" x14ac:dyDescent="0.3">
      <c r="A1208" t="s">
        <v>2940</v>
      </c>
      <c r="B1208" t="s">
        <v>2941</v>
      </c>
      <c r="C1208">
        <v>1</v>
      </c>
      <c r="D1208" t="s">
        <v>11</v>
      </c>
      <c r="E1208" t="s">
        <v>21</v>
      </c>
      <c r="F1208" t="s">
        <v>22</v>
      </c>
      <c r="H1208" t="s">
        <v>71</v>
      </c>
      <c r="I1208" t="s">
        <v>3617</v>
      </c>
      <c r="J1208" t="s">
        <v>2940</v>
      </c>
      <c r="K1208" t="s">
        <v>868</v>
      </c>
      <c r="L1208" t="s">
        <v>3618</v>
      </c>
      <c r="M1208" t="s">
        <v>2940</v>
      </c>
      <c r="N1208" t="s">
        <v>2941</v>
      </c>
      <c r="Q1208" t="s">
        <v>3599</v>
      </c>
      <c r="R1208" t="s">
        <v>3599</v>
      </c>
      <c r="S1208" t="s">
        <v>3599</v>
      </c>
      <c r="T1208">
        <v>1</v>
      </c>
      <c r="U1208" t="s">
        <v>868</v>
      </c>
      <c r="V1208">
        <v>5</v>
      </c>
      <c r="W1208">
        <v>0</v>
      </c>
      <c r="X1208">
        <v>0</v>
      </c>
    </row>
    <row r="1209" spans="1:24" x14ac:dyDescent="0.3">
      <c r="A1209" t="s">
        <v>2942</v>
      </c>
      <c r="B1209" t="s">
        <v>2943</v>
      </c>
      <c r="C1209">
        <v>1</v>
      </c>
      <c r="D1209" t="s">
        <v>11</v>
      </c>
      <c r="E1209" t="s">
        <v>21</v>
      </c>
      <c r="F1209" t="s">
        <v>22</v>
      </c>
      <c r="H1209" t="s">
        <v>71</v>
      </c>
      <c r="I1209" t="s">
        <v>3617</v>
      </c>
      <c r="J1209" t="s">
        <v>2942</v>
      </c>
      <c r="K1209" t="s">
        <v>868</v>
      </c>
      <c r="L1209" t="s">
        <v>3618</v>
      </c>
      <c r="M1209" t="s">
        <v>2942</v>
      </c>
      <c r="N1209" t="s">
        <v>2943</v>
      </c>
      <c r="Q1209" t="s">
        <v>3599</v>
      </c>
      <c r="R1209" t="s">
        <v>3599</v>
      </c>
      <c r="S1209" t="s">
        <v>3599</v>
      </c>
      <c r="T1209">
        <v>1</v>
      </c>
      <c r="U1209" t="s">
        <v>868</v>
      </c>
      <c r="V1209">
        <v>5</v>
      </c>
      <c r="W1209">
        <v>0</v>
      </c>
      <c r="X1209">
        <v>0</v>
      </c>
    </row>
    <row r="1210" spans="1:24" x14ac:dyDescent="0.3">
      <c r="A1210" t="s">
        <v>2944</v>
      </c>
      <c r="B1210" t="s">
        <v>2945</v>
      </c>
      <c r="C1210">
        <v>1</v>
      </c>
      <c r="D1210" t="s">
        <v>11</v>
      </c>
      <c r="E1210" t="s">
        <v>21</v>
      </c>
      <c r="F1210" t="s">
        <v>22</v>
      </c>
      <c r="H1210" t="s">
        <v>71</v>
      </c>
      <c r="I1210" t="s">
        <v>3617</v>
      </c>
      <c r="J1210" t="s">
        <v>2944</v>
      </c>
      <c r="K1210" t="s">
        <v>868</v>
      </c>
      <c r="L1210" t="s">
        <v>3618</v>
      </c>
      <c r="M1210" t="s">
        <v>2944</v>
      </c>
      <c r="N1210" t="s">
        <v>2945</v>
      </c>
      <c r="Q1210" t="s">
        <v>3599</v>
      </c>
      <c r="R1210" t="s">
        <v>3599</v>
      </c>
      <c r="S1210" t="s">
        <v>3599</v>
      </c>
      <c r="T1210">
        <v>1</v>
      </c>
      <c r="U1210" t="s">
        <v>868</v>
      </c>
      <c r="V1210">
        <v>5</v>
      </c>
      <c r="W1210">
        <v>0</v>
      </c>
      <c r="X1210">
        <v>0</v>
      </c>
    </row>
    <row r="1211" spans="1:24" x14ac:dyDescent="0.3">
      <c r="A1211" t="s">
        <v>2946</v>
      </c>
      <c r="B1211" t="s">
        <v>2947</v>
      </c>
      <c r="C1211">
        <v>1</v>
      </c>
      <c r="D1211" t="s">
        <v>11</v>
      </c>
      <c r="E1211" t="s">
        <v>21</v>
      </c>
      <c r="F1211" t="s">
        <v>22</v>
      </c>
      <c r="H1211" t="s">
        <v>71</v>
      </c>
      <c r="I1211" t="s">
        <v>3617</v>
      </c>
      <c r="J1211" t="s">
        <v>2946</v>
      </c>
      <c r="K1211" t="s">
        <v>868</v>
      </c>
      <c r="L1211" t="s">
        <v>3618</v>
      </c>
      <c r="M1211" t="s">
        <v>2946</v>
      </c>
      <c r="N1211" t="s">
        <v>2947</v>
      </c>
      <c r="Q1211" t="s">
        <v>3599</v>
      </c>
      <c r="R1211" t="s">
        <v>3599</v>
      </c>
      <c r="S1211" t="s">
        <v>3599</v>
      </c>
      <c r="T1211">
        <v>1</v>
      </c>
      <c r="U1211" t="s">
        <v>868</v>
      </c>
      <c r="V1211">
        <v>5</v>
      </c>
      <c r="W1211">
        <v>0</v>
      </c>
      <c r="X1211">
        <v>0</v>
      </c>
    </row>
    <row r="1212" spans="1:24" x14ac:dyDescent="0.3">
      <c r="A1212" t="s">
        <v>2948</v>
      </c>
      <c r="B1212" t="s">
        <v>2949</v>
      </c>
      <c r="C1212">
        <v>1</v>
      </c>
      <c r="D1212" t="s">
        <v>11</v>
      </c>
      <c r="E1212" t="s">
        <v>21</v>
      </c>
      <c r="F1212" t="s">
        <v>22</v>
      </c>
      <c r="H1212" t="s">
        <v>71</v>
      </c>
      <c r="I1212" t="s">
        <v>3617</v>
      </c>
      <c r="J1212" t="s">
        <v>2948</v>
      </c>
      <c r="K1212" t="s">
        <v>868</v>
      </c>
      <c r="L1212" t="s">
        <v>3618</v>
      </c>
      <c r="M1212" t="s">
        <v>2948</v>
      </c>
      <c r="N1212" t="s">
        <v>2949</v>
      </c>
      <c r="Q1212" t="s">
        <v>3599</v>
      </c>
      <c r="R1212" t="s">
        <v>3599</v>
      </c>
      <c r="S1212" t="s">
        <v>3599</v>
      </c>
      <c r="T1212">
        <v>1</v>
      </c>
      <c r="U1212" t="s">
        <v>868</v>
      </c>
      <c r="V1212">
        <v>5</v>
      </c>
      <c r="W1212">
        <v>0</v>
      </c>
      <c r="X1212">
        <v>0</v>
      </c>
    </row>
    <row r="1213" spans="1:24" x14ac:dyDescent="0.3">
      <c r="A1213" t="s">
        <v>2950</v>
      </c>
      <c r="B1213" t="s">
        <v>2951</v>
      </c>
      <c r="C1213">
        <v>1</v>
      </c>
      <c r="D1213" t="s">
        <v>11</v>
      </c>
      <c r="E1213" t="s">
        <v>21</v>
      </c>
      <c r="F1213" t="s">
        <v>22</v>
      </c>
      <c r="H1213" t="s">
        <v>71</v>
      </c>
      <c r="I1213" t="s">
        <v>3617</v>
      </c>
      <c r="J1213" t="s">
        <v>2950</v>
      </c>
      <c r="K1213" t="s">
        <v>868</v>
      </c>
      <c r="L1213" t="s">
        <v>3618</v>
      </c>
      <c r="M1213" t="s">
        <v>2950</v>
      </c>
      <c r="N1213" t="s">
        <v>2951</v>
      </c>
      <c r="Q1213" t="s">
        <v>3599</v>
      </c>
      <c r="R1213" t="s">
        <v>3599</v>
      </c>
      <c r="S1213" t="s">
        <v>3599</v>
      </c>
      <c r="T1213">
        <v>1</v>
      </c>
      <c r="U1213" t="s">
        <v>868</v>
      </c>
      <c r="V1213">
        <v>5</v>
      </c>
      <c r="W1213">
        <v>0</v>
      </c>
      <c r="X1213">
        <v>0</v>
      </c>
    </row>
    <row r="1214" spans="1:24" x14ac:dyDescent="0.3">
      <c r="A1214" t="s">
        <v>2952</v>
      </c>
      <c r="B1214" t="s">
        <v>2953</v>
      </c>
      <c r="C1214">
        <v>1</v>
      </c>
      <c r="D1214" t="s">
        <v>11</v>
      </c>
      <c r="E1214" t="s">
        <v>21</v>
      </c>
      <c r="F1214" t="s">
        <v>22</v>
      </c>
      <c r="H1214" t="s">
        <v>71</v>
      </c>
      <c r="I1214" t="s">
        <v>3617</v>
      </c>
      <c r="J1214" t="s">
        <v>2952</v>
      </c>
      <c r="K1214" t="s">
        <v>868</v>
      </c>
      <c r="L1214" t="s">
        <v>3618</v>
      </c>
      <c r="M1214" t="s">
        <v>2952</v>
      </c>
      <c r="N1214" t="s">
        <v>2953</v>
      </c>
      <c r="Q1214" t="s">
        <v>3599</v>
      </c>
      <c r="R1214" t="s">
        <v>3599</v>
      </c>
      <c r="S1214" t="s">
        <v>3599</v>
      </c>
      <c r="T1214">
        <v>1</v>
      </c>
      <c r="U1214" t="s">
        <v>868</v>
      </c>
      <c r="V1214">
        <v>5</v>
      </c>
      <c r="W1214">
        <v>0</v>
      </c>
      <c r="X1214">
        <v>0</v>
      </c>
    </row>
    <row r="1215" spans="1:24" x14ac:dyDescent="0.3">
      <c r="A1215" t="s">
        <v>2954</v>
      </c>
      <c r="B1215" t="s">
        <v>2955</v>
      </c>
      <c r="C1215">
        <v>1</v>
      </c>
      <c r="D1215" t="s">
        <v>11</v>
      </c>
      <c r="E1215" t="s">
        <v>21</v>
      </c>
      <c r="F1215" t="s">
        <v>22</v>
      </c>
      <c r="H1215" t="s">
        <v>71</v>
      </c>
      <c r="I1215" t="s">
        <v>3617</v>
      </c>
      <c r="J1215" t="s">
        <v>2954</v>
      </c>
      <c r="K1215" t="s">
        <v>868</v>
      </c>
      <c r="L1215" t="s">
        <v>3618</v>
      </c>
      <c r="M1215" t="s">
        <v>2954</v>
      </c>
      <c r="N1215" t="s">
        <v>2955</v>
      </c>
      <c r="Q1215" t="s">
        <v>3599</v>
      </c>
      <c r="R1215" t="s">
        <v>3599</v>
      </c>
      <c r="S1215" t="s">
        <v>3599</v>
      </c>
      <c r="T1215">
        <v>1</v>
      </c>
      <c r="U1215" t="s">
        <v>868</v>
      </c>
      <c r="V1215">
        <v>5</v>
      </c>
      <c r="W1215">
        <v>0</v>
      </c>
      <c r="X1215">
        <v>0</v>
      </c>
    </row>
    <row r="1216" spans="1:24" x14ac:dyDescent="0.3">
      <c r="A1216" t="s">
        <v>2956</v>
      </c>
      <c r="B1216" t="s">
        <v>2957</v>
      </c>
      <c r="C1216">
        <v>1</v>
      </c>
      <c r="D1216" t="s">
        <v>11</v>
      </c>
      <c r="E1216" t="s">
        <v>21</v>
      </c>
      <c r="F1216" t="s">
        <v>22</v>
      </c>
      <c r="H1216" t="s">
        <v>71</v>
      </c>
      <c r="I1216" t="s">
        <v>3617</v>
      </c>
      <c r="J1216" t="s">
        <v>2956</v>
      </c>
      <c r="K1216" t="s">
        <v>868</v>
      </c>
      <c r="L1216" t="s">
        <v>3618</v>
      </c>
      <c r="M1216" t="s">
        <v>2956</v>
      </c>
      <c r="N1216" t="s">
        <v>2957</v>
      </c>
      <c r="Q1216" t="s">
        <v>3599</v>
      </c>
      <c r="R1216" t="s">
        <v>3599</v>
      </c>
      <c r="S1216" t="s">
        <v>3599</v>
      </c>
      <c r="T1216">
        <v>1</v>
      </c>
      <c r="U1216" t="s">
        <v>868</v>
      </c>
      <c r="V1216">
        <v>5</v>
      </c>
      <c r="W1216">
        <v>0</v>
      </c>
      <c r="X1216">
        <v>0</v>
      </c>
    </row>
    <row r="1217" spans="1:24" x14ac:dyDescent="0.3">
      <c r="A1217" t="s">
        <v>2958</v>
      </c>
      <c r="B1217" t="s">
        <v>2959</v>
      </c>
      <c r="C1217">
        <v>1</v>
      </c>
      <c r="D1217" t="s">
        <v>11</v>
      </c>
      <c r="E1217" t="s">
        <v>21</v>
      </c>
      <c r="F1217" t="s">
        <v>22</v>
      </c>
      <c r="H1217" t="s">
        <v>71</v>
      </c>
      <c r="I1217" t="s">
        <v>3617</v>
      </c>
      <c r="J1217" t="s">
        <v>2958</v>
      </c>
      <c r="K1217" t="s">
        <v>868</v>
      </c>
      <c r="L1217" t="s">
        <v>3618</v>
      </c>
      <c r="M1217" t="s">
        <v>2958</v>
      </c>
      <c r="N1217" t="s">
        <v>2959</v>
      </c>
      <c r="Q1217" t="s">
        <v>3599</v>
      </c>
      <c r="R1217" t="s">
        <v>3599</v>
      </c>
      <c r="S1217" t="s">
        <v>3599</v>
      </c>
      <c r="T1217">
        <v>1</v>
      </c>
      <c r="U1217" t="s">
        <v>868</v>
      </c>
      <c r="V1217">
        <v>5</v>
      </c>
      <c r="W1217">
        <v>0</v>
      </c>
      <c r="X1217">
        <v>0</v>
      </c>
    </row>
    <row r="1218" spans="1:24" x14ac:dyDescent="0.3">
      <c r="A1218" t="s">
        <v>2960</v>
      </c>
      <c r="B1218" t="s">
        <v>2961</v>
      </c>
      <c r="C1218">
        <v>1</v>
      </c>
      <c r="D1218" t="s">
        <v>11</v>
      </c>
      <c r="E1218" t="s">
        <v>21</v>
      </c>
      <c r="F1218" t="s">
        <v>22</v>
      </c>
      <c r="H1218" t="s">
        <v>71</v>
      </c>
      <c r="I1218" t="s">
        <v>3617</v>
      </c>
      <c r="J1218" t="s">
        <v>2960</v>
      </c>
      <c r="K1218" t="s">
        <v>868</v>
      </c>
      <c r="L1218" t="s">
        <v>3618</v>
      </c>
      <c r="M1218" t="s">
        <v>2960</v>
      </c>
      <c r="N1218" t="s">
        <v>2961</v>
      </c>
      <c r="Q1218" t="s">
        <v>3599</v>
      </c>
      <c r="R1218" t="s">
        <v>3599</v>
      </c>
      <c r="S1218" t="s">
        <v>3599</v>
      </c>
      <c r="T1218">
        <v>1</v>
      </c>
      <c r="U1218" t="s">
        <v>868</v>
      </c>
      <c r="V1218">
        <v>5</v>
      </c>
      <c r="W1218">
        <v>0</v>
      </c>
      <c r="X1218">
        <v>0</v>
      </c>
    </row>
    <row r="1219" spans="1:24" x14ac:dyDescent="0.3">
      <c r="A1219" t="s">
        <v>2962</v>
      </c>
      <c r="B1219" t="s">
        <v>2963</v>
      </c>
      <c r="C1219">
        <v>1</v>
      </c>
      <c r="D1219" t="s">
        <v>11</v>
      </c>
      <c r="E1219" t="s">
        <v>21</v>
      </c>
      <c r="F1219" t="s">
        <v>22</v>
      </c>
      <c r="H1219" t="s">
        <v>71</v>
      </c>
      <c r="I1219" t="s">
        <v>3617</v>
      </c>
      <c r="J1219" t="s">
        <v>2962</v>
      </c>
      <c r="K1219" t="s">
        <v>868</v>
      </c>
      <c r="L1219" t="s">
        <v>3618</v>
      </c>
      <c r="M1219" t="s">
        <v>2962</v>
      </c>
      <c r="N1219" t="s">
        <v>2963</v>
      </c>
      <c r="Q1219" t="s">
        <v>3599</v>
      </c>
      <c r="R1219" t="s">
        <v>3599</v>
      </c>
      <c r="S1219" t="s">
        <v>3599</v>
      </c>
      <c r="T1219">
        <v>1</v>
      </c>
      <c r="U1219" t="s">
        <v>868</v>
      </c>
      <c r="V1219">
        <v>5</v>
      </c>
      <c r="W1219">
        <v>0</v>
      </c>
      <c r="X1219">
        <v>0</v>
      </c>
    </row>
    <row r="1220" spans="1:24" x14ac:dyDescent="0.3">
      <c r="A1220" t="s">
        <v>2964</v>
      </c>
      <c r="B1220" t="s">
        <v>2965</v>
      </c>
      <c r="C1220">
        <v>1</v>
      </c>
      <c r="D1220" t="s">
        <v>11</v>
      </c>
      <c r="E1220" t="s">
        <v>21</v>
      </c>
      <c r="F1220" t="s">
        <v>22</v>
      </c>
      <c r="H1220" t="s">
        <v>71</v>
      </c>
      <c r="I1220" t="s">
        <v>3617</v>
      </c>
      <c r="J1220" t="s">
        <v>2964</v>
      </c>
      <c r="K1220" t="s">
        <v>868</v>
      </c>
      <c r="L1220" t="s">
        <v>3618</v>
      </c>
      <c r="M1220" t="s">
        <v>2964</v>
      </c>
      <c r="N1220" t="s">
        <v>2965</v>
      </c>
      <c r="Q1220" t="s">
        <v>3599</v>
      </c>
      <c r="R1220" t="s">
        <v>3599</v>
      </c>
      <c r="S1220" t="s">
        <v>3599</v>
      </c>
      <c r="T1220">
        <v>1</v>
      </c>
      <c r="U1220" t="s">
        <v>868</v>
      </c>
      <c r="V1220">
        <v>5</v>
      </c>
      <c r="W1220">
        <v>0</v>
      </c>
      <c r="X1220">
        <v>0</v>
      </c>
    </row>
    <row r="1221" spans="1:24" x14ac:dyDescent="0.3">
      <c r="A1221" t="s">
        <v>2966</v>
      </c>
      <c r="B1221" t="s">
        <v>2967</v>
      </c>
      <c r="C1221">
        <v>1</v>
      </c>
      <c r="D1221" t="s">
        <v>11</v>
      </c>
      <c r="E1221" t="s">
        <v>21</v>
      </c>
      <c r="F1221" t="s">
        <v>22</v>
      </c>
      <c r="H1221" t="s">
        <v>71</v>
      </c>
      <c r="I1221" t="s">
        <v>3617</v>
      </c>
      <c r="J1221" t="s">
        <v>2966</v>
      </c>
      <c r="K1221" t="s">
        <v>868</v>
      </c>
      <c r="L1221" t="s">
        <v>3618</v>
      </c>
      <c r="M1221" t="s">
        <v>2966</v>
      </c>
      <c r="N1221" t="s">
        <v>2967</v>
      </c>
      <c r="Q1221" t="s">
        <v>3599</v>
      </c>
      <c r="R1221" t="s">
        <v>3599</v>
      </c>
      <c r="S1221" t="s">
        <v>3599</v>
      </c>
      <c r="T1221">
        <v>1</v>
      </c>
      <c r="U1221" t="s">
        <v>868</v>
      </c>
      <c r="V1221">
        <v>5</v>
      </c>
      <c r="W1221">
        <v>0</v>
      </c>
      <c r="X1221">
        <v>0</v>
      </c>
    </row>
    <row r="1222" spans="1:24" x14ac:dyDescent="0.3">
      <c r="A1222" t="s">
        <v>2968</v>
      </c>
      <c r="B1222" t="s">
        <v>2969</v>
      </c>
      <c r="C1222">
        <v>1</v>
      </c>
      <c r="D1222" t="s">
        <v>11</v>
      </c>
      <c r="E1222" t="s">
        <v>21</v>
      </c>
      <c r="F1222" t="s">
        <v>22</v>
      </c>
      <c r="H1222" t="s">
        <v>71</v>
      </c>
      <c r="I1222" t="s">
        <v>3617</v>
      </c>
      <c r="J1222" t="s">
        <v>2968</v>
      </c>
      <c r="K1222" t="s">
        <v>868</v>
      </c>
      <c r="L1222" t="s">
        <v>3618</v>
      </c>
      <c r="M1222" t="s">
        <v>2968</v>
      </c>
      <c r="N1222" t="s">
        <v>2969</v>
      </c>
      <c r="Q1222" t="s">
        <v>3599</v>
      </c>
      <c r="R1222" t="s">
        <v>3599</v>
      </c>
      <c r="S1222" t="s">
        <v>3599</v>
      </c>
      <c r="T1222">
        <v>1</v>
      </c>
      <c r="U1222" t="s">
        <v>868</v>
      </c>
      <c r="V1222">
        <v>5</v>
      </c>
      <c r="W1222">
        <v>0</v>
      </c>
      <c r="X1222">
        <v>0</v>
      </c>
    </row>
    <row r="1223" spans="1:24" x14ac:dyDescent="0.3">
      <c r="A1223" t="s">
        <v>2970</v>
      </c>
      <c r="B1223" t="s">
        <v>2971</v>
      </c>
      <c r="C1223">
        <v>1</v>
      </c>
      <c r="D1223" t="s">
        <v>11</v>
      </c>
      <c r="E1223" t="s">
        <v>21</v>
      </c>
      <c r="F1223" t="s">
        <v>22</v>
      </c>
      <c r="H1223" t="s">
        <v>71</v>
      </c>
      <c r="I1223" t="s">
        <v>3617</v>
      </c>
      <c r="J1223" t="s">
        <v>2970</v>
      </c>
      <c r="K1223" t="s">
        <v>868</v>
      </c>
      <c r="L1223" t="s">
        <v>3618</v>
      </c>
      <c r="M1223" t="s">
        <v>2970</v>
      </c>
      <c r="N1223" t="s">
        <v>2971</v>
      </c>
      <c r="Q1223" t="s">
        <v>3599</v>
      </c>
      <c r="R1223" t="s">
        <v>3599</v>
      </c>
      <c r="S1223" t="s">
        <v>3599</v>
      </c>
      <c r="T1223">
        <v>1</v>
      </c>
      <c r="U1223" t="s">
        <v>868</v>
      </c>
      <c r="V1223">
        <v>5</v>
      </c>
      <c r="W1223">
        <v>0</v>
      </c>
      <c r="X1223">
        <v>0</v>
      </c>
    </row>
    <row r="1224" spans="1:24" x14ac:dyDescent="0.3">
      <c r="A1224" t="s">
        <v>2972</v>
      </c>
      <c r="B1224" t="s">
        <v>2973</v>
      </c>
      <c r="C1224">
        <v>1</v>
      </c>
      <c r="D1224" t="s">
        <v>11</v>
      </c>
      <c r="E1224" t="s">
        <v>21</v>
      </c>
      <c r="F1224" t="s">
        <v>22</v>
      </c>
      <c r="H1224" t="s">
        <v>71</v>
      </c>
      <c r="I1224" t="s">
        <v>3617</v>
      </c>
      <c r="J1224" t="s">
        <v>2972</v>
      </c>
      <c r="K1224" t="s">
        <v>868</v>
      </c>
      <c r="L1224" t="s">
        <v>3618</v>
      </c>
      <c r="M1224" t="s">
        <v>2972</v>
      </c>
      <c r="N1224" t="s">
        <v>2973</v>
      </c>
      <c r="Q1224" t="s">
        <v>3599</v>
      </c>
      <c r="R1224" t="s">
        <v>3599</v>
      </c>
      <c r="S1224" t="s">
        <v>3599</v>
      </c>
      <c r="T1224">
        <v>1</v>
      </c>
      <c r="U1224" t="s">
        <v>868</v>
      </c>
      <c r="V1224">
        <v>5</v>
      </c>
      <c r="W1224">
        <v>0</v>
      </c>
      <c r="X1224">
        <v>0</v>
      </c>
    </row>
    <row r="1225" spans="1:24" x14ac:dyDescent="0.3">
      <c r="A1225" t="s">
        <v>2974</v>
      </c>
      <c r="B1225" t="s">
        <v>2975</v>
      </c>
      <c r="C1225">
        <v>1</v>
      </c>
      <c r="D1225" t="s">
        <v>11</v>
      </c>
      <c r="E1225" t="s">
        <v>21</v>
      </c>
      <c r="F1225" t="s">
        <v>22</v>
      </c>
      <c r="H1225" t="s">
        <v>71</v>
      </c>
      <c r="I1225" t="s">
        <v>3617</v>
      </c>
      <c r="J1225" t="s">
        <v>2974</v>
      </c>
      <c r="K1225" t="s">
        <v>868</v>
      </c>
      <c r="L1225" t="s">
        <v>3618</v>
      </c>
      <c r="M1225" t="s">
        <v>2974</v>
      </c>
      <c r="N1225" t="s">
        <v>2975</v>
      </c>
      <c r="Q1225" t="s">
        <v>3599</v>
      </c>
      <c r="R1225" t="s">
        <v>3599</v>
      </c>
      <c r="S1225" t="s">
        <v>3599</v>
      </c>
      <c r="T1225">
        <v>1</v>
      </c>
      <c r="U1225" t="s">
        <v>868</v>
      </c>
      <c r="V1225">
        <v>5</v>
      </c>
      <c r="W1225">
        <v>0</v>
      </c>
      <c r="X1225">
        <v>0</v>
      </c>
    </row>
    <row r="1226" spans="1:24" x14ac:dyDescent="0.3">
      <c r="A1226" t="s">
        <v>2976</v>
      </c>
      <c r="B1226" t="s">
        <v>2977</v>
      </c>
      <c r="C1226">
        <v>1</v>
      </c>
      <c r="D1226" t="s">
        <v>11</v>
      </c>
      <c r="E1226" t="s">
        <v>21</v>
      </c>
      <c r="F1226" t="s">
        <v>22</v>
      </c>
      <c r="H1226" t="s">
        <v>71</v>
      </c>
      <c r="I1226" t="s">
        <v>3617</v>
      </c>
      <c r="J1226" t="s">
        <v>2976</v>
      </c>
      <c r="K1226" t="s">
        <v>868</v>
      </c>
      <c r="L1226" t="s">
        <v>3618</v>
      </c>
      <c r="M1226" t="s">
        <v>2976</v>
      </c>
      <c r="N1226" t="s">
        <v>2977</v>
      </c>
      <c r="Q1226" t="s">
        <v>3599</v>
      </c>
      <c r="R1226" t="s">
        <v>3599</v>
      </c>
      <c r="S1226" t="s">
        <v>3599</v>
      </c>
      <c r="T1226">
        <v>1</v>
      </c>
      <c r="U1226" t="s">
        <v>868</v>
      </c>
      <c r="V1226">
        <v>5</v>
      </c>
      <c r="W1226">
        <v>0</v>
      </c>
      <c r="X1226">
        <v>0</v>
      </c>
    </row>
    <row r="1227" spans="1:24" x14ac:dyDescent="0.3">
      <c r="A1227" t="s">
        <v>2978</v>
      </c>
      <c r="B1227" t="s">
        <v>2979</v>
      </c>
      <c r="C1227">
        <v>1</v>
      </c>
      <c r="D1227" t="s">
        <v>11</v>
      </c>
      <c r="E1227" t="s">
        <v>21</v>
      </c>
      <c r="F1227" t="s">
        <v>22</v>
      </c>
      <c r="H1227" t="s">
        <v>71</v>
      </c>
      <c r="I1227" t="s">
        <v>3617</v>
      </c>
      <c r="J1227" t="s">
        <v>2978</v>
      </c>
      <c r="K1227" t="s">
        <v>868</v>
      </c>
      <c r="L1227" t="s">
        <v>3618</v>
      </c>
      <c r="M1227" t="s">
        <v>2978</v>
      </c>
      <c r="N1227" t="s">
        <v>2979</v>
      </c>
      <c r="Q1227" t="s">
        <v>3599</v>
      </c>
      <c r="R1227" t="s">
        <v>3599</v>
      </c>
      <c r="S1227" t="s">
        <v>3599</v>
      </c>
      <c r="T1227">
        <v>1</v>
      </c>
      <c r="U1227" t="s">
        <v>868</v>
      </c>
      <c r="V1227">
        <v>5</v>
      </c>
      <c r="W1227">
        <v>0</v>
      </c>
      <c r="X1227">
        <v>0</v>
      </c>
    </row>
    <row r="1228" spans="1:24" x14ac:dyDescent="0.3">
      <c r="A1228" t="s">
        <v>2980</v>
      </c>
      <c r="B1228" t="s">
        <v>2981</v>
      </c>
      <c r="C1228">
        <v>1</v>
      </c>
      <c r="D1228" t="s">
        <v>11</v>
      </c>
      <c r="E1228" t="s">
        <v>21</v>
      </c>
      <c r="F1228" t="s">
        <v>22</v>
      </c>
      <c r="H1228" t="s">
        <v>71</v>
      </c>
      <c r="I1228" t="s">
        <v>3617</v>
      </c>
      <c r="J1228" t="s">
        <v>2980</v>
      </c>
      <c r="K1228" t="s">
        <v>868</v>
      </c>
      <c r="L1228" t="s">
        <v>3618</v>
      </c>
      <c r="M1228" t="s">
        <v>2980</v>
      </c>
      <c r="N1228" t="s">
        <v>2981</v>
      </c>
      <c r="Q1228" t="s">
        <v>3599</v>
      </c>
      <c r="R1228" t="s">
        <v>3599</v>
      </c>
      <c r="S1228" t="s">
        <v>3599</v>
      </c>
      <c r="T1228">
        <v>1</v>
      </c>
      <c r="U1228" t="s">
        <v>868</v>
      </c>
      <c r="V1228">
        <v>5</v>
      </c>
      <c r="W1228">
        <v>0</v>
      </c>
      <c r="X1228">
        <v>0</v>
      </c>
    </row>
    <row r="1229" spans="1:24" x14ac:dyDescent="0.3">
      <c r="A1229" t="s">
        <v>2982</v>
      </c>
      <c r="B1229" t="s">
        <v>2983</v>
      </c>
      <c r="C1229">
        <v>1</v>
      </c>
      <c r="D1229" t="s">
        <v>11</v>
      </c>
      <c r="E1229" t="s">
        <v>21</v>
      </c>
      <c r="F1229" t="s">
        <v>22</v>
      </c>
      <c r="H1229" t="s">
        <v>71</v>
      </c>
      <c r="I1229" t="s">
        <v>3617</v>
      </c>
      <c r="J1229" t="s">
        <v>2982</v>
      </c>
      <c r="K1229" t="s">
        <v>868</v>
      </c>
      <c r="L1229" t="s">
        <v>3618</v>
      </c>
      <c r="M1229" t="s">
        <v>2982</v>
      </c>
      <c r="N1229" t="s">
        <v>2983</v>
      </c>
      <c r="Q1229" t="s">
        <v>3599</v>
      </c>
      <c r="R1229" t="s">
        <v>3599</v>
      </c>
      <c r="S1229" t="s">
        <v>3599</v>
      </c>
      <c r="T1229">
        <v>1</v>
      </c>
      <c r="U1229" t="s">
        <v>868</v>
      </c>
      <c r="V1229">
        <v>5</v>
      </c>
      <c r="W1229">
        <v>0</v>
      </c>
      <c r="X1229">
        <v>0</v>
      </c>
    </row>
    <row r="1230" spans="1:24" x14ac:dyDescent="0.3">
      <c r="A1230" t="s">
        <v>2984</v>
      </c>
      <c r="B1230" t="s">
        <v>2985</v>
      </c>
      <c r="C1230">
        <v>1</v>
      </c>
      <c r="D1230" t="s">
        <v>11</v>
      </c>
      <c r="E1230" t="s">
        <v>21</v>
      </c>
      <c r="F1230" t="s">
        <v>22</v>
      </c>
      <c r="H1230" t="s">
        <v>71</v>
      </c>
      <c r="I1230" t="s">
        <v>3617</v>
      </c>
      <c r="J1230" t="s">
        <v>2984</v>
      </c>
      <c r="K1230" t="s">
        <v>868</v>
      </c>
      <c r="L1230" t="s">
        <v>3618</v>
      </c>
      <c r="M1230" t="s">
        <v>2984</v>
      </c>
      <c r="N1230" t="s">
        <v>2985</v>
      </c>
      <c r="Q1230" t="s">
        <v>3599</v>
      </c>
      <c r="R1230" t="s">
        <v>3599</v>
      </c>
      <c r="S1230" t="s">
        <v>3599</v>
      </c>
      <c r="T1230">
        <v>1</v>
      </c>
      <c r="U1230" t="s">
        <v>868</v>
      </c>
      <c r="V1230">
        <v>5</v>
      </c>
      <c r="W1230">
        <v>0</v>
      </c>
      <c r="X1230">
        <v>0</v>
      </c>
    </row>
    <row r="1231" spans="1:24" x14ac:dyDescent="0.3">
      <c r="A1231" t="s">
        <v>2986</v>
      </c>
      <c r="B1231" t="s">
        <v>2987</v>
      </c>
      <c r="C1231">
        <v>1</v>
      </c>
      <c r="D1231" t="s">
        <v>11</v>
      </c>
      <c r="E1231" t="s">
        <v>21</v>
      </c>
      <c r="F1231" t="s">
        <v>22</v>
      </c>
      <c r="H1231" t="s">
        <v>71</v>
      </c>
      <c r="I1231" t="s">
        <v>3617</v>
      </c>
      <c r="J1231" t="s">
        <v>2986</v>
      </c>
      <c r="K1231" t="s">
        <v>868</v>
      </c>
      <c r="L1231" t="s">
        <v>3618</v>
      </c>
      <c r="M1231" t="s">
        <v>2986</v>
      </c>
      <c r="N1231" t="s">
        <v>2987</v>
      </c>
      <c r="Q1231" t="s">
        <v>3599</v>
      </c>
      <c r="R1231" t="s">
        <v>3599</v>
      </c>
      <c r="S1231" t="s">
        <v>3599</v>
      </c>
      <c r="T1231">
        <v>1</v>
      </c>
      <c r="U1231" t="s">
        <v>868</v>
      </c>
      <c r="V1231">
        <v>5</v>
      </c>
      <c r="W1231">
        <v>0</v>
      </c>
      <c r="X1231">
        <v>0</v>
      </c>
    </row>
    <row r="1232" spans="1:24" x14ac:dyDescent="0.3">
      <c r="A1232" t="s">
        <v>2988</v>
      </c>
      <c r="B1232" t="s">
        <v>2989</v>
      </c>
      <c r="C1232">
        <v>1</v>
      </c>
      <c r="D1232" t="s">
        <v>11</v>
      </c>
      <c r="E1232" t="s">
        <v>21</v>
      </c>
      <c r="F1232" t="s">
        <v>22</v>
      </c>
      <c r="H1232" t="s">
        <v>71</v>
      </c>
      <c r="I1232" t="s">
        <v>3617</v>
      </c>
      <c r="J1232" t="s">
        <v>2988</v>
      </c>
      <c r="K1232" t="s">
        <v>868</v>
      </c>
      <c r="L1232" t="s">
        <v>3618</v>
      </c>
      <c r="M1232" t="s">
        <v>2988</v>
      </c>
      <c r="N1232" t="s">
        <v>2989</v>
      </c>
      <c r="Q1232" t="s">
        <v>3599</v>
      </c>
      <c r="R1232" t="s">
        <v>3599</v>
      </c>
      <c r="S1232" t="s">
        <v>3599</v>
      </c>
      <c r="T1232">
        <v>1</v>
      </c>
      <c r="U1232" t="s">
        <v>868</v>
      </c>
      <c r="V1232">
        <v>5</v>
      </c>
      <c r="W1232">
        <v>0</v>
      </c>
      <c r="X1232">
        <v>0</v>
      </c>
    </row>
    <row r="1233" spans="1:24" x14ac:dyDescent="0.3">
      <c r="A1233" t="s">
        <v>2990</v>
      </c>
      <c r="B1233" t="s">
        <v>2991</v>
      </c>
      <c r="C1233">
        <v>1</v>
      </c>
      <c r="D1233" t="s">
        <v>11</v>
      </c>
      <c r="E1233" t="s">
        <v>21</v>
      </c>
      <c r="F1233" t="s">
        <v>22</v>
      </c>
      <c r="H1233" t="s">
        <v>71</v>
      </c>
      <c r="I1233" t="s">
        <v>3617</v>
      </c>
      <c r="J1233" t="s">
        <v>2990</v>
      </c>
      <c r="K1233" t="s">
        <v>868</v>
      </c>
      <c r="L1233" t="s">
        <v>3618</v>
      </c>
      <c r="M1233" t="s">
        <v>2990</v>
      </c>
      <c r="N1233" t="s">
        <v>2991</v>
      </c>
      <c r="Q1233" t="s">
        <v>3599</v>
      </c>
      <c r="R1233" t="s">
        <v>3599</v>
      </c>
      <c r="S1233" t="s">
        <v>3599</v>
      </c>
      <c r="T1233">
        <v>1</v>
      </c>
      <c r="U1233" t="s">
        <v>868</v>
      </c>
      <c r="V1233">
        <v>5</v>
      </c>
      <c r="W1233">
        <v>0</v>
      </c>
      <c r="X1233">
        <v>0</v>
      </c>
    </row>
    <row r="1234" spans="1:24" x14ac:dyDescent="0.3">
      <c r="A1234" t="s">
        <v>2992</v>
      </c>
      <c r="B1234" t="s">
        <v>2993</v>
      </c>
      <c r="C1234">
        <v>1</v>
      </c>
      <c r="D1234" t="s">
        <v>11</v>
      </c>
      <c r="E1234" t="s">
        <v>21</v>
      </c>
      <c r="F1234" t="s">
        <v>22</v>
      </c>
      <c r="H1234" t="s">
        <v>71</v>
      </c>
      <c r="I1234" t="s">
        <v>3617</v>
      </c>
      <c r="J1234" t="s">
        <v>2992</v>
      </c>
      <c r="K1234" t="s">
        <v>868</v>
      </c>
      <c r="L1234" t="s">
        <v>3618</v>
      </c>
      <c r="M1234" t="s">
        <v>2992</v>
      </c>
      <c r="N1234" t="s">
        <v>2993</v>
      </c>
      <c r="Q1234" t="s">
        <v>3599</v>
      </c>
      <c r="R1234" t="s">
        <v>3599</v>
      </c>
      <c r="S1234" t="s">
        <v>3599</v>
      </c>
      <c r="T1234">
        <v>1</v>
      </c>
      <c r="U1234" t="s">
        <v>868</v>
      </c>
      <c r="V1234">
        <v>5</v>
      </c>
      <c r="W1234">
        <v>0</v>
      </c>
      <c r="X1234">
        <v>0</v>
      </c>
    </row>
    <row r="1235" spans="1:24" x14ac:dyDescent="0.3">
      <c r="A1235" t="s">
        <v>2994</v>
      </c>
      <c r="B1235" t="s">
        <v>2995</v>
      </c>
      <c r="C1235">
        <v>1</v>
      </c>
      <c r="D1235" t="s">
        <v>11</v>
      </c>
      <c r="E1235" t="s">
        <v>21</v>
      </c>
      <c r="F1235" t="s">
        <v>22</v>
      </c>
      <c r="H1235" t="s">
        <v>71</v>
      </c>
      <c r="I1235" t="s">
        <v>3617</v>
      </c>
      <c r="J1235" t="s">
        <v>2994</v>
      </c>
      <c r="K1235" t="s">
        <v>868</v>
      </c>
      <c r="L1235" t="s">
        <v>3618</v>
      </c>
      <c r="M1235" t="s">
        <v>2994</v>
      </c>
      <c r="N1235" t="s">
        <v>2995</v>
      </c>
      <c r="Q1235" t="s">
        <v>3599</v>
      </c>
      <c r="R1235" t="s">
        <v>3599</v>
      </c>
      <c r="S1235" t="s">
        <v>3599</v>
      </c>
      <c r="T1235">
        <v>1</v>
      </c>
      <c r="U1235" t="s">
        <v>868</v>
      </c>
      <c r="V1235">
        <v>5</v>
      </c>
      <c r="W1235">
        <v>0</v>
      </c>
      <c r="X1235">
        <v>0</v>
      </c>
    </row>
    <row r="1236" spans="1:24" x14ac:dyDescent="0.3">
      <c r="A1236" t="s">
        <v>2996</v>
      </c>
      <c r="B1236" t="s">
        <v>2997</v>
      </c>
      <c r="C1236">
        <v>1</v>
      </c>
      <c r="D1236" t="s">
        <v>11</v>
      </c>
      <c r="E1236" t="s">
        <v>21</v>
      </c>
      <c r="F1236" t="s">
        <v>22</v>
      </c>
      <c r="H1236" t="s">
        <v>71</v>
      </c>
      <c r="I1236" t="s">
        <v>3617</v>
      </c>
      <c r="J1236" t="s">
        <v>2996</v>
      </c>
      <c r="K1236" t="s">
        <v>868</v>
      </c>
      <c r="L1236" t="s">
        <v>3618</v>
      </c>
      <c r="M1236" t="s">
        <v>2996</v>
      </c>
      <c r="N1236" t="s">
        <v>2997</v>
      </c>
      <c r="Q1236" t="s">
        <v>3599</v>
      </c>
      <c r="R1236" t="s">
        <v>3599</v>
      </c>
      <c r="S1236" t="s">
        <v>3599</v>
      </c>
      <c r="T1236">
        <v>1</v>
      </c>
      <c r="U1236" t="s">
        <v>868</v>
      </c>
      <c r="V1236">
        <v>5</v>
      </c>
      <c r="W1236">
        <v>0</v>
      </c>
      <c r="X1236">
        <v>0</v>
      </c>
    </row>
    <row r="1237" spans="1:24" x14ac:dyDescent="0.3">
      <c r="A1237" t="s">
        <v>2998</v>
      </c>
      <c r="B1237" t="s">
        <v>2999</v>
      </c>
      <c r="C1237">
        <v>1</v>
      </c>
      <c r="D1237" t="s">
        <v>11</v>
      </c>
      <c r="E1237" t="s">
        <v>21</v>
      </c>
      <c r="F1237" t="s">
        <v>22</v>
      </c>
      <c r="H1237" t="s">
        <v>71</v>
      </c>
      <c r="I1237" t="s">
        <v>3617</v>
      </c>
      <c r="J1237" t="s">
        <v>2998</v>
      </c>
      <c r="K1237" t="s">
        <v>868</v>
      </c>
      <c r="L1237" t="s">
        <v>3618</v>
      </c>
      <c r="M1237" t="s">
        <v>2998</v>
      </c>
      <c r="N1237" t="s">
        <v>2999</v>
      </c>
      <c r="Q1237" t="s">
        <v>3599</v>
      </c>
      <c r="R1237" t="s">
        <v>3599</v>
      </c>
      <c r="S1237" t="s">
        <v>3599</v>
      </c>
      <c r="T1237">
        <v>1</v>
      </c>
      <c r="U1237" t="s">
        <v>868</v>
      </c>
      <c r="V1237">
        <v>5</v>
      </c>
      <c r="W1237">
        <v>0</v>
      </c>
      <c r="X1237">
        <v>0</v>
      </c>
    </row>
    <row r="1238" spans="1:24" x14ac:dyDescent="0.3">
      <c r="A1238" t="s">
        <v>3000</v>
      </c>
      <c r="B1238" t="s">
        <v>3001</v>
      </c>
      <c r="C1238">
        <v>1</v>
      </c>
      <c r="D1238" t="s">
        <v>11</v>
      </c>
      <c r="E1238" t="s">
        <v>21</v>
      </c>
      <c r="F1238" t="s">
        <v>22</v>
      </c>
      <c r="H1238" t="s">
        <v>71</v>
      </c>
      <c r="I1238" t="s">
        <v>3617</v>
      </c>
      <c r="J1238" t="s">
        <v>3000</v>
      </c>
      <c r="K1238" t="s">
        <v>868</v>
      </c>
      <c r="L1238" t="s">
        <v>3618</v>
      </c>
      <c r="M1238" t="s">
        <v>3000</v>
      </c>
      <c r="N1238" t="s">
        <v>3001</v>
      </c>
      <c r="Q1238" t="s">
        <v>3599</v>
      </c>
      <c r="R1238" t="s">
        <v>3599</v>
      </c>
      <c r="S1238" t="s">
        <v>3599</v>
      </c>
      <c r="T1238">
        <v>1</v>
      </c>
      <c r="U1238" t="s">
        <v>868</v>
      </c>
      <c r="V1238">
        <v>5</v>
      </c>
      <c r="W1238">
        <v>0</v>
      </c>
      <c r="X1238">
        <v>0</v>
      </c>
    </row>
    <row r="1239" spans="1:24" x14ac:dyDescent="0.3">
      <c r="A1239" t="s">
        <v>3002</v>
      </c>
      <c r="B1239" t="s">
        <v>3003</v>
      </c>
      <c r="C1239">
        <v>1</v>
      </c>
      <c r="D1239" t="s">
        <v>11</v>
      </c>
      <c r="E1239" t="s">
        <v>21</v>
      </c>
      <c r="F1239" t="s">
        <v>22</v>
      </c>
      <c r="H1239" t="s">
        <v>71</v>
      </c>
      <c r="I1239" t="s">
        <v>3617</v>
      </c>
      <c r="J1239" t="s">
        <v>3002</v>
      </c>
      <c r="K1239" t="s">
        <v>868</v>
      </c>
      <c r="L1239" t="s">
        <v>3618</v>
      </c>
      <c r="M1239" t="s">
        <v>3002</v>
      </c>
      <c r="N1239" t="s">
        <v>3003</v>
      </c>
      <c r="Q1239" t="s">
        <v>3599</v>
      </c>
      <c r="R1239" t="s">
        <v>3599</v>
      </c>
      <c r="S1239" t="s">
        <v>3599</v>
      </c>
      <c r="T1239">
        <v>1</v>
      </c>
      <c r="U1239" t="s">
        <v>868</v>
      </c>
      <c r="V1239">
        <v>5</v>
      </c>
      <c r="W1239">
        <v>0</v>
      </c>
      <c r="X1239">
        <v>0</v>
      </c>
    </row>
    <row r="1240" spans="1:24" x14ac:dyDescent="0.3">
      <c r="A1240" t="s">
        <v>3004</v>
      </c>
      <c r="B1240" t="s">
        <v>3005</v>
      </c>
      <c r="C1240">
        <v>1</v>
      </c>
      <c r="D1240" t="s">
        <v>11</v>
      </c>
      <c r="E1240" t="s">
        <v>21</v>
      </c>
      <c r="F1240" t="s">
        <v>22</v>
      </c>
      <c r="H1240" t="s">
        <v>71</v>
      </c>
      <c r="I1240" t="s">
        <v>3617</v>
      </c>
      <c r="J1240" t="s">
        <v>3004</v>
      </c>
      <c r="K1240" t="s">
        <v>868</v>
      </c>
      <c r="L1240" t="s">
        <v>3618</v>
      </c>
      <c r="M1240" t="s">
        <v>3004</v>
      </c>
      <c r="N1240" t="s">
        <v>3005</v>
      </c>
      <c r="Q1240" t="s">
        <v>3599</v>
      </c>
      <c r="R1240" t="s">
        <v>3599</v>
      </c>
      <c r="S1240" t="s">
        <v>3599</v>
      </c>
      <c r="T1240">
        <v>1</v>
      </c>
      <c r="U1240" t="s">
        <v>868</v>
      </c>
      <c r="V1240">
        <v>5</v>
      </c>
      <c r="W1240">
        <v>0</v>
      </c>
      <c r="X1240">
        <v>0</v>
      </c>
    </row>
    <row r="1241" spans="1:24" x14ac:dyDescent="0.3">
      <c r="A1241" t="s">
        <v>3006</v>
      </c>
      <c r="B1241" t="s">
        <v>3007</v>
      </c>
      <c r="C1241">
        <v>1</v>
      </c>
      <c r="D1241" t="s">
        <v>11</v>
      </c>
      <c r="E1241" t="s">
        <v>21</v>
      </c>
      <c r="F1241" t="s">
        <v>22</v>
      </c>
      <c r="H1241" t="s">
        <v>71</v>
      </c>
      <c r="I1241" t="s">
        <v>3617</v>
      </c>
      <c r="J1241" t="s">
        <v>3006</v>
      </c>
      <c r="K1241" t="s">
        <v>868</v>
      </c>
      <c r="L1241" t="s">
        <v>3618</v>
      </c>
      <c r="M1241" t="s">
        <v>3006</v>
      </c>
      <c r="N1241" t="s">
        <v>3007</v>
      </c>
      <c r="Q1241" t="s">
        <v>3599</v>
      </c>
      <c r="R1241" t="s">
        <v>3599</v>
      </c>
      <c r="S1241" t="s">
        <v>3599</v>
      </c>
      <c r="T1241">
        <v>1</v>
      </c>
      <c r="U1241" t="s">
        <v>868</v>
      </c>
      <c r="V1241">
        <v>5</v>
      </c>
      <c r="W1241">
        <v>0</v>
      </c>
      <c r="X1241">
        <v>0</v>
      </c>
    </row>
    <row r="1242" spans="1:24" x14ac:dyDescent="0.3">
      <c r="A1242" t="s">
        <v>3008</v>
      </c>
      <c r="B1242" t="s">
        <v>3009</v>
      </c>
      <c r="C1242">
        <v>1</v>
      </c>
      <c r="D1242" t="s">
        <v>11</v>
      </c>
      <c r="E1242" t="s">
        <v>21</v>
      </c>
      <c r="F1242" t="s">
        <v>22</v>
      </c>
      <c r="H1242" t="s">
        <v>71</v>
      </c>
      <c r="I1242" t="s">
        <v>3617</v>
      </c>
      <c r="J1242" t="s">
        <v>3008</v>
      </c>
      <c r="K1242" t="s">
        <v>868</v>
      </c>
      <c r="L1242" t="s">
        <v>3618</v>
      </c>
      <c r="M1242" t="s">
        <v>3008</v>
      </c>
      <c r="N1242" t="s">
        <v>3009</v>
      </c>
      <c r="O1242" t="s">
        <v>3010</v>
      </c>
      <c r="Q1242" t="s">
        <v>3599</v>
      </c>
      <c r="R1242" t="s">
        <v>3599</v>
      </c>
      <c r="S1242" t="s">
        <v>3599</v>
      </c>
      <c r="T1242">
        <v>1</v>
      </c>
      <c r="U1242" t="s">
        <v>868</v>
      </c>
      <c r="V1242">
        <v>5</v>
      </c>
      <c r="W1242">
        <v>0</v>
      </c>
      <c r="X1242">
        <v>0</v>
      </c>
    </row>
    <row r="1243" spans="1:24" x14ac:dyDescent="0.3">
      <c r="A1243" t="s">
        <v>3011</v>
      </c>
      <c r="B1243" t="s">
        <v>3012</v>
      </c>
      <c r="C1243">
        <v>1</v>
      </c>
      <c r="D1243" t="s">
        <v>11</v>
      </c>
      <c r="E1243" t="s">
        <v>21</v>
      </c>
      <c r="F1243" t="s">
        <v>22</v>
      </c>
      <c r="H1243" t="s">
        <v>71</v>
      </c>
      <c r="I1243" t="s">
        <v>3617</v>
      </c>
      <c r="J1243" t="s">
        <v>3011</v>
      </c>
      <c r="K1243" t="s">
        <v>868</v>
      </c>
      <c r="L1243" t="s">
        <v>3618</v>
      </c>
      <c r="M1243" t="s">
        <v>3011</v>
      </c>
      <c r="N1243" t="s">
        <v>3012</v>
      </c>
      <c r="Q1243" t="s">
        <v>3599</v>
      </c>
      <c r="R1243" t="s">
        <v>3599</v>
      </c>
      <c r="S1243" t="s">
        <v>3599</v>
      </c>
      <c r="T1243">
        <v>1</v>
      </c>
      <c r="U1243" t="s">
        <v>868</v>
      </c>
      <c r="V1243">
        <v>5</v>
      </c>
      <c r="W1243">
        <v>0</v>
      </c>
      <c r="X1243">
        <v>0</v>
      </c>
    </row>
    <row r="1244" spans="1:24" x14ac:dyDescent="0.3">
      <c r="A1244" t="s">
        <v>3013</v>
      </c>
      <c r="B1244" t="s">
        <v>3014</v>
      </c>
      <c r="C1244">
        <v>1</v>
      </c>
      <c r="D1244" t="s">
        <v>11</v>
      </c>
      <c r="E1244" t="s">
        <v>21</v>
      </c>
      <c r="F1244" t="s">
        <v>22</v>
      </c>
      <c r="H1244" t="s">
        <v>71</v>
      </c>
      <c r="I1244" t="s">
        <v>3617</v>
      </c>
      <c r="J1244" t="s">
        <v>3013</v>
      </c>
      <c r="K1244" t="s">
        <v>868</v>
      </c>
      <c r="L1244" t="s">
        <v>3618</v>
      </c>
      <c r="M1244" t="s">
        <v>3013</v>
      </c>
      <c r="N1244" t="s">
        <v>3014</v>
      </c>
      <c r="Q1244" t="s">
        <v>3599</v>
      </c>
      <c r="R1244" t="s">
        <v>3599</v>
      </c>
      <c r="S1244" t="s">
        <v>3599</v>
      </c>
      <c r="T1244">
        <v>1</v>
      </c>
      <c r="U1244" t="s">
        <v>868</v>
      </c>
      <c r="V1244">
        <v>5</v>
      </c>
      <c r="W1244">
        <v>0</v>
      </c>
      <c r="X1244">
        <v>0</v>
      </c>
    </row>
    <row r="1245" spans="1:24" x14ac:dyDescent="0.3">
      <c r="A1245" t="s">
        <v>3015</v>
      </c>
      <c r="B1245" t="s">
        <v>3016</v>
      </c>
      <c r="C1245">
        <v>1</v>
      </c>
      <c r="D1245" t="s">
        <v>11</v>
      </c>
      <c r="E1245" t="s">
        <v>21</v>
      </c>
      <c r="F1245" t="s">
        <v>22</v>
      </c>
      <c r="H1245" t="s">
        <v>71</v>
      </c>
      <c r="I1245" t="s">
        <v>3617</v>
      </c>
      <c r="J1245" t="s">
        <v>3015</v>
      </c>
      <c r="K1245" t="s">
        <v>868</v>
      </c>
      <c r="L1245" t="s">
        <v>3618</v>
      </c>
      <c r="M1245" t="s">
        <v>3015</v>
      </c>
      <c r="N1245" t="s">
        <v>3016</v>
      </c>
      <c r="Q1245" t="s">
        <v>3599</v>
      </c>
      <c r="R1245" t="s">
        <v>3599</v>
      </c>
      <c r="S1245" t="s">
        <v>3599</v>
      </c>
      <c r="T1245">
        <v>1</v>
      </c>
      <c r="U1245" t="s">
        <v>868</v>
      </c>
      <c r="V1245">
        <v>5</v>
      </c>
      <c r="W1245">
        <v>0</v>
      </c>
      <c r="X1245">
        <v>0</v>
      </c>
    </row>
    <row r="1246" spans="1:24" x14ac:dyDescent="0.3">
      <c r="A1246" t="s">
        <v>3017</v>
      </c>
      <c r="B1246" t="s">
        <v>3018</v>
      </c>
      <c r="C1246">
        <v>1</v>
      </c>
      <c r="D1246" t="s">
        <v>11</v>
      </c>
      <c r="E1246" t="s">
        <v>21</v>
      </c>
      <c r="F1246" t="s">
        <v>22</v>
      </c>
      <c r="H1246" t="s">
        <v>71</v>
      </c>
      <c r="I1246" t="s">
        <v>3617</v>
      </c>
      <c r="J1246" t="s">
        <v>3017</v>
      </c>
      <c r="K1246" t="s">
        <v>868</v>
      </c>
      <c r="L1246" t="s">
        <v>3618</v>
      </c>
      <c r="M1246" t="s">
        <v>3017</v>
      </c>
      <c r="N1246" t="s">
        <v>3018</v>
      </c>
      <c r="Q1246" t="s">
        <v>3599</v>
      </c>
      <c r="R1246" t="s">
        <v>3599</v>
      </c>
      <c r="S1246" t="s">
        <v>3599</v>
      </c>
      <c r="T1246">
        <v>1</v>
      </c>
      <c r="U1246" t="s">
        <v>868</v>
      </c>
      <c r="V1246">
        <v>5</v>
      </c>
      <c r="W1246">
        <v>0</v>
      </c>
      <c r="X1246">
        <v>0</v>
      </c>
    </row>
    <row r="1247" spans="1:24" x14ac:dyDescent="0.3">
      <c r="A1247" t="s">
        <v>3019</v>
      </c>
      <c r="B1247" t="s">
        <v>3020</v>
      </c>
      <c r="C1247">
        <v>1</v>
      </c>
      <c r="D1247" t="s">
        <v>11</v>
      </c>
      <c r="E1247" t="s">
        <v>21</v>
      </c>
      <c r="F1247" t="s">
        <v>22</v>
      </c>
      <c r="H1247" t="s">
        <v>71</v>
      </c>
      <c r="I1247" t="s">
        <v>3617</v>
      </c>
      <c r="J1247" t="s">
        <v>3019</v>
      </c>
      <c r="K1247" t="s">
        <v>868</v>
      </c>
      <c r="L1247" t="s">
        <v>3618</v>
      </c>
      <c r="M1247" t="s">
        <v>3019</v>
      </c>
      <c r="N1247" t="s">
        <v>3020</v>
      </c>
      <c r="Q1247" t="s">
        <v>3599</v>
      </c>
      <c r="R1247" t="s">
        <v>3599</v>
      </c>
      <c r="S1247" t="s">
        <v>3599</v>
      </c>
      <c r="T1247">
        <v>1</v>
      </c>
      <c r="U1247" t="s">
        <v>868</v>
      </c>
      <c r="V1247">
        <v>5</v>
      </c>
      <c r="W1247">
        <v>0</v>
      </c>
      <c r="X1247">
        <v>0</v>
      </c>
    </row>
    <row r="1248" spans="1:24" x14ac:dyDescent="0.3">
      <c r="A1248" t="s">
        <v>3021</v>
      </c>
      <c r="B1248" t="s">
        <v>3022</v>
      </c>
      <c r="C1248">
        <v>1</v>
      </c>
      <c r="D1248" t="s">
        <v>11</v>
      </c>
      <c r="E1248" t="s">
        <v>21</v>
      </c>
      <c r="F1248" t="s">
        <v>22</v>
      </c>
      <c r="H1248" t="s">
        <v>71</v>
      </c>
      <c r="I1248" t="s">
        <v>3617</v>
      </c>
      <c r="J1248" t="s">
        <v>3021</v>
      </c>
      <c r="K1248" t="s">
        <v>868</v>
      </c>
      <c r="L1248" t="s">
        <v>3618</v>
      </c>
      <c r="M1248" t="s">
        <v>3021</v>
      </c>
      <c r="N1248" t="s">
        <v>3022</v>
      </c>
      <c r="Q1248" t="s">
        <v>3599</v>
      </c>
      <c r="R1248" t="s">
        <v>3599</v>
      </c>
      <c r="S1248" t="s">
        <v>3599</v>
      </c>
      <c r="T1248">
        <v>1</v>
      </c>
      <c r="U1248" t="s">
        <v>868</v>
      </c>
      <c r="V1248">
        <v>5</v>
      </c>
      <c r="W1248">
        <v>0</v>
      </c>
      <c r="X1248">
        <v>0</v>
      </c>
    </row>
    <row r="1249" spans="1:24" x14ac:dyDescent="0.3">
      <c r="A1249" t="s">
        <v>3023</v>
      </c>
      <c r="B1249" t="s">
        <v>3024</v>
      </c>
      <c r="C1249">
        <v>1</v>
      </c>
      <c r="D1249" t="s">
        <v>11</v>
      </c>
      <c r="E1249" t="s">
        <v>21</v>
      </c>
      <c r="F1249" t="s">
        <v>22</v>
      </c>
      <c r="H1249" t="s">
        <v>71</v>
      </c>
      <c r="I1249" t="s">
        <v>3617</v>
      </c>
      <c r="J1249" t="s">
        <v>3023</v>
      </c>
      <c r="K1249" t="s">
        <v>868</v>
      </c>
      <c r="L1249" t="s">
        <v>3618</v>
      </c>
      <c r="M1249" t="s">
        <v>3023</v>
      </c>
      <c r="N1249" t="s">
        <v>3024</v>
      </c>
      <c r="Q1249" t="s">
        <v>3599</v>
      </c>
      <c r="R1249" t="s">
        <v>3599</v>
      </c>
      <c r="S1249" t="s">
        <v>3599</v>
      </c>
      <c r="T1249">
        <v>1</v>
      </c>
      <c r="U1249" t="s">
        <v>868</v>
      </c>
      <c r="V1249">
        <v>5</v>
      </c>
      <c r="W1249">
        <v>0</v>
      </c>
      <c r="X1249">
        <v>0</v>
      </c>
    </row>
    <row r="1250" spans="1:24" x14ac:dyDescent="0.3">
      <c r="A1250" t="s">
        <v>3025</v>
      </c>
      <c r="B1250" t="s">
        <v>3026</v>
      </c>
      <c r="C1250">
        <v>1</v>
      </c>
      <c r="D1250" t="s">
        <v>11</v>
      </c>
      <c r="E1250" t="s">
        <v>21</v>
      </c>
      <c r="F1250" t="s">
        <v>22</v>
      </c>
      <c r="H1250" t="s">
        <v>71</v>
      </c>
      <c r="I1250" t="s">
        <v>3617</v>
      </c>
      <c r="J1250" t="s">
        <v>3025</v>
      </c>
      <c r="K1250" t="s">
        <v>868</v>
      </c>
      <c r="L1250" t="s">
        <v>3618</v>
      </c>
      <c r="M1250" t="s">
        <v>3025</v>
      </c>
      <c r="N1250" t="s">
        <v>3026</v>
      </c>
      <c r="Q1250" t="s">
        <v>3599</v>
      </c>
      <c r="R1250" t="s">
        <v>3599</v>
      </c>
      <c r="S1250" t="s">
        <v>3599</v>
      </c>
      <c r="T1250">
        <v>1</v>
      </c>
      <c r="U1250" t="s">
        <v>868</v>
      </c>
      <c r="V1250">
        <v>5</v>
      </c>
      <c r="W1250">
        <v>0</v>
      </c>
      <c r="X1250">
        <v>0</v>
      </c>
    </row>
    <row r="1251" spans="1:24" x14ac:dyDescent="0.3">
      <c r="A1251" t="s">
        <v>3027</v>
      </c>
      <c r="B1251" t="s">
        <v>3028</v>
      </c>
      <c r="C1251">
        <v>1</v>
      </c>
      <c r="D1251" t="s">
        <v>11</v>
      </c>
      <c r="E1251" t="s">
        <v>21</v>
      </c>
      <c r="F1251" t="s">
        <v>22</v>
      </c>
      <c r="H1251" t="s">
        <v>71</v>
      </c>
      <c r="I1251" t="s">
        <v>3617</v>
      </c>
      <c r="J1251" t="s">
        <v>3027</v>
      </c>
      <c r="K1251" t="s">
        <v>868</v>
      </c>
      <c r="L1251" t="s">
        <v>3618</v>
      </c>
      <c r="M1251" t="s">
        <v>3027</v>
      </c>
      <c r="N1251" t="s">
        <v>3028</v>
      </c>
      <c r="Q1251" t="s">
        <v>3599</v>
      </c>
      <c r="R1251" t="s">
        <v>3599</v>
      </c>
      <c r="S1251" t="s">
        <v>3599</v>
      </c>
      <c r="T1251">
        <v>1</v>
      </c>
      <c r="U1251" t="s">
        <v>868</v>
      </c>
      <c r="V1251">
        <v>5</v>
      </c>
      <c r="W1251">
        <v>0</v>
      </c>
      <c r="X1251">
        <v>0</v>
      </c>
    </row>
    <row r="1252" spans="1:24" x14ac:dyDescent="0.3">
      <c r="A1252" t="s">
        <v>3029</v>
      </c>
      <c r="B1252" t="s">
        <v>3030</v>
      </c>
      <c r="C1252">
        <v>1</v>
      </c>
      <c r="D1252" t="s">
        <v>11</v>
      </c>
      <c r="E1252" t="s">
        <v>21</v>
      </c>
      <c r="F1252" t="s">
        <v>22</v>
      </c>
      <c r="H1252" t="s">
        <v>71</v>
      </c>
      <c r="I1252" t="s">
        <v>3617</v>
      </c>
      <c r="J1252" t="s">
        <v>3029</v>
      </c>
      <c r="K1252" t="s">
        <v>868</v>
      </c>
      <c r="L1252" t="s">
        <v>3618</v>
      </c>
      <c r="M1252" t="s">
        <v>3029</v>
      </c>
      <c r="N1252" t="s">
        <v>3030</v>
      </c>
      <c r="Q1252" t="s">
        <v>3599</v>
      </c>
      <c r="R1252" t="s">
        <v>3599</v>
      </c>
      <c r="S1252" t="s">
        <v>3599</v>
      </c>
      <c r="T1252">
        <v>1</v>
      </c>
      <c r="U1252" t="s">
        <v>868</v>
      </c>
      <c r="V1252">
        <v>5</v>
      </c>
      <c r="W1252">
        <v>0</v>
      </c>
      <c r="X1252">
        <v>0</v>
      </c>
    </row>
    <row r="1253" spans="1:24" x14ac:dyDescent="0.3">
      <c r="A1253" t="s">
        <v>3031</v>
      </c>
      <c r="B1253" t="s">
        <v>3032</v>
      </c>
      <c r="C1253">
        <v>1</v>
      </c>
      <c r="D1253" t="s">
        <v>11</v>
      </c>
      <c r="E1253" t="s">
        <v>21</v>
      </c>
      <c r="F1253" t="s">
        <v>22</v>
      </c>
      <c r="H1253" t="s">
        <v>71</v>
      </c>
      <c r="I1253" t="s">
        <v>3617</v>
      </c>
      <c r="J1253" t="s">
        <v>3031</v>
      </c>
      <c r="K1253" t="s">
        <v>868</v>
      </c>
      <c r="L1253" t="s">
        <v>3618</v>
      </c>
      <c r="M1253" t="s">
        <v>3031</v>
      </c>
      <c r="N1253" t="s">
        <v>3032</v>
      </c>
      <c r="Q1253" t="s">
        <v>3599</v>
      </c>
      <c r="R1253" t="s">
        <v>3599</v>
      </c>
      <c r="S1253" t="s">
        <v>3599</v>
      </c>
      <c r="T1253">
        <v>1</v>
      </c>
      <c r="U1253" t="s">
        <v>868</v>
      </c>
      <c r="V1253">
        <v>5</v>
      </c>
      <c r="W1253">
        <v>0</v>
      </c>
      <c r="X1253">
        <v>0</v>
      </c>
    </row>
    <row r="1254" spans="1:24" x14ac:dyDescent="0.3">
      <c r="A1254" t="s">
        <v>3033</v>
      </c>
      <c r="B1254" t="s">
        <v>3034</v>
      </c>
      <c r="C1254">
        <v>1</v>
      </c>
      <c r="D1254" t="s">
        <v>11</v>
      </c>
      <c r="E1254" t="s">
        <v>21</v>
      </c>
      <c r="F1254" t="s">
        <v>22</v>
      </c>
      <c r="H1254" t="s">
        <v>71</v>
      </c>
      <c r="I1254" t="s">
        <v>3617</v>
      </c>
      <c r="J1254" t="s">
        <v>3033</v>
      </c>
      <c r="K1254" t="s">
        <v>868</v>
      </c>
      <c r="L1254" t="s">
        <v>3618</v>
      </c>
      <c r="M1254" t="s">
        <v>3033</v>
      </c>
      <c r="N1254" t="s">
        <v>3034</v>
      </c>
      <c r="Q1254" t="s">
        <v>3599</v>
      </c>
      <c r="R1254" t="s">
        <v>3599</v>
      </c>
      <c r="S1254" t="s">
        <v>3599</v>
      </c>
      <c r="T1254">
        <v>1</v>
      </c>
      <c r="U1254" t="s">
        <v>868</v>
      </c>
      <c r="V1254">
        <v>5</v>
      </c>
      <c r="W1254">
        <v>0</v>
      </c>
      <c r="X1254">
        <v>0</v>
      </c>
    </row>
    <row r="1255" spans="1:24" x14ac:dyDescent="0.3">
      <c r="A1255" t="s">
        <v>3035</v>
      </c>
      <c r="B1255" t="s">
        <v>3036</v>
      </c>
      <c r="C1255">
        <v>1</v>
      </c>
      <c r="D1255" t="s">
        <v>11</v>
      </c>
      <c r="E1255" t="s">
        <v>21</v>
      </c>
      <c r="F1255" t="s">
        <v>22</v>
      </c>
      <c r="H1255" t="s">
        <v>71</v>
      </c>
      <c r="I1255" t="s">
        <v>3617</v>
      </c>
      <c r="J1255" t="s">
        <v>3035</v>
      </c>
      <c r="K1255" t="s">
        <v>868</v>
      </c>
      <c r="L1255" t="s">
        <v>3618</v>
      </c>
      <c r="M1255" t="s">
        <v>3035</v>
      </c>
      <c r="N1255" t="s">
        <v>3036</v>
      </c>
      <c r="Q1255" t="s">
        <v>3599</v>
      </c>
      <c r="R1255" t="s">
        <v>3599</v>
      </c>
      <c r="S1255" t="s">
        <v>3599</v>
      </c>
      <c r="T1255">
        <v>1</v>
      </c>
      <c r="U1255" t="s">
        <v>868</v>
      </c>
      <c r="V1255">
        <v>5</v>
      </c>
      <c r="W1255">
        <v>0</v>
      </c>
      <c r="X1255">
        <v>0</v>
      </c>
    </row>
    <row r="1256" spans="1:24" x14ac:dyDescent="0.3">
      <c r="A1256" t="s">
        <v>3037</v>
      </c>
      <c r="B1256" t="s">
        <v>3038</v>
      </c>
      <c r="C1256">
        <v>1</v>
      </c>
      <c r="D1256" t="s">
        <v>11</v>
      </c>
      <c r="E1256" t="s">
        <v>21</v>
      </c>
      <c r="F1256" t="s">
        <v>22</v>
      </c>
      <c r="H1256" t="s">
        <v>71</v>
      </c>
      <c r="I1256" t="s">
        <v>3617</v>
      </c>
      <c r="J1256" t="s">
        <v>3037</v>
      </c>
      <c r="K1256" t="s">
        <v>868</v>
      </c>
      <c r="L1256" t="s">
        <v>3618</v>
      </c>
      <c r="M1256" t="s">
        <v>3037</v>
      </c>
      <c r="N1256" t="s">
        <v>3038</v>
      </c>
      <c r="Q1256" t="s">
        <v>3599</v>
      </c>
      <c r="R1256" t="s">
        <v>3599</v>
      </c>
      <c r="S1256" t="s">
        <v>3599</v>
      </c>
      <c r="T1256">
        <v>1</v>
      </c>
      <c r="U1256" t="s">
        <v>868</v>
      </c>
      <c r="V1256">
        <v>5</v>
      </c>
      <c r="W1256">
        <v>0</v>
      </c>
      <c r="X1256">
        <v>0</v>
      </c>
    </row>
    <row r="1257" spans="1:24" x14ac:dyDescent="0.3">
      <c r="A1257" t="s">
        <v>3039</v>
      </c>
      <c r="B1257" t="s">
        <v>3040</v>
      </c>
      <c r="C1257">
        <v>1</v>
      </c>
      <c r="D1257" t="s">
        <v>11</v>
      </c>
      <c r="E1257" t="s">
        <v>21</v>
      </c>
      <c r="F1257" t="s">
        <v>22</v>
      </c>
      <c r="H1257" t="s">
        <v>71</v>
      </c>
      <c r="I1257" t="s">
        <v>3617</v>
      </c>
      <c r="J1257" t="s">
        <v>3039</v>
      </c>
      <c r="K1257" t="s">
        <v>868</v>
      </c>
      <c r="L1257" t="s">
        <v>3618</v>
      </c>
      <c r="M1257" t="s">
        <v>3039</v>
      </c>
      <c r="N1257" t="s">
        <v>3040</v>
      </c>
      <c r="Q1257" t="s">
        <v>3599</v>
      </c>
      <c r="R1257" t="s">
        <v>3599</v>
      </c>
      <c r="S1257" t="s">
        <v>3599</v>
      </c>
      <c r="T1257">
        <v>1</v>
      </c>
      <c r="U1257" t="s">
        <v>868</v>
      </c>
      <c r="V1257">
        <v>5</v>
      </c>
      <c r="W1257">
        <v>0</v>
      </c>
      <c r="X1257">
        <v>0</v>
      </c>
    </row>
    <row r="1258" spans="1:24" x14ac:dyDescent="0.3">
      <c r="A1258" t="s">
        <v>3041</v>
      </c>
      <c r="B1258" t="s">
        <v>3042</v>
      </c>
      <c r="C1258">
        <v>1</v>
      </c>
      <c r="D1258" t="s">
        <v>11</v>
      </c>
      <c r="E1258" t="s">
        <v>21</v>
      </c>
      <c r="F1258" t="s">
        <v>22</v>
      </c>
      <c r="H1258" t="s">
        <v>71</v>
      </c>
      <c r="I1258" t="s">
        <v>3617</v>
      </c>
      <c r="J1258" t="s">
        <v>3041</v>
      </c>
      <c r="K1258" t="s">
        <v>868</v>
      </c>
      <c r="L1258" t="s">
        <v>3618</v>
      </c>
      <c r="M1258" t="s">
        <v>3041</v>
      </c>
      <c r="N1258" t="s">
        <v>3042</v>
      </c>
      <c r="Q1258" t="s">
        <v>3599</v>
      </c>
      <c r="R1258" t="s">
        <v>3599</v>
      </c>
      <c r="S1258" t="s">
        <v>3599</v>
      </c>
      <c r="T1258">
        <v>1</v>
      </c>
      <c r="U1258" t="s">
        <v>868</v>
      </c>
      <c r="V1258">
        <v>5</v>
      </c>
      <c r="W1258">
        <v>0</v>
      </c>
      <c r="X1258">
        <v>0</v>
      </c>
    </row>
    <row r="1259" spans="1:24" x14ac:dyDescent="0.3">
      <c r="A1259" t="s">
        <v>3043</v>
      </c>
      <c r="B1259" t="s">
        <v>3044</v>
      </c>
      <c r="C1259">
        <v>1</v>
      </c>
      <c r="D1259" t="s">
        <v>11</v>
      </c>
      <c r="E1259" t="s">
        <v>21</v>
      </c>
      <c r="F1259" t="s">
        <v>22</v>
      </c>
      <c r="H1259" t="s">
        <v>71</v>
      </c>
      <c r="I1259" t="s">
        <v>3617</v>
      </c>
      <c r="J1259" t="s">
        <v>3043</v>
      </c>
      <c r="K1259" t="s">
        <v>868</v>
      </c>
      <c r="L1259" t="s">
        <v>3618</v>
      </c>
      <c r="M1259" t="s">
        <v>3043</v>
      </c>
      <c r="N1259" t="s">
        <v>3044</v>
      </c>
      <c r="Q1259" t="s">
        <v>3599</v>
      </c>
      <c r="R1259" t="s">
        <v>3599</v>
      </c>
      <c r="S1259" t="s">
        <v>3599</v>
      </c>
      <c r="T1259">
        <v>1</v>
      </c>
      <c r="U1259" t="s">
        <v>868</v>
      </c>
      <c r="V1259">
        <v>5</v>
      </c>
      <c r="W1259">
        <v>0</v>
      </c>
      <c r="X1259">
        <v>0</v>
      </c>
    </row>
    <row r="1260" spans="1:24" x14ac:dyDescent="0.3">
      <c r="A1260" t="s">
        <v>3045</v>
      </c>
      <c r="B1260" t="s">
        <v>3046</v>
      </c>
      <c r="C1260">
        <v>1</v>
      </c>
      <c r="D1260" t="s">
        <v>11</v>
      </c>
      <c r="E1260" t="s">
        <v>21</v>
      </c>
      <c r="F1260" t="s">
        <v>22</v>
      </c>
      <c r="H1260" t="s">
        <v>71</v>
      </c>
      <c r="I1260" t="s">
        <v>3617</v>
      </c>
      <c r="J1260" t="s">
        <v>3045</v>
      </c>
      <c r="K1260" t="s">
        <v>868</v>
      </c>
      <c r="L1260" t="s">
        <v>3618</v>
      </c>
      <c r="M1260" t="s">
        <v>3045</v>
      </c>
      <c r="N1260" t="s">
        <v>3046</v>
      </c>
      <c r="Q1260" t="s">
        <v>3599</v>
      </c>
      <c r="R1260" t="s">
        <v>3599</v>
      </c>
      <c r="S1260" t="s">
        <v>3599</v>
      </c>
      <c r="T1260">
        <v>1</v>
      </c>
      <c r="U1260" t="s">
        <v>868</v>
      </c>
      <c r="V1260">
        <v>5</v>
      </c>
      <c r="W1260">
        <v>0</v>
      </c>
      <c r="X1260">
        <v>0</v>
      </c>
    </row>
    <row r="1261" spans="1:24" x14ac:dyDescent="0.3">
      <c r="A1261" t="s">
        <v>3047</v>
      </c>
      <c r="B1261" t="s">
        <v>3048</v>
      </c>
      <c r="C1261">
        <v>1</v>
      </c>
      <c r="D1261" t="s">
        <v>11</v>
      </c>
      <c r="E1261" t="s">
        <v>21</v>
      </c>
      <c r="F1261" t="s">
        <v>22</v>
      </c>
      <c r="H1261" t="s">
        <v>71</v>
      </c>
      <c r="I1261" t="s">
        <v>3617</v>
      </c>
      <c r="J1261" t="s">
        <v>3047</v>
      </c>
      <c r="K1261" t="s">
        <v>868</v>
      </c>
      <c r="L1261" t="s">
        <v>3618</v>
      </c>
      <c r="M1261" t="s">
        <v>3047</v>
      </c>
      <c r="N1261" t="s">
        <v>3048</v>
      </c>
      <c r="Q1261" t="s">
        <v>3599</v>
      </c>
      <c r="R1261" t="s">
        <v>3599</v>
      </c>
      <c r="S1261" t="s">
        <v>3599</v>
      </c>
      <c r="T1261">
        <v>1</v>
      </c>
      <c r="U1261" t="s">
        <v>868</v>
      </c>
      <c r="V1261">
        <v>5</v>
      </c>
      <c r="W1261">
        <v>0</v>
      </c>
      <c r="X1261">
        <v>0</v>
      </c>
    </row>
    <row r="1262" spans="1:24" x14ac:dyDescent="0.3">
      <c r="A1262" t="s">
        <v>3049</v>
      </c>
      <c r="B1262" t="s">
        <v>3050</v>
      </c>
      <c r="C1262">
        <v>1</v>
      </c>
      <c r="D1262" t="s">
        <v>11</v>
      </c>
      <c r="E1262" t="s">
        <v>21</v>
      </c>
      <c r="F1262" t="s">
        <v>22</v>
      </c>
      <c r="H1262" t="s">
        <v>71</v>
      </c>
      <c r="I1262" t="s">
        <v>3617</v>
      </c>
      <c r="J1262" t="s">
        <v>3049</v>
      </c>
      <c r="K1262" t="s">
        <v>868</v>
      </c>
      <c r="L1262" t="s">
        <v>3618</v>
      </c>
      <c r="M1262" t="s">
        <v>3049</v>
      </c>
      <c r="N1262" t="s">
        <v>3050</v>
      </c>
      <c r="Q1262" t="s">
        <v>3599</v>
      </c>
      <c r="R1262" t="s">
        <v>3599</v>
      </c>
      <c r="S1262" t="s">
        <v>3599</v>
      </c>
      <c r="T1262">
        <v>1</v>
      </c>
      <c r="U1262" t="s">
        <v>868</v>
      </c>
      <c r="V1262">
        <v>5</v>
      </c>
      <c r="W1262">
        <v>0</v>
      </c>
      <c r="X1262">
        <v>0</v>
      </c>
    </row>
    <row r="1263" spans="1:24" x14ac:dyDescent="0.3">
      <c r="A1263" t="s">
        <v>3051</v>
      </c>
      <c r="B1263" t="s">
        <v>3052</v>
      </c>
      <c r="C1263">
        <v>1</v>
      </c>
      <c r="D1263" t="s">
        <v>11</v>
      </c>
      <c r="E1263" t="s">
        <v>21</v>
      </c>
      <c r="F1263" t="s">
        <v>22</v>
      </c>
      <c r="H1263" t="s">
        <v>71</v>
      </c>
      <c r="I1263" t="s">
        <v>3617</v>
      </c>
      <c r="J1263" t="s">
        <v>3051</v>
      </c>
      <c r="K1263" t="s">
        <v>868</v>
      </c>
      <c r="L1263" t="s">
        <v>3618</v>
      </c>
      <c r="M1263" t="s">
        <v>3051</v>
      </c>
      <c r="N1263" t="s">
        <v>3052</v>
      </c>
      <c r="Q1263" t="s">
        <v>3599</v>
      </c>
      <c r="R1263" t="s">
        <v>3599</v>
      </c>
      <c r="S1263" t="s">
        <v>3599</v>
      </c>
      <c r="T1263">
        <v>1</v>
      </c>
      <c r="U1263" t="s">
        <v>868</v>
      </c>
      <c r="V1263">
        <v>5</v>
      </c>
      <c r="W1263">
        <v>0</v>
      </c>
      <c r="X1263">
        <v>0</v>
      </c>
    </row>
    <row r="1264" spans="1:24" x14ac:dyDescent="0.3">
      <c r="A1264" t="s">
        <v>3053</v>
      </c>
      <c r="B1264" t="s">
        <v>3054</v>
      </c>
      <c r="C1264">
        <v>1</v>
      </c>
      <c r="D1264" t="s">
        <v>11</v>
      </c>
      <c r="E1264" t="s">
        <v>21</v>
      </c>
      <c r="F1264" t="s">
        <v>22</v>
      </c>
      <c r="H1264" t="s">
        <v>71</v>
      </c>
      <c r="I1264" t="s">
        <v>3617</v>
      </c>
      <c r="J1264" t="s">
        <v>3053</v>
      </c>
      <c r="K1264" t="s">
        <v>868</v>
      </c>
      <c r="L1264" t="s">
        <v>3618</v>
      </c>
      <c r="M1264" t="s">
        <v>3053</v>
      </c>
      <c r="N1264" t="s">
        <v>3054</v>
      </c>
      <c r="Q1264" t="s">
        <v>3599</v>
      </c>
      <c r="R1264" t="s">
        <v>3599</v>
      </c>
      <c r="S1264" t="s">
        <v>3599</v>
      </c>
      <c r="T1264">
        <v>1</v>
      </c>
      <c r="U1264" t="s">
        <v>868</v>
      </c>
      <c r="V1264">
        <v>5</v>
      </c>
      <c r="W1264">
        <v>0</v>
      </c>
      <c r="X1264">
        <v>0</v>
      </c>
    </row>
    <row r="1265" spans="1:24" x14ac:dyDescent="0.3">
      <c r="A1265" t="s">
        <v>3055</v>
      </c>
      <c r="B1265" t="s">
        <v>3056</v>
      </c>
      <c r="C1265">
        <v>1</v>
      </c>
      <c r="D1265" t="s">
        <v>11</v>
      </c>
      <c r="E1265" t="s">
        <v>21</v>
      </c>
      <c r="F1265" t="s">
        <v>22</v>
      </c>
      <c r="H1265" t="s">
        <v>71</v>
      </c>
      <c r="I1265" t="s">
        <v>3617</v>
      </c>
      <c r="J1265" t="s">
        <v>3055</v>
      </c>
      <c r="K1265" t="s">
        <v>868</v>
      </c>
      <c r="L1265" t="s">
        <v>3618</v>
      </c>
      <c r="M1265" t="s">
        <v>3055</v>
      </c>
      <c r="N1265" t="s">
        <v>3056</v>
      </c>
      <c r="Q1265" t="s">
        <v>3599</v>
      </c>
      <c r="R1265" t="s">
        <v>3599</v>
      </c>
      <c r="S1265" t="s">
        <v>3599</v>
      </c>
      <c r="T1265">
        <v>1</v>
      </c>
      <c r="U1265" t="s">
        <v>868</v>
      </c>
      <c r="V1265">
        <v>5</v>
      </c>
      <c r="W1265">
        <v>0</v>
      </c>
      <c r="X1265">
        <v>0</v>
      </c>
    </row>
    <row r="1266" spans="1:24" x14ac:dyDescent="0.3">
      <c r="A1266" t="s">
        <v>3057</v>
      </c>
      <c r="B1266" t="s">
        <v>3058</v>
      </c>
      <c r="C1266">
        <v>1</v>
      </c>
      <c r="D1266" t="s">
        <v>11</v>
      </c>
      <c r="E1266" t="s">
        <v>21</v>
      </c>
      <c r="F1266" t="s">
        <v>22</v>
      </c>
      <c r="H1266" t="s">
        <v>71</v>
      </c>
      <c r="I1266" t="s">
        <v>3617</v>
      </c>
      <c r="J1266" t="s">
        <v>3057</v>
      </c>
      <c r="K1266" t="s">
        <v>868</v>
      </c>
      <c r="L1266" t="s">
        <v>3618</v>
      </c>
      <c r="M1266" t="s">
        <v>3057</v>
      </c>
      <c r="N1266" t="s">
        <v>3058</v>
      </c>
      <c r="Q1266" t="s">
        <v>3599</v>
      </c>
      <c r="R1266" t="s">
        <v>3599</v>
      </c>
      <c r="S1266" t="s">
        <v>3599</v>
      </c>
      <c r="T1266">
        <v>1</v>
      </c>
      <c r="U1266" t="s">
        <v>868</v>
      </c>
      <c r="V1266">
        <v>5</v>
      </c>
      <c r="W1266">
        <v>0</v>
      </c>
      <c r="X1266">
        <v>0</v>
      </c>
    </row>
    <row r="1267" spans="1:24" x14ac:dyDescent="0.3">
      <c r="A1267" t="s">
        <v>3059</v>
      </c>
      <c r="B1267" t="s">
        <v>3060</v>
      </c>
      <c r="C1267">
        <v>1</v>
      </c>
      <c r="D1267" t="s">
        <v>11</v>
      </c>
      <c r="E1267" t="s">
        <v>21</v>
      </c>
      <c r="F1267" t="s">
        <v>22</v>
      </c>
      <c r="H1267" t="s">
        <v>71</v>
      </c>
      <c r="I1267" t="s">
        <v>3617</v>
      </c>
      <c r="J1267" t="s">
        <v>3059</v>
      </c>
      <c r="K1267" t="s">
        <v>868</v>
      </c>
      <c r="L1267" t="s">
        <v>3618</v>
      </c>
      <c r="M1267" t="s">
        <v>3059</v>
      </c>
      <c r="N1267" t="s">
        <v>3060</v>
      </c>
      <c r="Q1267" t="s">
        <v>3599</v>
      </c>
      <c r="R1267" t="s">
        <v>3599</v>
      </c>
      <c r="S1267" t="s">
        <v>3599</v>
      </c>
      <c r="T1267">
        <v>1</v>
      </c>
      <c r="U1267" t="s">
        <v>868</v>
      </c>
      <c r="V1267">
        <v>5</v>
      </c>
      <c r="W1267">
        <v>0</v>
      </c>
      <c r="X1267">
        <v>0</v>
      </c>
    </row>
    <row r="1268" spans="1:24" x14ac:dyDescent="0.3">
      <c r="A1268" t="s">
        <v>3061</v>
      </c>
      <c r="B1268" t="s">
        <v>3062</v>
      </c>
      <c r="C1268">
        <v>1</v>
      </c>
      <c r="D1268" t="s">
        <v>11</v>
      </c>
      <c r="E1268" t="s">
        <v>21</v>
      </c>
      <c r="F1268" t="s">
        <v>22</v>
      </c>
      <c r="H1268" t="s">
        <v>71</v>
      </c>
      <c r="I1268" t="s">
        <v>3617</v>
      </c>
      <c r="J1268" t="s">
        <v>3061</v>
      </c>
      <c r="K1268" t="s">
        <v>868</v>
      </c>
      <c r="L1268" t="s">
        <v>3618</v>
      </c>
      <c r="M1268" t="s">
        <v>3061</v>
      </c>
      <c r="N1268" t="s">
        <v>3062</v>
      </c>
      <c r="O1268" t="s">
        <v>1409</v>
      </c>
      <c r="Q1268" t="s">
        <v>3599</v>
      </c>
      <c r="R1268" t="s">
        <v>3599</v>
      </c>
      <c r="S1268" t="s">
        <v>3599</v>
      </c>
      <c r="T1268">
        <v>1</v>
      </c>
      <c r="U1268" t="s">
        <v>868</v>
      </c>
      <c r="V1268">
        <v>5</v>
      </c>
      <c r="W1268">
        <v>0</v>
      </c>
      <c r="X1268">
        <v>0</v>
      </c>
    </row>
    <row r="1269" spans="1:24" x14ac:dyDescent="0.3">
      <c r="A1269" t="s">
        <v>3063</v>
      </c>
      <c r="B1269" t="s">
        <v>3064</v>
      </c>
      <c r="C1269">
        <v>1</v>
      </c>
      <c r="D1269" t="s">
        <v>11</v>
      </c>
      <c r="E1269" t="s">
        <v>21</v>
      </c>
      <c r="F1269" t="s">
        <v>22</v>
      </c>
      <c r="H1269" t="s">
        <v>71</v>
      </c>
      <c r="I1269" t="s">
        <v>3617</v>
      </c>
      <c r="J1269" t="s">
        <v>3063</v>
      </c>
      <c r="K1269" t="s">
        <v>868</v>
      </c>
      <c r="L1269" t="s">
        <v>3618</v>
      </c>
      <c r="M1269" t="s">
        <v>3063</v>
      </c>
      <c r="N1269" t="s">
        <v>3064</v>
      </c>
      <c r="Q1269" t="s">
        <v>3599</v>
      </c>
      <c r="R1269" t="s">
        <v>3599</v>
      </c>
      <c r="S1269" t="s">
        <v>3599</v>
      </c>
      <c r="T1269">
        <v>1</v>
      </c>
      <c r="U1269" t="s">
        <v>868</v>
      </c>
      <c r="V1269">
        <v>5</v>
      </c>
      <c r="W1269">
        <v>0</v>
      </c>
      <c r="X1269">
        <v>0</v>
      </c>
    </row>
    <row r="1270" spans="1:24" x14ac:dyDescent="0.3">
      <c r="A1270" t="s">
        <v>3065</v>
      </c>
      <c r="B1270" t="s">
        <v>3066</v>
      </c>
      <c r="C1270">
        <v>1</v>
      </c>
      <c r="D1270" t="s">
        <v>11</v>
      </c>
      <c r="E1270" t="s">
        <v>21</v>
      </c>
      <c r="F1270" t="s">
        <v>22</v>
      </c>
      <c r="H1270" t="s">
        <v>71</v>
      </c>
      <c r="I1270" t="s">
        <v>3617</v>
      </c>
      <c r="J1270" t="s">
        <v>3065</v>
      </c>
      <c r="K1270" t="s">
        <v>868</v>
      </c>
      <c r="L1270" t="s">
        <v>3618</v>
      </c>
      <c r="M1270" t="s">
        <v>3065</v>
      </c>
      <c r="N1270" t="s">
        <v>3066</v>
      </c>
      <c r="O1270" t="s">
        <v>3067</v>
      </c>
      <c r="Q1270" t="s">
        <v>3599</v>
      </c>
      <c r="R1270" t="s">
        <v>3599</v>
      </c>
      <c r="S1270" t="s">
        <v>3599</v>
      </c>
      <c r="T1270">
        <v>1</v>
      </c>
      <c r="U1270" t="s">
        <v>868</v>
      </c>
      <c r="V1270">
        <v>5</v>
      </c>
      <c r="W1270">
        <v>0</v>
      </c>
      <c r="X1270">
        <v>0</v>
      </c>
    </row>
    <row r="1271" spans="1:24" x14ac:dyDescent="0.3">
      <c r="A1271" t="s">
        <v>3068</v>
      </c>
      <c r="B1271" t="s">
        <v>3069</v>
      </c>
      <c r="C1271">
        <v>1</v>
      </c>
      <c r="D1271" t="s">
        <v>11</v>
      </c>
      <c r="E1271" t="s">
        <v>21</v>
      </c>
      <c r="F1271" t="s">
        <v>22</v>
      </c>
      <c r="H1271" t="s">
        <v>71</v>
      </c>
      <c r="I1271" t="s">
        <v>3617</v>
      </c>
      <c r="J1271" t="s">
        <v>3068</v>
      </c>
      <c r="K1271" t="s">
        <v>868</v>
      </c>
      <c r="L1271" t="s">
        <v>3618</v>
      </c>
      <c r="M1271" t="s">
        <v>3068</v>
      </c>
      <c r="N1271" t="s">
        <v>3069</v>
      </c>
      <c r="Q1271" t="s">
        <v>3599</v>
      </c>
      <c r="R1271" t="s">
        <v>3599</v>
      </c>
      <c r="S1271" t="s">
        <v>3599</v>
      </c>
      <c r="T1271">
        <v>1</v>
      </c>
      <c r="U1271" t="s">
        <v>868</v>
      </c>
      <c r="V1271">
        <v>5</v>
      </c>
      <c r="W1271">
        <v>0</v>
      </c>
      <c r="X1271">
        <v>0</v>
      </c>
    </row>
    <row r="1272" spans="1:24" x14ac:dyDescent="0.3">
      <c r="A1272" t="s">
        <v>3070</v>
      </c>
      <c r="B1272" t="s">
        <v>3071</v>
      </c>
      <c r="C1272">
        <v>1</v>
      </c>
      <c r="D1272" t="s">
        <v>11</v>
      </c>
      <c r="E1272" t="s">
        <v>21</v>
      </c>
      <c r="F1272" t="s">
        <v>22</v>
      </c>
      <c r="H1272" t="s">
        <v>71</v>
      </c>
      <c r="I1272" t="s">
        <v>3617</v>
      </c>
      <c r="J1272" t="s">
        <v>3070</v>
      </c>
      <c r="K1272" t="s">
        <v>868</v>
      </c>
      <c r="L1272" t="s">
        <v>3618</v>
      </c>
      <c r="M1272" t="s">
        <v>3070</v>
      </c>
      <c r="N1272" t="s">
        <v>3071</v>
      </c>
      <c r="Q1272" t="s">
        <v>3599</v>
      </c>
      <c r="R1272" t="s">
        <v>3599</v>
      </c>
      <c r="S1272" t="s">
        <v>3599</v>
      </c>
      <c r="T1272">
        <v>1</v>
      </c>
      <c r="U1272" t="s">
        <v>868</v>
      </c>
      <c r="V1272">
        <v>5</v>
      </c>
      <c r="W1272">
        <v>0</v>
      </c>
      <c r="X1272">
        <v>0</v>
      </c>
    </row>
    <row r="1273" spans="1:24" x14ac:dyDescent="0.3">
      <c r="A1273" t="s">
        <v>3072</v>
      </c>
      <c r="B1273" t="s">
        <v>3073</v>
      </c>
      <c r="C1273">
        <v>1</v>
      </c>
      <c r="D1273" t="s">
        <v>11</v>
      </c>
      <c r="E1273" t="s">
        <v>21</v>
      </c>
      <c r="F1273" t="s">
        <v>22</v>
      </c>
      <c r="H1273" t="s">
        <v>71</v>
      </c>
      <c r="I1273" t="s">
        <v>3617</v>
      </c>
      <c r="J1273" t="s">
        <v>3072</v>
      </c>
      <c r="K1273" t="s">
        <v>868</v>
      </c>
      <c r="L1273" t="s">
        <v>3618</v>
      </c>
      <c r="M1273" t="s">
        <v>3072</v>
      </c>
      <c r="N1273" t="s">
        <v>3073</v>
      </c>
      <c r="Q1273" t="s">
        <v>3599</v>
      </c>
      <c r="R1273" t="s">
        <v>3599</v>
      </c>
      <c r="S1273" t="s">
        <v>3599</v>
      </c>
      <c r="T1273">
        <v>1</v>
      </c>
      <c r="U1273" t="s">
        <v>868</v>
      </c>
      <c r="V1273">
        <v>5</v>
      </c>
      <c r="W1273">
        <v>0</v>
      </c>
      <c r="X1273">
        <v>0</v>
      </c>
    </row>
    <row r="1274" spans="1:24" x14ac:dyDescent="0.3">
      <c r="A1274" t="s">
        <v>3074</v>
      </c>
      <c r="B1274" t="s">
        <v>3075</v>
      </c>
      <c r="C1274">
        <v>1</v>
      </c>
      <c r="D1274" t="s">
        <v>11</v>
      </c>
      <c r="E1274" t="s">
        <v>21</v>
      </c>
      <c r="F1274" t="s">
        <v>22</v>
      </c>
      <c r="H1274" t="s">
        <v>71</v>
      </c>
      <c r="I1274" t="s">
        <v>3617</v>
      </c>
      <c r="J1274" t="s">
        <v>3074</v>
      </c>
      <c r="K1274" t="s">
        <v>868</v>
      </c>
      <c r="L1274" t="s">
        <v>3618</v>
      </c>
      <c r="M1274" t="s">
        <v>3074</v>
      </c>
      <c r="N1274" t="s">
        <v>3075</v>
      </c>
      <c r="Q1274" t="s">
        <v>3599</v>
      </c>
      <c r="R1274" t="s">
        <v>3599</v>
      </c>
      <c r="S1274" t="s">
        <v>3599</v>
      </c>
      <c r="T1274">
        <v>1</v>
      </c>
      <c r="U1274" t="s">
        <v>868</v>
      </c>
      <c r="V1274">
        <v>5</v>
      </c>
      <c r="W1274">
        <v>0</v>
      </c>
      <c r="X1274">
        <v>0</v>
      </c>
    </row>
    <row r="1275" spans="1:24" x14ac:dyDescent="0.3">
      <c r="A1275" t="s">
        <v>3076</v>
      </c>
      <c r="B1275" t="s">
        <v>3077</v>
      </c>
      <c r="C1275">
        <v>1</v>
      </c>
      <c r="D1275" t="s">
        <v>11</v>
      </c>
      <c r="E1275" t="s">
        <v>21</v>
      </c>
      <c r="F1275" t="s">
        <v>22</v>
      </c>
      <c r="H1275" t="s">
        <v>71</v>
      </c>
      <c r="I1275" t="s">
        <v>3617</v>
      </c>
      <c r="J1275" t="s">
        <v>3076</v>
      </c>
      <c r="K1275" t="s">
        <v>868</v>
      </c>
      <c r="L1275" t="s">
        <v>3618</v>
      </c>
      <c r="M1275" t="s">
        <v>3076</v>
      </c>
      <c r="N1275" t="s">
        <v>3077</v>
      </c>
      <c r="Q1275" t="s">
        <v>3599</v>
      </c>
      <c r="R1275" t="s">
        <v>3599</v>
      </c>
      <c r="S1275" t="s">
        <v>3599</v>
      </c>
      <c r="T1275">
        <v>1</v>
      </c>
      <c r="U1275" t="s">
        <v>868</v>
      </c>
      <c r="V1275">
        <v>5</v>
      </c>
      <c r="W1275">
        <v>0</v>
      </c>
      <c r="X1275">
        <v>0</v>
      </c>
    </row>
    <row r="1276" spans="1:24" x14ac:dyDescent="0.3">
      <c r="A1276" t="s">
        <v>3078</v>
      </c>
      <c r="B1276" t="s">
        <v>3079</v>
      </c>
      <c r="C1276">
        <v>1</v>
      </c>
      <c r="D1276" t="s">
        <v>11</v>
      </c>
      <c r="E1276" t="s">
        <v>21</v>
      </c>
      <c r="F1276" t="s">
        <v>22</v>
      </c>
      <c r="H1276" t="s">
        <v>71</v>
      </c>
      <c r="I1276" t="s">
        <v>3617</v>
      </c>
      <c r="J1276" t="s">
        <v>3078</v>
      </c>
      <c r="K1276" t="s">
        <v>868</v>
      </c>
      <c r="L1276" t="s">
        <v>3618</v>
      </c>
      <c r="M1276" t="s">
        <v>3078</v>
      </c>
      <c r="N1276" t="s">
        <v>3079</v>
      </c>
      <c r="Q1276" t="s">
        <v>3599</v>
      </c>
      <c r="R1276" t="s">
        <v>3599</v>
      </c>
      <c r="S1276" t="s">
        <v>3599</v>
      </c>
      <c r="T1276">
        <v>1</v>
      </c>
      <c r="U1276" t="s">
        <v>868</v>
      </c>
      <c r="V1276">
        <v>5</v>
      </c>
      <c r="W1276">
        <v>0</v>
      </c>
      <c r="X1276">
        <v>0</v>
      </c>
    </row>
    <row r="1277" spans="1:24" x14ac:dyDescent="0.3">
      <c r="A1277" t="s">
        <v>3080</v>
      </c>
      <c r="B1277" t="s">
        <v>3081</v>
      </c>
      <c r="C1277">
        <v>1</v>
      </c>
      <c r="D1277" t="s">
        <v>11</v>
      </c>
      <c r="E1277" t="s">
        <v>21</v>
      </c>
      <c r="F1277" t="s">
        <v>22</v>
      </c>
      <c r="H1277" t="s">
        <v>71</v>
      </c>
      <c r="I1277" t="s">
        <v>3617</v>
      </c>
      <c r="K1277" t="s">
        <v>868</v>
      </c>
      <c r="L1277" t="s">
        <v>3618</v>
      </c>
      <c r="N1277" t="s">
        <v>3081</v>
      </c>
      <c r="Q1277" t="s">
        <v>3599</v>
      </c>
      <c r="R1277" t="s">
        <v>3599</v>
      </c>
      <c r="S1277" t="s">
        <v>3599</v>
      </c>
      <c r="T1277">
        <v>1</v>
      </c>
      <c r="U1277" t="s">
        <v>868</v>
      </c>
      <c r="V1277">
        <v>5</v>
      </c>
      <c r="W1277">
        <v>0</v>
      </c>
      <c r="X1277">
        <v>0</v>
      </c>
    </row>
    <row r="1278" spans="1:24" x14ac:dyDescent="0.3">
      <c r="A1278" t="s">
        <v>3082</v>
      </c>
      <c r="B1278" t="s">
        <v>3083</v>
      </c>
      <c r="C1278">
        <v>1</v>
      </c>
      <c r="D1278" t="s">
        <v>11</v>
      </c>
      <c r="E1278" t="s">
        <v>21</v>
      </c>
      <c r="F1278" t="s">
        <v>22</v>
      </c>
      <c r="H1278" t="s">
        <v>71</v>
      </c>
      <c r="I1278" t="s">
        <v>3617</v>
      </c>
      <c r="J1278" t="s">
        <v>3082</v>
      </c>
      <c r="K1278" t="s">
        <v>868</v>
      </c>
      <c r="L1278" t="s">
        <v>3618</v>
      </c>
      <c r="M1278" t="s">
        <v>3082</v>
      </c>
      <c r="N1278" t="s">
        <v>3083</v>
      </c>
      <c r="Q1278" t="s">
        <v>3599</v>
      </c>
      <c r="R1278" t="s">
        <v>3599</v>
      </c>
      <c r="S1278" t="s">
        <v>3599</v>
      </c>
      <c r="T1278">
        <v>1</v>
      </c>
      <c r="U1278" t="s">
        <v>868</v>
      </c>
      <c r="V1278">
        <v>5</v>
      </c>
      <c r="W1278">
        <v>0</v>
      </c>
      <c r="X1278">
        <v>0</v>
      </c>
    </row>
    <row r="1279" spans="1:24" x14ac:dyDescent="0.3">
      <c r="A1279" t="s">
        <v>3084</v>
      </c>
      <c r="B1279" t="s">
        <v>3085</v>
      </c>
      <c r="C1279">
        <v>1</v>
      </c>
      <c r="D1279" t="s">
        <v>11</v>
      </c>
      <c r="E1279" t="s">
        <v>21</v>
      </c>
      <c r="F1279" t="s">
        <v>22</v>
      </c>
      <c r="H1279" t="s">
        <v>71</v>
      </c>
      <c r="I1279" t="s">
        <v>3617</v>
      </c>
      <c r="J1279" t="s">
        <v>3084</v>
      </c>
      <c r="K1279" t="s">
        <v>868</v>
      </c>
      <c r="L1279" t="s">
        <v>3618</v>
      </c>
      <c r="M1279" t="s">
        <v>3084</v>
      </c>
      <c r="N1279" t="s">
        <v>3085</v>
      </c>
      <c r="Q1279" t="s">
        <v>3599</v>
      </c>
      <c r="R1279" t="s">
        <v>3599</v>
      </c>
      <c r="S1279" t="s">
        <v>3599</v>
      </c>
      <c r="T1279">
        <v>1</v>
      </c>
      <c r="U1279" t="s">
        <v>868</v>
      </c>
      <c r="V1279">
        <v>5</v>
      </c>
      <c r="W1279">
        <v>0</v>
      </c>
      <c r="X1279">
        <v>0</v>
      </c>
    </row>
    <row r="1280" spans="1:24" x14ac:dyDescent="0.3">
      <c r="A1280" t="s">
        <v>3086</v>
      </c>
      <c r="B1280" t="s">
        <v>3087</v>
      </c>
      <c r="C1280">
        <v>1</v>
      </c>
      <c r="D1280" t="s">
        <v>11</v>
      </c>
      <c r="E1280" t="s">
        <v>21</v>
      </c>
      <c r="F1280" t="s">
        <v>22</v>
      </c>
      <c r="H1280" t="s">
        <v>71</v>
      </c>
      <c r="I1280" t="s">
        <v>3617</v>
      </c>
      <c r="J1280" t="s">
        <v>3086</v>
      </c>
      <c r="K1280" t="s">
        <v>868</v>
      </c>
      <c r="L1280" t="s">
        <v>3618</v>
      </c>
      <c r="M1280" t="s">
        <v>3086</v>
      </c>
      <c r="N1280" t="s">
        <v>3087</v>
      </c>
      <c r="Q1280" t="s">
        <v>3599</v>
      </c>
      <c r="R1280" t="s">
        <v>3599</v>
      </c>
      <c r="S1280" t="s">
        <v>3599</v>
      </c>
      <c r="T1280">
        <v>1</v>
      </c>
      <c r="U1280" t="s">
        <v>868</v>
      </c>
      <c r="V1280">
        <v>5</v>
      </c>
      <c r="W1280">
        <v>0</v>
      </c>
      <c r="X1280">
        <v>0</v>
      </c>
    </row>
    <row r="1281" spans="1:24" x14ac:dyDescent="0.3">
      <c r="A1281" t="s">
        <v>3088</v>
      </c>
      <c r="B1281" t="s">
        <v>3089</v>
      </c>
      <c r="C1281">
        <v>1</v>
      </c>
      <c r="D1281" t="s">
        <v>11</v>
      </c>
      <c r="E1281" t="s">
        <v>21</v>
      </c>
      <c r="F1281" t="s">
        <v>22</v>
      </c>
      <c r="H1281" t="s">
        <v>71</v>
      </c>
      <c r="I1281" t="s">
        <v>3617</v>
      </c>
      <c r="J1281" t="s">
        <v>3088</v>
      </c>
      <c r="K1281" t="s">
        <v>868</v>
      </c>
      <c r="L1281" t="s">
        <v>3618</v>
      </c>
      <c r="M1281" t="s">
        <v>3088</v>
      </c>
      <c r="N1281" t="s">
        <v>3089</v>
      </c>
      <c r="Q1281" t="s">
        <v>3599</v>
      </c>
      <c r="R1281" t="s">
        <v>3599</v>
      </c>
      <c r="S1281" t="s">
        <v>3599</v>
      </c>
      <c r="T1281">
        <v>1</v>
      </c>
      <c r="U1281" t="s">
        <v>868</v>
      </c>
      <c r="V1281">
        <v>5</v>
      </c>
      <c r="W1281">
        <v>0</v>
      </c>
      <c r="X1281">
        <v>0</v>
      </c>
    </row>
    <row r="1282" spans="1:24" x14ac:dyDescent="0.3">
      <c r="A1282" t="s">
        <v>3090</v>
      </c>
      <c r="B1282" t="s">
        <v>3091</v>
      </c>
      <c r="C1282">
        <v>1</v>
      </c>
      <c r="D1282" t="s">
        <v>11</v>
      </c>
      <c r="E1282" t="s">
        <v>21</v>
      </c>
      <c r="F1282" t="s">
        <v>22</v>
      </c>
      <c r="H1282" t="s">
        <v>71</v>
      </c>
      <c r="I1282" t="s">
        <v>3617</v>
      </c>
      <c r="J1282" t="s">
        <v>3090</v>
      </c>
      <c r="K1282" t="s">
        <v>868</v>
      </c>
      <c r="L1282" t="s">
        <v>3618</v>
      </c>
      <c r="M1282" t="s">
        <v>3090</v>
      </c>
      <c r="N1282" t="s">
        <v>3091</v>
      </c>
      <c r="Q1282" t="s">
        <v>3599</v>
      </c>
      <c r="R1282" t="s">
        <v>3599</v>
      </c>
      <c r="S1282" t="s">
        <v>3599</v>
      </c>
      <c r="T1282">
        <v>1</v>
      </c>
      <c r="U1282" t="s">
        <v>868</v>
      </c>
      <c r="V1282">
        <v>5</v>
      </c>
      <c r="W1282">
        <v>0</v>
      </c>
      <c r="X1282">
        <v>0</v>
      </c>
    </row>
    <row r="1283" spans="1:24" x14ac:dyDescent="0.3">
      <c r="A1283" t="s">
        <v>3092</v>
      </c>
      <c r="B1283" t="s">
        <v>3093</v>
      </c>
      <c r="C1283">
        <v>1</v>
      </c>
      <c r="D1283" t="s">
        <v>11</v>
      </c>
      <c r="E1283" t="s">
        <v>21</v>
      </c>
      <c r="F1283" t="s">
        <v>22</v>
      </c>
      <c r="H1283" t="s">
        <v>71</v>
      </c>
      <c r="I1283" t="s">
        <v>3617</v>
      </c>
      <c r="J1283" t="s">
        <v>3092</v>
      </c>
      <c r="K1283" t="s">
        <v>868</v>
      </c>
      <c r="L1283" t="s">
        <v>3618</v>
      </c>
      <c r="M1283" t="s">
        <v>3092</v>
      </c>
      <c r="N1283" t="s">
        <v>3093</v>
      </c>
      <c r="Q1283" t="s">
        <v>3599</v>
      </c>
      <c r="R1283" t="s">
        <v>3599</v>
      </c>
      <c r="S1283" t="s">
        <v>3599</v>
      </c>
      <c r="T1283">
        <v>1</v>
      </c>
      <c r="U1283" t="s">
        <v>868</v>
      </c>
      <c r="V1283">
        <v>5</v>
      </c>
      <c r="W1283">
        <v>0</v>
      </c>
      <c r="X1283">
        <v>0</v>
      </c>
    </row>
    <row r="1284" spans="1:24" x14ac:dyDescent="0.3">
      <c r="A1284" t="s">
        <v>3094</v>
      </c>
      <c r="B1284" t="s">
        <v>3095</v>
      </c>
      <c r="C1284">
        <v>1</v>
      </c>
      <c r="D1284" t="s">
        <v>11</v>
      </c>
      <c r="E1284" t="s">
        <v>21</v>
      </c>
      <c r="F1284" t="s">
        <v>22</v>
      </c>
      <c r="H1284" t="s">
        <v>71</v>
      </c>
      <c r="I1284" t="s">
        <v>3617</v>
      </c>
      <c r="J1284" t="s">
        <v>3094</v>
      </c>
      <c r="K1284" t="s">
        <v>868</v>
      </c>
      <c r="L1284" t="s">
        <v>3618</v>
      </c>
      <c r="M1284" t="s">
        <v>3094</v>
      </c>
      <c r="N1284" t="s">
        <v>3095</v>
      </c>
      <c r="Q1284" t="s">
        <v>3599</v>
      </c>
      <c r="R1284" t="s">
        <v>3599</v>
      </c>
      <c r="S1284" t="s">
        <v>3599</v>
      </c>
      <c r="T1284">
        <v>1</v>
      </c>
      <c r="U1284" t="s">
        <v>868</v>
      </c>
      <c r="V1284">
        <v>5</v>
      </c>
      <c r="W1284">
        <v>0</v>
      </c>
      <c r="X1284">
        <v>0</v>
      </c>
    </row>
    <row r="1285" spans="1:24" x14ac:dyDescent="0.3">
      <c r="A1285" t="s">
        <v>3096</v>
      </c>
      <c r="B1285" t="s">
        <v>3097</v>
      </c>
      <c r="C1285">
        <v>1</v>
      </c>
      <c r="D1285" t="s">
        <v>11</v>
      </c>
      <c r="E1285" t="s">
        <v>21</v>
      </c>
      <c r="F1285" t="s">
        <v>22</v>
      </c>
      <c r="H1285" t="s">
        <v>71</v>
      </c>
      <c r="I1285" t="s">
        <v>3617</v>
      </c>
      <c r="J1285" t="s">
        <v>3096</v>
      </c>
      <c r="K1285" t="s">
        <v>868</v>
      </c>
      <c r="L1285" t="s">
        <v>3618</v>
      </c>
      <c r="M1285" t="s">
        <v>3096</v>
      </c>
      <c r="N1285" t="s">
        <v>3097</v>
      </c>
      <c r="Q1285" t="s">
        <v>3599</v>
      </c>
      <c r="R1285" t="s">
        <v>3599</v>
      </c>
      <c r="S1285" t="s">
        <v>3599</v>
      </c>
      <c r="T1285">
        <v>1</v>
      </c>
      <c r="U1285" t="s">
        <v>868</v>
      </c>
      <c r="V1285">
        <v>5</v>
      </c>
      <c r="W1285">
        <v>0</v>
      </c>
      <c r="X1285">
        <v>0</v>
      </c>
    </row>
    <row r="1286" spans="1:24" x14ac:dyDescent="0.3">
      <c r="A1286" t="s">
        <v>3098</v>
      </c>
      <c r="B1286" t="s">
        <v>3099</v>
      </c>
      <c r="C1286">
        <v>1</v>
      </c>
      <c r="D1286" t="s">
        <v>11</v>
      </c>
      <c r="E1286" t="s">
        <v>21</v>
      </c>
      <c r="F1286" t="s">
        <v>22</v>
      </c>
      <c r="H1286" t="s">
        <v>71</v>
      </c>
      <c r="I1286" t="s">
        <v>3617</v>
      </c>
      <c r="J1286" t="s">
        <v>3098</v>
      </c>
      <c r="K1286" t="s">
        <v>868</v>
      </c>
      <c r="L1286" t="s">
        <v>3618</v>
      </c>
      <c r="M1286" t="s">
        <v>3098</v>
      </c>
      <c r="N1286" t="s">
        <v>3099</v>
      </c>
      <c r="Q1286" t="s">
        <v>3599</v>
      </c>
      <c r="R1286" t="s">
        <v>3599</v>
      </c>
      <c r="S1286" t="s">
        <v>3599</v>
      </c>
      <c r="T1286">
        <v>1</v>
      </c>
      <c r="U1286" t="s">
        <v>868</v>
      </c>
      <c r="V1286">
        <v>5</v>
      </c>
      <c r="W1286">
        <v>0</v>
      </c>
      <c r="X1286">
        <v>0</v>
      </c>
    </row>
    <row r="1287" spans="1:24" x14ac:dyDescent="0.3">
      <c r="A1287" t="s">
        <v>3100</v>
      </c>
      <c r="B1287" t="s">
        <v>3101</v>
      </c>
      <c r="C1287">
        <v>1</v>
      </c>
      <c r="D1287" t="s">
        <v>11</v>
      </c>
      <c r="E1287" t="s">
        <v>21</v>
      </c>
      <c r="F1287" t="s">
        <v>22</v>
      </c>
      <c r="H1287" t="s">
        <v>71</v>
      </c>
      <c r="I1287" t="s">
        <v>3617</v>
      </c>
      <c r="J1287" t="s">
        <v>3100</v>
      </c>
      <c r="K1287" t="s">
        <v>868</v>
      </c>
      <c r="L1287" t="s">
        <v>3618</v>
      </c>
      <c r="M1287" t="s">
        <v>3100</v>
      </c>
      <c r="N1287" t="s">
        <v>3101</v>
      </c>
      <c r="Q1287" t="s">
        <v>3599</v>
      </c>
      <c r="R1287" t="s">
        <v>3599</v>
      </c>
      <c r="S1287" t="s">
        <v>3599</v>
      </c>
      <c r="T1287">
        <v>1</v>
      </c>
      <c r="U1287" t="s">
        <v>868</v>
      </c>
      <c r="V1287">
        <v>5</v>
      </c>
      <c r="W1287">
        <v>0</v>
      </c>
      <c r="X1287">
        <v>0</v>
      </c>
    </row>
    <row r="1288" spans="1:24" x14ac:dyDescent="0.3">
      <c r="A1288" t="s">
        <v>3102</v>
      </c>
      <c r="B1288" t="s">
        <v>3103</v>
      </c>
      <c r="C1288">
        <v>1</v>
      </c>
      <c r="D1288" t="s">
        <v>11</v>
      </c>
      <c r="E1288" t="s">
        <v>21</v>
      </c>
      <c r="F1288" t="s">
        <v>22</v>
      </c>
      <c r="H1288" t="s">
        <v>71</v>
      </c>
      <c r="I1288" t="s">
        <v>3617</v>
      </c>
      <c r="J1288" t="s">
        <v>3102</v>
      </c>
      <c r="K1288" t="s">
        <v>868</v>
      </c>
      <c r="L1288" t="s">
        <v>3618</v>
      </c>
      <c r="M1288" t="s">
        <v>3102</v>
      </c>
      <c r="N1288" t="s">
        <v>3103</v>
      </c>
      <c r="Q1288" t="s">
        <v>3599</v>
      </c>
      <c r="R1288" t="s">
        <v>3599</v>
      </c>
      <c r="S1288" t="s">
        <v>3599</v>
      </c>
      <c r="T1288">
        <v>1</v>
      </c>
      <c r="U1288" t="s">
        <v>868</v>
      </c>
      <c r="V1288">
        <v>5</v>
      </c>
      <c r="W1288">
        <v>0</v>
      </c>
      <c r="X1288">
        <v>0</v>
      </c>
    </row>
    <row r="1289" spans="1:24" x14ac:dyDescent="0.3">
      <c r="A1289" t="s">
        <v>2214</v>
      </c>
      <c r="B1289" t="s">
        <v>3104</v>
      </c>
      <c r="C1289">
        <v>1</v>
      </c>
      <c r="D1289" t="s">
        <v>11</v>
      </c>
      <c r="E1289" t="s">
        <v>21</v>
      </c>
      <c r="F1289" t="s">
        <v>22</v>
      </c>
      <c r="H1289" t="s">
        <v>71</v>
      </c>
      <c r="I1289" t="s">
        <v>3617</v>
      </c>
      <c r="J1289" t="s">
        <v>2214</v>
      </c>
      <c r="K1289" t="s">
        <v>868</v>
      </c>
      <c r="L1289" t="s">
        <v>3618</v>
      </c>
      <c r="M1289" t="s">
        <v>2214</v>
      </c>
      <c r="N1289" t="s">
        <v>3104</v>
      </c>
      <c r="P1289" t="s">
        <v>3105</v>
      </c>
      <c r="Q1289" t="s">
        <v>3599</v>
      </c>
      <c r="R1289" t="s">
        <v>3599</v>
      </c>
      <c r="S1289" t="s">
        <v>3599</v>
      </c>
      <c r="T1289">
        <v>1</v>
      </c>
      <c r="U1289" t="s">
        <v>868</v>
      </c>
      <c r="V1289">
        <v>5</v>
      </c>
      <c r="W1289">
        <v>0</v>
      </c>
      <c r="X1289">
        <v>0</v>
      </c>
    </row>
    <row r="1290" spans="1:24" x14ac:dyDescent="0.3">
      <c r="A1290" t="s">
        <v>3106</v>
      </c>
      <c r="B1290" t="s">
        <v>3107</v>
      </c>
      <c r="C1290">
        <v>1</v>
      </c>
      <c r="D1290" t="s">
        <v>11</v>
      </c>
      <c r="E1290" t="s">
        <v>21</v>
      </c>
      <c r="F1290" t="s">
        <v>22</v>
      </c>
      <c r="H1290" t="s">
        <v>71</v>
      </c>
      <c r="I1290" t="s">
        <v>3617</v>
      </c>
      <c r="K1290" t="s">
        <v>868</v>
      </c>
      <c r="L1290" t="s">
        <v>3618</v>
      </c>
      <c r="N1290" t="s">
        <v>3107</v>
      </c>
      <c r="Q1290" t="s">
        <v>3599</v>
      </c>
      <c r="R1290" t="s">
        <v>3599</v>
      </c>
      <c r="S1290" t="s">
        <v>3599</v>
      </c>
      <c r="T1290">
        <v>1</v>
      </c>
      <c r="U1290" t="s">
        <v>868</v>
      </c>
      <c r="V1290">
        <v>5</v>
      </c>
      <c r="W1290">
        <v>0</v>
      </c>
      <c r="X1290">
        <v>0</v>
      </c>
    </row>
    <row r="1291" spans="1:24" x14ac:dyDescent="0.3">
      <c r="A1291" t="s">
        <v>3108</v>
      </c>
      <c r="B1291" t="s">
        <v>3109</v>
      </c>
      <c r="C1291">
        <v>1</v>
      </c>
      <c r="D1291" t="s">
        <v>11</v>
      </c>
      <c r="E1291" t="s">
        <v>21</v>
      </c>
      <c r="F1291" t="s">
        <v>22</v>
      </c>
      <c r="H1291" t="s">
        <v>71</v>
      </c>
      <c r="I1291" t="s">
        <v>3617</v>
      </c>
      <c r="J1291" t="s">
        <v>3108</v>
      </c>
      <c r="K1291" t="s">
        <v>868</v>
      </c>
      <c r="L1291" t="s">
        <v>3618</v>
      </c>
      <c r="M1291" t="s">
        <v>3108</v>
      </c>
      <c r="N1291" t="s">
        <v>3109</v>
      </c>
      <c r="Q1291" t="s">
        <v>3599</v>
      </c>
      <c r="R1291" t="s">
        <v>3599</v>
      </c>
      <c r="S1291" t="s">
        <v>3599</v>
      </c>
      <c r="T1291">
        <v>1</v>
      </c>
      <c r="U1291" t="s">
        <v>868</v>
      </c>
      <c r="V1291">
        <v>5</v>
      </c>
      <c r="W1291">
        <v>0</v>
      </c>
      <c r="X1291">
        <v>0</v>
      </c>
    </row>
    <row r="1292" spans="1:24" x14ac:dyDescent="0.3">
      <c r="A1292" t="s">
        <v>3110</v>
      </c>
      <c r="B1292" t="s">
        <v>3111</v>
      </c>
      <c r="C1292">
        <v>1</v>
      </c>
      <c r="D1292" t="s">
        <v>11</v>
      </c>
      <c r="E1292" t="s">
        <v>21</v>
      </c>
      <c r="F1292" t="s">
        <v>22</v>
      </c>
      <c r="H1292" t="s">
        <v>71</v>
      </c>
      <c r="I1292" t="s">
        <v>3617</v>
      </c>
      <c r="J1292" t="s">
        <v>3110</v>
      </c>
      <c r="K1292" t="s">
        <v>868</v>
      </c>
      <c r="L1292" t="s">
        <v>3618</v>
      </c>
      <c r="M1292" t="s">
        <v>3110</v>
      </c>
      <c r="N1292" t="s">
        <v>3111</v>
      </c>
      <c r="Q1292" t="s">
        <v>3599</v>
      </c>
      <c r="R1292" t="s">
        <v>3599</v>
      </c>
      <c r="S1292" t="s">
        <v>3599</v>
      </c>
      <c r="T1292">
        <v>1</v>
      </c>
      <c r="U1292" t="s">
        <v>868</v>
      </c>
      <c r="V1292">
        <v>5</v>
      </c>
      <c r="W1292">
        <v>0</v>
      </c>
      <c r="X1292">
        <v>0</v>
      </c>
    </row>
    <row r="1293" spans="1:24" x14ac:dyDescent="0.3">
      <c r="A1293" t="s">
        <v>3112</v>
      </c>
      <c r="B1293" t="s">
        <v>3113</v>
      </c>
      <c r="C1293">
        <v>1</v>
      </c>
      <c r="D1293" t="s">
        <v>11</v>
      </c>
      <c r="E1293" t="s">
        <v>21</v>
      </c>
      <c r="F1293" t="s">
        <v>22</v>
      </c>
      <c r="H1293" t="s">
        <v>71</v>
      </c>
      <c r="I1293" t="s">
        <v>3617</v>
      </c>
      <c r="J1293" t="s">
        <v>3112</v>
      </c>
      <c r="K1293" t="s">
        <v>868</v>
      </c>
      <c r="L1293" t="s">
        <v>3618</v>
      </c>
      <c r="M1293" t="s">
        <v>3112</v>
      </c>
      <c r="N1293" t="s">
        <v>3113</v>
      </c>
      <c r="Q1293" t="s">
        <v>3599</v>
      </c>
      <c r="R1293" t="s">
        <v>3599</v>
      </c>
      <c r="S1293" t="s">
        <v>3599</v>
      </c>
      <c r="T1293">
        <v>1</v>
      </c>
      <c r="U1293" t="s">
        <v>868</v>
      </c>
      <c r="V1293">
        <v>5</v>
      </c>
      <c r="W1293">
        <v>0</v>
      </c>
      <c r="X1293">
        <v>0</v>
      </c>
    </row>
    <row r="1294" spans="1:24" x14ac:dyDescent="0.3">
      <c r="A1294" t="s">
        <v>3114</v>
      </c>
      <c r="B1294" t="s">
        <v>3115</v>
      </c>
      <c r="C1294">
        <v>1</v>
      </c>
      <c r="D1294" t="s">
        <v>11</v>
      </c>
      <c r="E1294" t="s">
        <v>21</v>
      </c>
      <c r="F1294" t="s">
        <v>22</v>
      </c>
      <c r="H1294" t="s">
        <v>71</v>
      </c>
      <c r="I1294" t="s">
        <v>3617</v>
      </c>
      <c r="J1294" t="s">
        <v>3114</v>
      </c>
      <c r="K1294" t="s">
        <v>868</v>
      </c>
      <c r="L1294" t="s">
        <v>3618</v>
      </c>
      <c r="M1294" t="s">
        <v>3114</v>
      </c>
      <c r="N1294" t="s">
        <v>3115</v>
      </c>
      <c r="Q1294" t="s">
        <v>3599</v>
      </c>
      <c r="R1294" t="s">
        <v>3599</v>
      </c>
      <c r="S1294" t="s">
        <v>3599</v>
      </c>
      <c r="T1294">
        <v>1</v>
      </c>
      <c r="U1294" t="s">
        <v>868</v>
      </c>
      <c r="V1294">
        <v>5</v>
      </c>
      <c r="W1294">
        <v>0</v>
      </c>
      <c r="X1294">
        <v>0</v>
      </c>
    </row>
    <row r="1295" spans="1:24" x14ac:dyDescent="0.3">
      <c r="A1295" t="s">
        <v>3116</v>
      </c>
      <c r="B1295" t="s">
        <v>3117</v>
      </c>
      <c r="C1295">
        <v>1</v>
      </c>
      <c r="D1295" t="s">
        <v>11</v>
      </c>
      <c r="E1295" t="s">
        <v>21</v>
      </c>
      <c r="F1295" t="s">
        <v>22</v>
      </c>
      <c r="H1295" t="s">
        <v>71</v>
      </c>
      <c r="I1295" t="s">
        <v>3617</v>
      </c>
      <c r="J1295" t="s">
        <v>3116</v>
      </c>
      <c r="K1295" t="s">
        <v>868</v>
      </c>
      <c r="L1295" t="s">
        <v>3618</v>
      </c>
      <c r="M1295" t="s">
        <v>3116</v>
      </c>
      <c r="N1295" t="s">
        <v>3117</v>
      </c>
      <c r="Q1295" t="s">
        <v>3599</v>
      </c>
      <c r="R1295" t="s">
        <v>3599</v>
      </c>
      <c r="S1295" t="s">
        <v>3599</v>
      </c>
      <c r="T1295">
        <v>1</v>
      </c>
      <c r="U1295" t="s">
        <v>868</v>
      </c>
      <c r="V1295">
        <v>5</v>
      </c>
      <c r="W1295">
        <v>0</v>
      </c>
      <c r="X1295">
        <v>0</v>
      </c>
    </row>
    <row r="1296" spans="1:24" x14ac:dyDescent="0.3">
      <c r="A1296" t="s">
        <v>3118</v>
      </c>
      <c r="B1296" t="s">
        <v>3119</v>
      </c>
      <c r="C1296">
        <v>1</v>
      </c>
      <c r="D1296" t="s">
        <v>11</v>
      </c>
      <c r="E1296" t="s">
        <v>21</v>
      </c>
      <c r="F1296" t="s">
        <v>22</v>
      </c>
      <c r="H1296" t="s">
        <v>71</v>
      </c>
      <c r="I1296" t="s">
        <v>3617</v>
      </c>
      <c r="J1296" t="s">
        <v>3118</v>
      </c>
      <c r="K1296" t="s">
        <v>868</v>
      </c>
      <c r="L1296" t="s">
        <v>3618</v>
      </c>
      <c r="M1296" t="s">
        <v>3118</v>
      </c>
      <c r="N1296" t="s">
        <v>3119</v>
      </c>
      <c r="Q1296" t="s">
        <v>3599</v>
      </c>
      <c r="R1296" t="s">
        <v>3599</v>
      </c>
      <c r="S1296" t="s">
        <v>3599</v>
      </c>
      <c r="T1296">
        <v>1</v>
      </c>
      <c r="U1296" t="s">
        <v>868</v>
      </c>
      <c r="V1296">
        <v>5</v>
      </c>
      <c r="W1296">
        <v>0</v>
      </c>
      <c r="X1296">
        <v>0</v>
      </c>
    </row>
    <row r="1297" spans="1:24" x14ac:dyDescent="0.3">
      <c r="A1297" t="s">
        <v>3120</v>
      </c>
      <c r="B1297" t="s">
        <v>3121</v>
      </c>
      <c r="C1297">
        <v>1</v>
      </c>
      <c r="D1297" t="s">
        <v>11</v>
      </c>
      <c r="E1297" t="s">
        <v>21</v>
      </c>
      <c r="F1297" t="s">
        <v>22</v>
      </c>
      <c r="H1297" t="s">
        <v>71</v>
      </c>
      <c r="I1297" t="s">
        <v>3617</v>
      </c>
      <c r="J1297" t="s">
        <v>3120</v>
      </c>
      <c r="K1297" t="s">
        <v>868</v>
      </c>
      <c r="L1297" t="s">
        <v>3618</v>
      </c>
      <c r="M1297" t="s">
        <v>3120</v>
      </c>
      <c r="N1297" t="s">
        <v>3121</v>
      </c>
      <c r="Q1297" t="s">
        <v>3599</v>
      </c>
      <c r="R1297" t="s">
        <v>3599</v>
      </c>
      <c r="S1297" t="s">
        <v>3599</v>
      </c>
      <c r="T1297">
        <v>1</v>
      </c>
      <c r="U1297" t="s">
        <v>868</v>
      </c>
      <c r="V1297">
        <v>5</v>
      </c>
      <c r="W1297">
        <v>0</v>
      </c>
      <c r="X1297">
        <v>0</v>
      </c>
    </row>
    <row r="1298" spans="1:24" x14ac:dyDescent="0.3">
      <c r="A1298" t="s">
        <v>3122</v>
      </c>
      <c r="B1298" t="s">
        <v>3123</v>
      </c>
      <c r="C1298">
        <v>1</v>
      </c>
      <c r="D1298" t="s">
        <v>11</v>
      </c>
      <c r="E1298" t="s">
        <v>21</v>
      </c>
      <c r="F1298" t="s">
        <v>22</v>
      </c>
      <c r="H1298" t="s">
        <v>71</v>
      </c>
      <c r="I1298" t="s">
        <v>3617</v>
      </c>
      <c r="J1298" t="s">
        <v>3122</v>
      </c>
      <c r="K1298" t="s">
        <v>868</v>
      </c>
      <c r="L1298" t="s">
        <v>3618</v>
      </c>
      <c r="M1298" t="s">
        <v>3122</v>
      </c>
      <c r="N1298" t="s">
        <v>3123</v>
      </c>
      <c r="Q1298" t="s">
        <v>3599</v>
      </c>
      <c r="R1298" t="s">
        <v>3599</v>
      </c>
      <c r="S1298" t="s">
        <v>3599</v>
      </c>
      <c r="T1298">
        <v>1</v>
      </c>
      <c r="U1298" t="s">
        <v>868</v>
      </c>
      <c r="V1298">
        <v>5</v>
      </c>
      <c r="W1298">
        <v>0</v>
      </c>
      <c r="X1298">
        <v>0</v>
      </c>
    </row>
    <row r="1299" spans="1:24" x14ac:dyDescent="0.3">
      <c r="A1299" t="s">
        <v>3124</v>
      </c>
      <c r="B1299" t="s">
        <v>3125</v>
      </c>
      <c r="C1299">
        <v>1</v>
      </c>
      <c r="D1299" t="s">
        <v>11</v>
      </c>
      <c r="E1299" t="s">
        <v>21</v>
      </c>
      <c r="F1299" t="s">
        <v>22</v>
      </c>
      <c r="H1299" t="s">
        <v>71</v>
      </c>
      <c r="I1299" t="s">
        <v>3617</v>
      </c>
      <c r="J1299" t="s">
        <v>3124</v>
      </c>
      <c r="K1299" t="s">
        <v>868</v>
      </c>
      <c r="L1299" t="s">
        <v>3618</v>
      </c>
      <c r="M1299" t="s">
        <v>3124</v>
      </c>
      <c r="N1299" t="s">
        <v>3125</v>
      </c>
      <c r="Q1299" t="s">
        <v>3599</v>
      </c>
      <c r="R1299" t="s">
        <v>3599</v>
      </c>
      <c r="S1299" t="s">
        <v>3599</v>
      </c>
      <c r="T1299">
        <v>1</v>
      </c>
      <c r="U1299" t="s">
        <v>868</v>
      </c>
      <c r="V1299">
        <v>5</v>
      </c>
      <c r="W1299">
        <v>0</v>
      </c>
      <c r="X1299">
        <v>0</v>
      </c>
    </row>
    <row r="1300" spans="1:24" x14ac:dyDescent="0.3">
      <c r="A1300" t="s">
        <v>3126</v>
      </c>
      <c r="B1300" t="s">
        <v>3127</v>
      </c>
      <c r="C1300">
        <v>1</v>
      </c>
      <c r="D1300" t="s">
        <v>11</v>
      </c>
      <c r="E1300" t="s">
        <v>21</v>
      </c>
      <c r="F1300" t="s">
        <v>22</v>
      </c>
      <c r="H1300" t="s">
        <v>71</v>
      </c>
      <c r="I1300" t="s">
        <v>3617</v>
      </c>
      <c r="J1300" t="s">
        <v>3126</v>
      </c>
      <c r="K1300" t="s">
        <v>868</v>
      </c>
      <c r="L1300" t="s">
        <v>3618</v>
      </c>
      <c r="M1300" t="s">
        <v>3126</v>
      </c>
      <c r="N1300" t="s">
        <v>3127</v>
      </c>
      <c r="Q1300" t="s">
        <v>3599</v>
      </c>
      <c r="R1300" t="s">
        <v>3599</v>
      </c>
      <c r="S1300" t="s">
        <v>3599</v>
      </c>
      <c r="T1300">
        <v>1</v>
      </c>
      <c r="U1300" t="s">
        <v>868</v>
      </c>
      <c r="V1300">
        <v>5</v>
      </c>
      <c r="W1300">
        <v>0</v>
      </c>
      <c r="X1300">
        <v>0</v>
      </c>
    </row>
    <row r="1301" spans="1:24" x14ac:dyDescent="0.3">
      <c r="A1301" t="s">
        <v>3128</v>
      </c>
      <c r="B1301" t="s">
        <v>3129</v>
      </c>
      <c r="C1301">
        <v>1</v>
      </c>
      <c r="D1301" t="s">
        <v>11</v>
      </c>
      <c r="E1301" t="s">
        <v>21</v>
      </c>
      <c r="F1301" t="s">
        <v>22</v>
      </c>
      <c r="H1301" t="s">
        <v>71</v>
      </c>
      <c r="I1301" t="s">
        <v>3617</v>
      </c>
      <c r="J1301" t="s">
        <v>3128</v>
      </c>
      <c r="K1301" t="s">
        <v>868</v>
      </c>
      <c r="L1301" t="s">
        <v>3618</v>
      </c>
      <c r="M1301" t="s">
        <v>3128</v>
      </c>
      <c r="N1301" t="s">
        <v>3129</v>
      </c>
      <c r="Q1301" t="s">
        <v>3599</v>
      </c>
      <c r="R1301" t="s">
        <v>3599</v>
      </c>
      <c r="S1301" t="s">
        <v>3599</v>
      </c>
      <c r="T1301">
        <v>1</v>
      </c>
      <c r="U1301" t="s">
        <v>868</v>
      </c>
      <c r="V1301">
        <v>5</v>
      </c>
      <c r="W1301">
        <v>0</v>
      </c>
      <c r="X1301">
        <v>0</v>
      </c>
    </row>
    <row r="1302" spans="1:24" x14ac:dyDescent="0.3">
      <c r="A1302" t="s">
        <v>3130</v>
      </c>
      <c r="B1302" t="s">
        <v>3131</v>
      </c>
      <c r="C1302">
        <v>1</v>
      </c>
      <c r="D1302" t="s">
        <v>11</v>
      </c>
      <c r="E1302" t="s">
        <v>21</v>
      </c>
      <c r="F1302" t="s">
        <v>22</v>
      </c>
      <c r="H1302" t="s">
        <v>71</v>
      </c>
      <c r="I1302" t="s">
        <v>3617</v>
      </c>
      <c r="J1302" t="s">
        <v>3130</v>
      </c>
      <c r="K1302" t="s">
        <v>868</v>
      </c>
      <c r="L1302" t="s">
        <v>3618</v>
      </c>
      <c r="M1302" t="s">
        <v>3130</v>
      </c>
      <c r="N1302" t="s">
        <v>3131</v>
      </c>
      <c r="Q1302" t="s">
        <v>3599</v>
      </c>
      <c r="R1302" t="s">
        <v>3599</v>
      </c>
      <c r="S1302" t="s">
        <v>3599</v>
      </c>
      <c r="T1302">
        <v>1</v>
      </c>
      <c r="U1302" t="s">
        <v>868</v>
      </c>
      <c r="V1302">
        <v>5</v>
      </c>
      <c r="W1302">
        <v>0</v>
      </c>
      <c r="X1302">
        <v>0</v>
      </c>
    </row>
    <row r="1303" spans="1:24" x14ac:dyDescent="0.3">
      <c r="A1303" t="s">
        <v>3132</v>
      </c>
      <c r="B1303" t="s">
        <v>3133</v>
      </c>
      <c r="C1303">
        <v>1</v>
      </c>
      <c r="D1303" t="s">
        <v>11</v>
      </c>
      <c r="E1303" t="s">
        <v>21</v>
      </c>
      <c r="F1303" t="s">
        <v>22</v>
      </c>
      <c r="H1303" t="s">
        <v>71</v>
      </c>
      <c r="I1303" t="s">
        <v>3617</v>
      </c>
      <c r="J1303" t="s">
        <v>3132</v>
      </c>
      <c r="K1303" t="s">
        <v>868</v>
      </c>
      <c r="L1303" t="s">
        <v>3618</v>
      </c>
      <c r="M1303" t="s">
        <v>3132</v>
      </c>
      <c r="N1303" t="s">
        <v>3133</v>
      </c>
      <c r="Q1303" t="s">
        <v>3599</v>
      </c>
      <c r="R1303" t="s">
        <v>3599</v>
      </c>
      <c r="S1303" t="s">
        <v>3599</v>
      </c>
      <c r="T1303">
        <v>1</v>
      </c>
      <c r="U1303" t="s">
        <v>868</v>
      </c>
      <c r="V1303">
        <v>5</v>
      </c>
      <c r="W1303">
        <v>0</v>
      </c>
      <c r="X1303">
        <v>0</v>
      </c>
    </row>
    <row r="1304" spans="1:24" x14ac:dyDescent="0.3">
      <c r="A1304" t="s">
        <v>3134</v>
      </c>
      <c r="B1304" t="s">
        <v>3135</v>
      </c>
      <c r="C1304">
        <v>1</v>
      </c>
      <c r="D1304" t="s">
        <v>11</v>
      </c>
      <c r="E1304" t="s">
        <v>21</v>
      </c>
      <c r="F1304" t="s">
        <v>22</v>
      </c>
      <c r="H1304" t="s">
        <v>71</v>
      </c>
      <c r="I1304" t="s">
        <v>3617</v>
      </c>
      <c r="J1304" t="s">
        <v>3134</v>
      </c>
      <c r="K1304" t="s">
        <v>868</v>
      </c>
      <c r="L1304" t="s">
        <v>3618</v>
      </c>
      <c r="M1304" t="s">
        <v>3134</v>
      </c>
      <c r="N1304" t="s">
        <v>3135</v>
      </c>
      <c r="Q1304" t="s">
        <v>3599</v>
      </c>
      <c r="R1304" t="s">
        <v>3599</v>
      </c>
      <c r="S1304" t="s">
        <v>3599</v>
      </c>
      <c r="T1304">
        <v>1</v>
      </c>
      <c r="U1304" t="s">
        <v>868</v>
      </c>
      <c r="V1304">
        <v>5</v>
      </c>
      <c r="W1304">
        <v>0</v>
      </c>
      <c r="X1304">
        <v>0</v>
      </c>
    </row>
    <row r="1305" spans="1:24" x14ac:dyDescent="0.3">
      <c r="A1305" t="s">
        <v>3136</v>
      </c>
      <c r="B1305" t="s">
        <v>3137</v>
      </c>
      <c r="C1305">
        <v>1</v>
      </c>
      <c r="D1305" t="s">
        <v>11</v>
      </c>
      <c r="E1305" t="s">
        <v>21</v>
      </c>
      <c r="F1305" t="s">
        <v>22</v>
      </c>
      <c r="H1305" t="s">
        <v>71</v>
      </c>
      <c r="I1305" t="s">
        <v>3617</v>
      </c>
      <c r="J1305" t="s">
        <v>3136</v>
      </c>
      <c r="K1305" t="s">
        <v>868</v>
      </c>
      <c r="L1305" t="s">
        <v>3618</v>
      </c>
      <c r="M1305" t="s">
        <v>3136</v>
      </c>
      <c r="N1305" t="s">
        <v>3137</v>
      </c>
      <c r="Q1305" t="s">
        <v>3599</v>
      </c>
      <c r="R1305" t="s">
        <v>3599</v>
      </c>
      <c r="S1305" t="s">
        <v>3599</v>
      </c>
      <c r="T1305">
        <v>1</v>
      </c>
      <c r="U1305" t="s">
        <v>868</v>
      </c>
      <c r="V1305">
        <v>5</v>
      </c>
      <c r="W1305">
        <v>0</v>
      </c>
      <c r="X1305">
        <v>0</v>
      </c>
    </row>
    <row r="1306" spans="1:24" x14ac:dyDescent="0.3">
      <c r="A1306" t="s">
        <v>3138</v>
      </c>
      <c r="B1306" t="s">
        <v>3139</v>
      </c>
      <c r="C1306">
        <v>1</v>
      </c>
      <c r="D1306" t="s">
        <v>11</v>
      </c>
      <c r="E1306" t="s">
        <v>21</v>
      </c>
      <c r="F1306" t="s">
        <v>22</v>
      </c>
      <c r="H1306" t="s">
        <v>71</v>
      </c>
      <c r="I1306" t="s">
        <v>3617</v>
      </c>
      <c r="J1306" t="s">
        <v>3138</v>
      </c>
      <c r="K1306" t="s">
        <v>868</v>
      </c>
      <c r="L1306" t="s">
        <v>3618</v>
      </c>
      <c r="M1306" t="s">
        <v>3138</v>
      </c>
      <c r="N1306" t="s">
        <v>3139</v>
      </c>
      <c r="Q1306" t="s">
        <v>3599</v>
      </c>
      <c r="R1306" t="s">
        <v>3599</v>
      </c>
      <c r="S1306" t="s">
        <v>3599</v>
      </c>
      <c r="T1306">
        <v>1</v>
      </c>
      <c r="U1306" t="s">
        <v>868</v>
      </c>
      <c r="V1306">
        <v>5</v>
      </c>
      <c r="W1306">
        <v>0</v>
      </c>
      <c r="X1306">
        <v>0</v>
      </c>
    </row>
    <row r="1307" spans="1:24" x14ac:dyDescent="0.3">
      <c r="A1307" t="s">
        <v>3140</v>
      </c>
      <c r="B1307" t="s">
        <v>3141</v>
      </c>
      <c r="C1307">
        <v>1</v>
      </c>
      <c r="D1307" t="s">
        <v>11</v>
      </c>
      <c r="E1307" t="s">
        <v>21</v>
      </c>
      <c r="F1307" t="s">
        <v>22</v>
      </c>
      <c r="H1307" t="s">
        <v>71</v>
      </c>
      <c r="I1307" t="s">
        <v>3617</v>
      </c>
      <c r="J1307" t="s">
        <v>3140</v>
      </c>
      <c r="K1307" t="s">
        <v>868</v>
      </c>
      <c r="L1307" t="s">
        <v>3618</v>
      </c>
      <c r="M1307" t="s">
        <v>3140</v>
      </c>
      <c r="N1307" t="s">
        <v>3141</v>
      </c>
      <c r="Q1307" t="s">
        <v>3599</v>
      </c>
      <c r="R1307" t="s">
        <v>3599</v>
      </c>
      <c r="S1307" t="s">
        <v>3599</v>
      </c>
      <c r="T1307">
        <v>1</v>
      </c>
      <c r="U1307" t="s">
        <v>868</v>
      </c>
      <c r="V1307">
        <v>5</v>
      </c>
      <c r="W1307">
        <v>0</v>
      </c>
      <c r="X1307">
        <v>0</v>
      </c>
    </row>
    <row r="1308" spans="1:24" x14ac:dyDescent="0.3">
      <c r="A1308" t="s">
        <v>3142</v>
      </c>
      <c r="B1308" t="s">
        <v>3143</v>
      </c>
      <c r="C1308">
        <v>1</v>
      </c>
      <c r="D1308" t="s">
        <v>11</v>
      </c>
      <c r="E1308" t="s">
        <v>21</v>
      </c>
      <c r="F1308" t="s">
        <v>22</v>
      </c>
      <c r="H1308" t="s">
        <v>71</v>
      </c>
      <c r="I1308" t="s">
        <v>3617</v>
      </c>
      <c r="J1308" t="s">
        <v>3142</v>
      </c>
      <c r="K1308" t="s">
        <v>868</v>
      </c>
      <c r="L1308" t="s">
        <v>3618</v>
      </c>
      <c r="M1308" t="s">
        <v>3142</v>
      </c>
      <c r="N1308" t="s">
        <v>3143</v>
      </c>
      <c r="Q1308" t="s">
        <v>3599</v>
      </c>
      <c r="R1308" t="s">
        <v>3599</v>
      </c>
      <c r="S1308" t="s">
        <v>3599</v>
      </c>
      <c r="T1308">
        <v>1</v>
      </c>
      <c r="U1308" t="s">
        <v>868</v>
      </c>
      <c r="V1308">
        <v>5</v>
      </c>
      <c r="W1308">
        <v>0</v>
      </c>
      <c r="X1308">
        <v>0</v>
      </c>
    </row>
    <row r="1309" spans="1:24" x14ac:dyDescent="0.3">
      <c r="A1309" t="s">
        <v>3144</v>
      </c>
      <c r="B1309" t="s">
        <v>3145</v>
      </c>
      <c r="C1309">
        <v>1</v>
      </c>
      <c r="D1309" t="s">
        <v>11</v>
      </c>
      <c r="E1309" t="s">
        <v>21</v>
      </c>
      <c r="F1309" t="s">
        <v>22</v>
      </c>
      <c r="H1309" t="s">
        <v>71</v>
      </c>
      <c r="I1309" t="s">
        <v>3617</v>
      </c>
      <c r="J1309" t="s">
        <v>3144</v>
      </c>
      <c r="K1309" t="s">
        <v>868</v>
      </c>
      <c r="L1309" t="s">
        <v>3618</v>
      </c>
      <c r="M1309" t="s">
        <v>3144</v>
      </c>
      <c r="N1309" t="s">
        <v>3145</v>
      </c>
      <c r="Q1309" t="s">
        <v>3599</v>
      </c>
      <c r="R1309" t="s">
        <v>3599</v>
      </c>
      <c r="S1309" t="s">
        <v>3599</v>
      </c>
      <c r="T1309">
        <v>1</v>
      </c>
      <c r="U1309" t="s">
        <v>868</v>
      </c>
      <c r="V1309">
        <v>5</v>
      </c>
      <c r="W1309">
        <v>0</v>
      </c>
      <c r="X1309">
        <v>0</v>
      </c>
    </row>
    <row r="1310" spans="1:24" x14ac:dyDescent="0.3">
      <c r="A1310" t="s">
        <v>3146</v>
      </c>
      <c r="B1310" t="s">
        <v>3147</v>
      </c>
      <c r="C1310">
        <v>1</v>
      </c>
      <c r="D1310" t="s">
        <v>11</v>
      </c>
      <c r="E1310" t="s">
        <v>21</v>
      </c>
      <c r="F1310" t="s">
        <v>22</v>
      </c>
      <c r="H1310" t="s">
        <v>71</v>
      </c>
      <c r="I1310" t="s">
        <v>3617</v>
      </c>
      <c r="J1310" t="s">
        <v>3146</v>
      </c>
      <c r="K1310" t="s">
        <v>868</v>
      </c>
      <c r="L1310" t="s">
        <v>3618</v>
      </c>
      <c r="M1310" t="s">
        <v>3146</v>
      </c>
      <c r="N1310" t="s">
        <v>3147</v>
      </c>
      <c r="Q1310" t="s">
        <v>3599</v>
      </c>
      <c r="R1310" t="s">
        <v>3599</v>
      </c>
      <c r="S1310" t="s">
        <v>3599</v>
      </c>
      <c r="T1310">
        <v>1</v>
      </c>
      <c r="U1310" t="s">
        <v>868</v>
      </c>
      <c r="V1310">
        <v>5</v>
      </c>
      <c r="W1310">
        <v>0</v>
      </c>
      <c r="X1310">
        <v>0</v>
      </c>
    </row>
    <row r="1311" spans="1:24" x14ac:dyDescent="0.3">
      <c r="A1311" t="s">
        <v>3148</v>
      </c>
      <c r="B1311" t="s">
        <v>996</v>
      </c>
      <c r="C1311">
        <v>1</v>
      </c>
      <c r="D1311" t="s">
        <v>11</v>
      </c>
      <c r="E1311" t="s">
        <v>21</v>
      </c>
      <c r="F1311" t="s">
        <v>22</v>
      </c>
      <c r="H1311" t="s">
        <v>71</v>
      </c>
      <c r="I1311" t="s">
        <v>3617</v>
      </c>
      <c r="J1311" t="s">
        <v>3148</v>
      </c>
      <c r="K1311" t="s">
        <v>868</v>
      </c>
      <c r="L1311" t="s">
        <v>3618</v>
      </c>
      <c r="M1311" t="s">
        <v>3148</v>
      </c>
      <c r="N1311" t="s">
        <v>996</v>
      </c>
      <c r="Q1311" t="s">
        <v>3599</v>
      </c>
      <c r="R1311" t="s">
        <v>3599</v>
      </c>
      <c r="S1311" t="s">
        <v>3599</v>
      </c>
      <c r="T1311">
        <v>1</v>
      </c>
      <c r="U1311" t="s">
        <v>868</v>
      </c>
      <c r="V1311">
        <v>5</v>
      </c>
      <c r="W1311">
        <v>0</v>
      </c>
      <c r="X1311">
        <v>0</v>
      </c>
    </row>
    <row r="1312" spans="1:24" x14ac:dyDescent="0.3">
      <c r="A1312" t="s">
        <v>3149</v>
      </c>
      <c r="B1312" t="s">
        <v>3150</v>
      </c>
      <c r="C1312">
        <v>1</v>
      </c>
      <c r="D1312" t="s">
        <v>11</v>
      </c>
      <c r="E1312" t="s">
        <v>21</v>
      </c>
      <c r="F1312" t="s">
        <v>22</v>
      </c>
      <c r="H1312" t="s">
        <v>71</v>
      </c>
      <c r="I1312" t="s">
        <v>3617</v>
      </c>
      <c r="J1312" t="s">
        <v>3149</v>
      </c>
      <c r="K1312" t="s">
        <v>868</v>
      </c>
      <c r="L1312" t="s">
        <v>3618</v>
      </c>
      <c r="M1312" t="s">
        <v>3149</v>
      </c>
      <c r="N1312" t="s">
        <v>3150</v>
      </c>
      <c r="Q1312" t="s">
        <v>3599</v>
      </c>
      <c r="R1312" t="s">
        <v>3599</v>
      </c>
      <c r="S1312" t="s">
        <v>3599</v>
      </c>
      <c r="T1312">
        <v>1</v>
      </c>
      <c r="U1312" t="s">
        <v>868</v>
      </c>
      <c r="V1312">
        <v>5</v>
      </c>
      <c r="W1312">
        <v>0</v>
      </c>
      <c r="X1312">
        <v>0</v>
      </c>
    </row>
    <row r="1313" spans="1:24" x14ac:dyDescent="0.3">
      <c r="A1313" t="s">
        <v>3151</v>
      </c>
      <c r="B1313" t="s">
        <v>3152</v>
      </c>
      <c r="C1313">
        <v>1</v>
      </c>
      <c r="D1313" t="s">
        <v>11</v>
      </c>
      <c r="E1313" t="s">
        <v>21</v>
      </c>
      <c r="F1313" t="s">
        <v>22</v>
      </c>
      <c r="H1313" t="s">
        <v>71</v>
      </c>
      <c r="I1313" t="s">
        <v>3617</v>
      </c>
      <c r="J1313" t="s">
        <v>3151</v>
      </c>
      <c r="K1313" t="s">
        <v>868</v>
      </c>
      <c r="L1313" t="s">
        <v>3618</v>
      </c>
      <c r="M1313" t="s">
        <v>3151</v>
      </c>
      <c r="N1313" t="s">
        <v>3152</v>
      </c>
      <c r="Q1313" t="s">
        <v>3599</v>
      </c>
      <c r="R1313" t="s">
        <v>3599</v>
      </c>
      <c r="S1313" t="s">
        <v>3599</v>
      </c>
      <c r="T1313">
        <v>1</v>
      </c>
      <c r="U1313" t="s">
        <v>868</v>
      </c>
      <c r="V1313">
        <v>5</v>
      </c>
      <c r="W1313">
        <v>0</v>
      </c>
      <c r="X1313">
        <v>0</v>
      </c>
    </row>
    <row r="1314" spans="1:24" x14ac:dyDescent="0.3">
      <c r="A1314" t="s">
        <v>3153</v>
      </c>
      <c r="B1314" t="s">
        <v>3154</v>
      </c>
      <c r="C1314">
        <v>1</v>
      </c>
      <c r="D1314" t="s">
        <v>11</v>
      </c>
      <c r="E1314" t="s">
        <v>21</v>
      </c>
      <c r="F1314" t="s">
        <v>22</v>
      </c>
      <c r="H1314" t="s">
        <v>71</v>
      </c>
      <c r="I1314" t="s">
        <v>3617</v>
      </c>
      <c r="K1314" t="s">
        <v>868</v>
      </c>
      <c r="L1314" t="s">
        <v>3618</v>
      </c>
      <c r="N1314" t="s">
        <v>3154</v>
      </c>
      <c r="Q1314" t="s">
        <v>3599</v>
      </c>
      <c r="R1314" t="s">
        <v>3599</v>
      </c>
      <c r="S1314" t="s">
        <v>3599</v>
      </c>
      <c r="T1314">
        <v>1</v>
      </c>
      <c r="U1314" t="s">
        <v>868</v>
      </c>
      <c r="V1314">
        <v>5</v>
      </c>
      <c r="W1314">
        <v>0</v>
      </c>
      <c r="X1314">
        <v>0</v>
      </c>
    </row>
    <row r="1315" spans="1:24" x14ac:dyDescent="0.3">
      <c r="A1315" t="s">
        <v>3155</v>
      </c>
      <c r="B1315" t="s">
        <v>3156</v>
      </c>
      <c r="C1315">
        <v>1</v>
      </c>
      <c r="D1315" t="s">
        <v>11</v>
      </c>
      <c r="E1315" t="s">
        <v>21</v>
      </c>
      <c r="F1315" t="s">
        <v>22</v>
      </c>
      <c r="H1315" t="s">
        <v>71</v>
      </c>
      <c r="I1315" t="s">
        <v>3617</v>
      </c>
      <c r="J1315" t="s">
        <v>3155</v>
      </c>
      <c r="K1315" t="s">
        <v>868</v>
      </c>
      <c r="L1315" t="s">
        <v>3618</v>
      </c>
      <c r="M1315" t="s">
        <v>3155</v>
      </c>
      <c r="N1315" t="s">
        <v>3156</v>
      </c>
      <c r="Q1315" t="s">
        <v>3599</v>
      </c>
      <c r="R1315" t="s">
        <v>3599</v>
      </c>
      <c r="S1315" t="s">
        <v>3599</v>
      </c>
      <c r="T1315">
        <v>1</v>
      </c>
      <c r="U1315" t="s">
        <v>868</v>
      </c>
      <c r="V1315">
        <v>5</v>
      </c>
      <c r="W1315">
        <v>0</v>
      </c>
      <c r="X1315">
        <v>0</v>
      </c>
    </row>
    <row r="1316" spans="1:24" x14ac:dyDescent="0.3">
      <c r="A1316" t="s">
        <v>3157</v>
      </c>
      <c r="B1316" t="s">
        <v>3158</v>
      </c>
      <c r="C1316">
        <v>1</v>
      </c>
      <c r="D1316" t="s">
        <v>11</v>
      </c>
      <c r="E1316" t="s">
        <v>21</v>
      </c>
      <c r="F1316" t="s">
        <v>22</v>
      </c>
      <c r="H1316" t="s">
        <v>71</v>
      </c>
      <c r="I1316" t="s">
        <v>3617</v>
      </c>
      <c r="J1316" t="s">
        <v>3157</v>
      </c>
      <c r="K1316" t="s">
        <v>868</v>
      </c>
      <c r="L1316" t="s">
        <v>3618</v>
      </c>
      <c r="M1316" t="s">
        <v>3157</v>
      </c>
      <c r="N1316" t="s">
        <v>3158</v>
      </c>
      <c r="Q1316" t="s">
        <v>3599</v>
      </c>
      <c r="R1316" t="s">
        <v>3599</v>
      </c>
      <c r="S1316" t="s">
        <v>3599</v>
      </c>
      <c r="T1316">
        <v>1</v>
      </c>
      <c r="U1316" t="s">
        <v>868</v>
      </c>
      <c r="V1316">
        <v>5</v>
      </c>
      <c r="W1316">
        <v>0</v>
      </c>
      <c r="X1316">
        <v>0</v>
      </c>
    </row>
    <row r="1317" spans="1:24" x14ac:dyDescent="0.3">
      <c r="A1317" t="s">
        <v>3159</v>
      </c>
      <c r="B1317" t="s">
        <v>3160</v>
      </c>
      <c r="C1317">
        <v>1</v>
      </c>
      <c r="D1317" t="s">
        <v>11</v>
      </c>
      <c r="E1317" t="s">
        <v>21</v>
      </c>
      <c r="F1317" t="s">
        <v>22</v>
      </c>
      <c r="H1317" t="s">
        <v>71</v>
      </c>
      <c r="I1317" t="s">
        <v>3617</v>
      </c>
      <c r="J1317" t="s">
        <v>3159</v>
      </c>
      <c r="K1317" t="s">
        <v>868</v>
      </c>
      <c r="L1317" t="s">
        <v>3618</v>
      </c>
      <c r="M1317" t="s">
        <v>3159</v>
      </c>
      <c r="N1317" t="s">
        <v>3160</v>
      </c>
      <c r="Q1317" t="s">
        <v>3599</v>
      </c>
      <c r="R1317" t="s">
        <v>3599</v>
      </c>
      <c r="S1317" t="s">
        <v>3599</v>
      </c>
      <c r="T1317">
        <v>1</v>
      </c>
      <c r="U1317" t="s">
        <v>868</v>
      </c>
      <c r="V1317">
        <v>5</v>
      </c>
      <c r="W1317">
        <v>0</v>
      </c>
      <c r="X1317">
        <v>0</v>
      </c>
    </row>
    <row r="1318" spans="1:24" x14ac:dyDescent="0.3">
      <c r="A1318" t="s">
        <v>3161</v>
      </c>
      <c r="B1318" t="s">
        <v>3162</v>
      </c>
      <c r="C1318">
        <v>1</v>
      </c>
      <c r="D1318" t="s">
        <v>11</v>
      </c>
      <c r="E1318" t="s">
        <v>21</v>
      </c>
      <c r="F1318" t="s">
        <v>22</v>
      </c>
      <c r="H1318" t="s">
        <v>71</v>
      </c>
      <c r="I1318" t="s">
        <v>3617</v>
      </c>
      <c r="J1318" t="s">
        <v>3161</v>
      </c>
      <c r="K1318" t="s">
        <v>868</v>
      </c>
      <c r="L1318" t="s">
        <v>3618</v>
      </c>
      <c r="M1318" t="s">
        <v>3161</v>
      </c>
      <c r="N1318" t="s">
        <v>3162</v>
      </c>
      <c r="Q1318" t="s">
        <v>3599</v>
      </c>
      <c r="R1318" t="s">
        <v>3599</v>
      </c>
      <c r="S1318" t="s">
        <v>3599</v>
      </c>
      <c r="T1318">
        <v>1</v>
      </c>
      <c r="U1318" t="s">
        <v>868</v>
      </c>
      <c r="V1318">
        <v>5</v>
      </c>
      <c r="W1318">
        <v>0</v>
      </c>
      <c r="X1318">
        <v>0</v>
      </c>
    </row>
    <row r="1319" spans="1:24" x14ac:dyDescent="0.3">
      <c r="A1319" t="s">
        <v>3163</v>
      </c>
      <c r="B1319" t="s">
        <v>3164</v>
      </c>
      <c r="C1319">
        <v>1</v>
      </c>
      <c r="D1319" t="s">
        <v>11</v>
      </c>
      <c r="E1319" t="s">
        <v>21</v>
      </c>
      <c r="F1319" t="s">
        <v>22</v>
      </c>
      <c r="H1319" t="s">
        <v>71</v>
      </c>
      <c r="I1319" t="s">
        <v>3617</v>
      </c>
      <c r="J1319" t="s">
        <v>3163</v>
      </c>
      <c r="K1319" t="s">
        <v>868</v>
      </c>
      <c r="L1319" t="s">
        <v>3618</v>
      </c>
      <c r="M1319" t="s">
        <v>3163</v>
      </c>
      <c r="N1319" t="s">
        <v>3164</v>
      </c>
      <c r="Q1319" t="s">
        <v>3599</v>
      </c>
      <c r="R1319" t="s">
        <v>3599</v>
      </c>
      <c r="S1319" t="s">
        <v>3599</v>
      </c>
      <c r="T1319">
        <v>1</v>
      </c>
      <c r="U1319" t="s">
        <v>868</v>
      </c>
      <c r="V1319">
        <v>5</v>
      </c>
      <c r="W1319">
        <v>0</v>
      </c>
      <c r="X1319">
        <v>0</v>
      </c>
    </row>
    <row r="1320" spans="1:24" x14ac:dyDescent="0.3">
      <c r="A1320" t="s">
        <v>3165</v>
      </c>
      <c r="B1320" t="s">
        <v>3166</v>
      </c>
      <c r="C1320">
        <v>1</v>
      </c>
      <c r="D1320" t="s">
        <v>11</v>
      </c>
      <c r="E1320" t="s">
        <v>21</v>
      </c>
      <c r="F1320" t="s">
        <v>22</v>
      </c>
      <c r="H1320" t="s">
        <v>71</v>
      </c>
      <c r="I1320" t="s">
        <v>3617</v>
      </c>
      <c r="J1320" t="s">
        <v>3165</v>
      </c>
      <c r="K1320" t="s">
        <v>868</v>
      </c>
      <c r="L1320" t="s">
        <v>3618</v>
      </c>
      <c r="M1320" t="s">
        <v>3165</v>
      </c>
      <c r="N1320" t="s">
        <v>3166</v>
      </c>
      <c r="Q1320" t="s">
        <v>3599</v>
      </c>
      <c r="R1320" t="s">
        <v>3599</v>
      </c>
      <c r="S1320" t="s">
        <v>3599</v>
      </c>
      <c r="T1320">
        <v>1</v>
      </c>
      <c r="U1320" t="s">
        <v>868</v>
      </c>
      <c r="V1320">
        <v>5</v>
      </c>
      <c r="W1320">
        <v>0</v>
      </c>
      <c r="X1320">
        <v>0</v>
      </c>
    </row>
    <row r="1321" spans="1:24" x14ac:dyDescent="0.3">
      <c r="A1321" t="s">
        <v>1474</v>
      </c>
      <c r="B1321" t="s">
        <v>1475</v>
      </c>
      <c r="C1321">
        <v>1</v>
      </c>
      <c r="D1321" t="s">
        <v>11</v>
      </c>
      <c r="E1321" t="s">
        <v>21</v>
      </c>
      <c r="F1321" t="s">
        <v>22</v>
      </c>
      <c r="H1321" t="s">
        <v>71</v>
      </c>
      <c r="I1321" t="s">
        <v>3617</v>
      </c>
      <c r="J1321" t="s">
        <v>1474</v>
      </c>
      <c r="K1321" t="s">
        <v>868</v>
      </c>
      <c r="L1321" t="s">
        <v>3618</v>
      </c>
      <c r="M1321" t="s">
        <v>1474</v>
      </c>
      <c r="N1321" t="s">
        <v>1475</v>
      </c>
      <c r="Q1321" t="s">
        <v>3599</v>
      </c>
      <c r="R1321" t="s">
        <v>3599</v>
      </c>
      <c r="S1321" t="s">
        <v>3599</v>
      </c>
      <c r="T1321">
        <v>1</v>
      </c>
      <c r="U1321" t="s">
        <v>868</v>
      </c>
      <c r="V1321">
        <v>5</v>
      </c>
      <c r="W1321">
        <v>0</v>
      </c>
      <c r="X1321">
        <v>0</v>
      </c>
    </row>
    <row r="1322" spans="1:24" x14ac:dyDescent="0.3">
      <c r="A1322" t="s">
        <v>3167</v>
      </c>
      <c r="B1322" t="s">
        <v>3168</v>
      </c>
      <c r="C1322">
        <v>1</v>
      </c>
      <c r="D1322" t="s">
        <v>11</v>
      </c>
      <c r="E1322" t="s">
        <v>21</v>
      </c>
      <c r="F1322" t="s">
        <v>22</v>
      </c>
      <c r="H1322" t="s">
        <v>71</v>
      </c>
      <c r="I1322" t="s">
        <v>3617</v>
      </c>
      <c r="J1322" t="s">
        <v>3167</v>
      </c>
      <c r="K1322" t="s">
        <v>868</v>
      </c>
      <c r="L1322" t="s">
        <v>3618</v>
      </c>
      <c r="M1322" t="s">
        <v>3167</v>
      </c>
      <c r="N1322" t="s">
        <v>3168</v>
      </c>
      <c r="Q1322" t="s">
        <v>3599</v>
      </c>
      <c r="R1322" t="s">
        <v>3599</v>
      </c>
      <c r="S1322" t="s">
        <v>3599</v>
      </c>
      <c r="T1322">
        <v>1</v>
      </c>
      <c r="U1322" t="s">
        <v>868</v>
      </c>
      <c r="V1322">
        <v>5</v>
      </c>
      <c r="W1322">
        <v>0</v>
      </c>
      <c r="X1322">
        <v>0</v>
      </c>
    </row>
    <row r="1323" spans="1:24" x14ac:dyDescent="0.3">
      <c r="A1323" t="s">
        <v>3169</v>
      </c>
      <c r="B1323" t="s">
        <v>3170</v>
      </c>
      <c r="C1323">
        <v>1</v>
      </c>
      <c r="D1323" t="s">
        <v>11</v>
      </c>
      <c r="E1323" t="s">
        <v>21</v>
      </c>
      <c r="F1323" t="s">
        <v>22</v>
      </c>
      <c r="H1323" t="s">
        <v>71</v>
      </c>
      <c r="I1323" t="s">
        <v>3617</v>
      </c>
      <c r="J1323" t="s">
        <v>3169</v>
      </c>
      <c r="K1323" t="s">
        <v>868</v>
      </c>
      <c r="L1323" t="s">
        <v>3618</v>
      </c>
      <c r="M1323" t="s">
        <v>3169</v>
      </c>
      <c r="N1323" t="s">
        <v>3170</v>
      </c>
      <c r="Q1323" t="s">
        <v>3599</v>
      </c>
      <c r="R1323" t="s">
        <v>3599</v>
      </c>
      <c r="S1323" t="s">
        <v>3599</v>
      </c>
      <c r="T1323">
        <v>1</v>
      </c>
      <c r="U1323" t="s">
        <v>868</v>
      </c>
      <c r="V1323">
        <v>5</v>
      </c>
      <c r="W1323">
        <v>0</v>
      </c>
      <c r="X1323">
        <v>0</v>
      </c>
    </row>
    <row r="1324" spans="1:24" x14ac:dyDescent="0.3">
      <c r="A1324" t="s">
        <v>3171</v>
      </c>
      <c r="B1324" t="s">
        <v>3172</v>
      </c>
      <c r="C1324">
        <v>1</v>
      </c>
      <c r="D1324" t="s">
        <v>11</v>
      </c>
      <c r="E1324" t="s">
        <v>21</v>
      </c>
      <c r="F1324" t="s">
        <v>22</v>
      </c>
      <c r="H1324" t="s">
        <v>71</v>
      </c>
      <c r="I1324" t="s">
        <v>3617</v>
      </c>
      <c r="J1324" t="s">
        <v>3171</v>
      </c>
      <c r="K1324" t="s">
        <v>868</v>
      </c>
      <c r="L1324" t="s">
        <v>3618</v>
      </c>
      <c r="M1324" t="s">
        <v>3171</v>
      </c>
      <c r="N1324" t="s">
        <v>3172</v>
      </c>
      <c r="Q1324" t="s">
        <v>3599</v>
      </c>
      <c r="R1324" t="s">
        <v>3599</v>
      </c>
      <c r="S1324" t="s">
        <v>3599</v>
      </c>
      <c r="T1324">
        <v>1</v>
      </c>
      <c r="U1324" t="s">
        <v>868</v>
      </c>
      <c r="V1324">
        <v>5</v>
      </c>
      <c r="W1324">
        <v>0</v>
      </c>
      <c r="X1324">
        <v>0</v>
      </c>
    </row>
    <row r="1325" spans="1:24" x14ac:dyDescent="0.3">
      <c r="A1325" t="s">
        <v>3173</v>
      </c>
      <c r="B1325" t="s">
        <v>3174</v>
      </c>
      <c r="C1325">
        <v>1</v>
      </c>
      <c r="D1325" t="s">
        <v>11</v>
      </c>
      <c r="E1325" t="s">
        <v>21</v>
      </c>
      <c r="F1325" t="s">
        <v>22</v>
      </c>
      <c r="H1325" t="s">
        <v>71</v>
      </c>
      <c r="I1325" t="s">
        <v>3617</v>
      </c>
      <c r="J1325" t="s">
        <v>3173</v>
      </c>
      <c r="K1325" t="s">
        <v>868</v>
      </c>
      <c r="L1325" t="s">
        <v>3618</v>
      </c>
      <c r="M1325" t="s">
        <v>3173</v>
      </c>
      <c r="N1325" t="s">
        <v>3174</v>
      </c>
      <c r="Q1325" t="s">
        <v>3599</v>
      </c>
      <c r="R1325" t="s">
        <v>3599</v>
      </c>
      <c r="S1325" t="s">
        <v>3599</v>
      </c>
      <c r="T1325">
        <v>1</v>
      </c>
      <c r="U1325" t="s">
        <v>868</v>
      </c>
      <c r="V1325">
        <v>5</v>
      </c>
      <c r="W1325">
        <v>0</v>
      </c>
      <c r="X1325">
        <v>0</v>
      </c>
    </row>
    <row r="1326" spans="1:24" x14ac:dyDescent="0.3">
      <c r="A1326" t="s">
        <v>3175</v>
      </c>
      <c r="B1326" t="s">
        <v>3176</v>
      </c>
      <c r="C1326">
        <v>1</v>
      </c>
      <c r="D1326" t="s">
        <v>11</v>
      </c>
      <c r="E1326" t="s">
        <v>21</v>
      </c>
      <c r="F1326" t="s">
        <v>22</v>
      </c>
      <c r="H1326" t="s">
        <v>71</v>
      </c>
      <c r="I1326" t="s">
        <v>3617</v>
      </c>
      <c r="J1326" t="s">
        <v>3175</v>
      </c>
      <c r="K1326" t="s">
        <v>868</v>
      </c>
      <c r="L1326" t="s">
        <v>3618</v>
      </c>
      <c r="M1326" t="s">
        <v>3175</v>
      </c>
      <c r="N1326" t="s">
        <v>3176</v>
      </c>
      <c r="Q1326" t="s">
        <v>3599</v>
      </c>
      <c r="R1326" t="s">
        <v>3599</v>
      </c>
      <c r="S1326" t="s">
        <v>3599</v>
      </c>
      <c r="T1326">
        <v>1</v>
      </c>
      <c r="U1326" t="s">
        <v>868</v>
      </c>
      <c r="V1326">
        <v>5</v>
      </c>
      <c r="W1326">
        <v>0</v>
      </c>
      <c r="X1326">
        <v>0</v>
      </c>
    </row>
    <row r="1327" spans="1:24" x14ac:dyDescent="0.3">
      <c r="A1327" t="s">
        <v>3177</v>
      </c>
      <c r="B1327" t="s">
        <v>3178</v>
      </c>
      <c r="C1327">
        <v>1</v>
      </c>
      <c r="D1327" t="s">
        <v>11</v>
      </c>
      <c r="E1327" t="s">
        <v>21</v>
      </c>
      <c r="F1327" t="s">
        <v>22</v>
      </c>
      <c r="H1327" t="s">
        <v>71</v>
      </c>
      <c r="I1327" t="s">
        <v>3617</v>
      </c>
      <c r="J1327" t="s">
        <v>3177</v>
      </c>
      <c r="K1327" t="s">
        <v>868</v>
      </c>
      <c r="L1327" t="s">
        <v>3618</v>
      </c>
      <c r="M1327" t="s">
        <v>3177</v>
      </c>
      <c r="N1327" t="s">
        <v>3178</v>
      </c>
      <c r="Q1327" t="s">
        <v>3599</v>
      </c>
      <c r="R1327" t="s">
        <v>3599</v>
      </c>
      <c r="S1327" t="s">
        <v>3599</v>
      </c>
      <c r="T1327">
        <v>1</v>
      </c>
      <c r="U1327" t="s">
        <v>868</v>
      </c>
      <c r="V1327">
        <v>5</v>
      </c>
      <c r="W1327">
        <v>0</v>
      </c>
      <c r="X1327">
        <v>0</v>
      </c>
    </row>
    <row r="1328" spans="1:24" x14ac:dyDescent="0.3">
      <c r="A1328" t="s">
        <v>3179</v>
      </c>
      <c r="B1328" t="s">
        <v>3180</v>
      </c>
      <c r="C1328">
        <v>1</v>
      </c>
      <c r="D1328" t="s">
        <v>11</v>
      </c>
      <c r="E1328" t="s">
        <v>21</v>
      </c>
      <c r="F1328" t="s">
        <v>22</v>
      </c>
      <c r="H1328" t="s">
        <v>71</v>
      </c>
      <c r="I1328" t="s">
        <v>3617</v>
      </c>
      <c r="J1328" t="s">
        <v>3179</v>
      </c>
      <c r="K1328" t="s">
        <v>868</v>
      </c>
      <c r="L1328" t="s">
        <v>3618</v>
      </c>
      <c r="M1328" t="s">
        <v>3179</v>
      </c>
      <c r="N1328" t="s">
        <v>3180</v>
      </c>
      <c r="Q1328" t="s">
        <v>3599</v>
      </c>
      <c r="R1328" t="s">
        <v>3599</v>
      </c>
      <c r="S1328" t="s">
        <v>3599</v>
      </c>
      <c r="T1328">
        <v>1</v>
      </c>
      <c r="U1328" t="s">
        <v>868</v>
      </c>
      <c r="V1328">
        <v>5</v>
      </c>
      <c r="W1328">
        <v>0</v>
      </c>
      <c r="X1328">
        <v>0</v>
      </c>
    </row>
    <row r="1329" spans="1:24" x14ac:dyDescent="0.3">
      <c r="A1329" t="s">
        <v>3181</v>
      </c>
      <c r="B1329" t="s">
        <v>3182</v>
      </c>
      <c r="C1329">
        <v>1</v>
      </c>
      <c r="D1329" t="s">
        <v>11</v>
      </c>
      <c r="E1329" t="s">
        <v>21</v>
      </c>
      <c r="F1329" t="s">
        <v>22</v>
      </c>
      <c r="H1329" t="s">
        <v>71</v>
      </c>
      <c r="I1329" t="s">
        <v>3617</v>
      </c>
      <c r="J1329" t="s">
        <v>3181</v>
      </c>
      <c r="K1329" t="s">
        <v>868</v>
      </c>
      <c r="L1329" t="s">
        <v>3618</v>
      </c>
      <c r="M1329" t="s">
        <v>3181</v>
      </c>
      <c r="N1329" t="s">
        <v>3182</v>
      </c>
      <c r="Q1329" t="s">
        <v>3599</v>
      </c>
      <c r="R1329" t="s">
        <v>3599</v>
      </c>
      <c r="S1329" t="s">
        <v>3599</v>
      </c>
      <c r="T1329">
        <v>1</v>
      </c>
      <c r="U1329" t="s">
        <v>868</v>
      </c>
      <c r="V1329">
        <v>5</v>
      </c>
      <c r="W1329">
        <v>0</v>
      </c>
      <c r="X1329">
        <v>0</v>
      </c>
    </row>
    <row r="1330" spans="1:24" x14ac:dyDescent="0.3">
      <c r="A1330" t="s">
        <v>3183</v>
      </c>
      <c r="B1330" t="s">
        <v>3184</v>
      </c>
      <c r="C1330">
        <v>1</v>
      </c>
      <c r="D1330" t="s">
        <v>11</v>
      </c>
      <c r="E1330" t="s">
        <v>21</v>
      </c>
      <c r="F1330" t="s">
        <v>22</v>
      </c>
      <c r="H1330" t="s">
        <v>71</v>
      </c>
      <c r="I1330" t="s">
        <v>3617</v>
      </c>
      <c r="J1330" t="s">
        <v>3183</v>
      </c>
      <c r="K1330" t="s">
        <v>868</v>
      </c>
      <c r="L1330" t="s">
        <v>3618</v>
      </c>
      <c r="M1330" t="s">
        <v>3183</v>
      </c>
      <c r="N1330" t="s">
        <v>3184</v>
      </c>
      <c r="Q1330" t="s">
        <v>3599</v>
      </c>
      <c r="R1330" t="s">
        <v>3599</v>
      </c>
      <c r="S1330" t="s">
        <v>3599</v>
      </c>
      <c r="T1330">
        <v>1</v>
      </c>
      <c r="U1330" t="s">
        <v>868</v>
      </c>
      <c r="V1330">
        <v>5</v>
      </c>
      <c r="W1330">
        <v>0</v>
      </c>
      <c r="X1330">
        <v>0</v>
      </c>
    </row>
    <row r="1331" spans="1:24" x14ac:dyDescent="0.3">
      <c r="A1331" t="s">
        <v>3185</v>
      </c>
      <c r="B1331" t="s">
        <v>3186</v>
      </c>
      <c r="C1331">
        <v>1</v>
      </c>
      <c r="D1331" t="s">
        <v>11</v>
      </c>
      <c r="E1331" t="s">
        <v>21</v>
      </c>
      <c r="F1331" t="s">
        <v>22</v>
      </c>
      <c r="H1331" t="s">
        <v>71</v>
      </c>
      <c r="I1331" t="s">
        <v>3617</v>
      </c>
      <c r="J1331" t="s">
        <v>3185</v>
      </c>
      <c r="K1331" t="s">
        <v>868</v>
      </c>
      <c r="L1331" t="s">
        <v>3618</v>
      </c>
      <c r="M1331" t="s">
        <v>3185</v>
      </c>
      <c r="N1331" t="s">
        <v>3186</v>
      </c>
      <c r="Q1331" t="s">
        <v>3599</v>
      </c>
      <c r="R1331" t="s">
        <v>3599</v>
      </c>
      <c r="S1331" t="s">
        <v>3599</v>
      </c>
      <c r="T1331">
        <v>1</v>
      </c>
      <c r="U1331" t="s">
        <v>868</v>
      </c>
      <c r="V1331">
        <v>5</v>
      </c>
      <c r="W1331">
        <v>0</v>
      </c>
      <c r="X1331">
        <v>0</v>
      </c>
    </row>
    <row r="1332" spans="1:24" x14ac:dyDescent="0.3">
      <c r="A1332" t="s">
        <v>3187</v>
      </c>
      <c r="B1332" t="s">
        <v>3188</v>
      </c>
      <c r="C1332">
        <v>1</v>
      </c>
      <c r="D1332" t="s">
        <v>11</v>
      </c>
      <c r="E1332" t="s">
        <v>21</v>
      </c>
      <c r="F1332" t="s">
        <v>22</v>
      </c>
      <c r="H1332" t="s">
        <v>71</v>
      </c>
      <c r="I1332" t="s">
        <v>3617</v>
      </c>
      <c r="J1332" t="s">
        <v>3187</v>
      </c>
      <c r="K1332" t="s">
        <v>868</v>
      </c>
      <c r="L1332" t="s">
        <v>3618</v>
      </c>
      <c r="M1332" t="s">
        <v>3187</v>
      </c>
      <c r="N1332" t="s">
        <v>3188</v>
      </c>
      <c r="Q1332" t="s">
        <v>3599</v>
      </c>
      <c r="R1332" t="s">
        <v>3599</v>
      </c>
      <c r="S1332" t="s">
        <v>3599</v>
      </c>
      <c r="T1332">
        <v>1</v>
      </c>
      <c r="U1332" t="s">
        <v>868</v>
      </c>
      <c r="V1332">
        <v>5</v>
      </c>
      <c r="W1332">
        <v>0</v>
      </c>
      <c r="X1332">
        <v>0</v>
      </c>
    </row>
    <row r="1333" spans="1:24" x14ac:dyDescent="0.3">
      <c r="A1333" t="s">
        <v>3189</v>
      </c>
      <c r="B1333" t="s">
        <v>3190</v>
      </c>
      <c r="C1333">
        <v>1</v>
      </c>
      <c r="D1333" t="s">
        <v>11</v>
      </c>
      <c r="E1333" t="s">
        <v>21</v>
      </c>
      <c r="F1333" t="s">
        <v>22</v>
      </c>
      <c r="H1333" t="s">
        <v>71</v>
      </c>
      <c r="I1333" t="s">
        <v>3617</v>
      </c>
      <c r="J1333" t="s">
        <v>3189</v>
      </c>
      <c r="K1333" t="s">
        <v>868</v>
      </c>
      <c r="L1333" t="s">
        <v>3618</v>
      </c>
      <c r="M1333" t="s">
        <v>3189</v>
      </c>
      <c r="N1333" t="s">
        <v>3190</v>
      </c>
      <c r="Q1333" t="s">
        <v>3599</v>
      </c>
      <c r="R1333" t="s">
        <v>3599</v>
      </c>
      <c r="S1333" t="s">
        <v>3599</v>
      </c>
      <c r="T1333">
        <v>1</v>
      </c>
      <c r="U1333" t="s">
        <v>868</v>
      </c>
      <c r="V1333">
        <v>5</v>
      </c>
      <c r="W1333">
        <v>0</v>
      </c>
      <c r="X1333">
        <v>0</v>
      </c>
    </row>
    <row r="1334" spans="1:24" x14ac:dyDescent="0.3">
      <c r="A1334" t="s">
        <v>3191</v>
      </c>
      <c r="B1334" t="s">
        <v>3192</v>
      </c>
      <c r="C1334">
        <v>1</v>
      </c>
      <c r="D1334" t="s">
        <v>11</v>
      </c>
      <c r="E1334" t="s">
        <v>21</v>
      </c>
      <c r="F1334" t="s">
        <v>22</v>
      </c>
      <c r="H1334" t="s">
        <v>71</v>
      </c>
      <c r="I1334" t="s">
        <v>3617</v>
      </c>
      <c r="J1334" t="s">
        <v>3191</v>
      </c>
      <c r="K1334" t="s">
        <v>868</v>
      </c>
      <c r="L1334" t="s">
        <v>3618</v>
      </c>
      <c r="M1334" t="s">
        <v>3191</v>
      </c>
      <c r="N1334" t="s">
        <v>3192</v>
      </c>
      <c r="Q1334" t="s">
        <v>3599</v>
      </c>
      <c r="R1334" t="s">
        <v>3599</v>
      </c>
      <c r="S1334" t="s">
        <v>3599</v>
      </c>
      <c r="T1334">
        <v>1</v>
      </c>
      <c r="U1334" t="s">
        <v>868</v>
      </c>
      <c r="V1334">
        <v>5</v>
      </c>
      <c r="W1334">
        <v>0</v>
      </c>
      <c r="X1334">
        <v>0</v>
      </c>
    </row>
    <row r="1335" spans="1:24" x14ac:dyDescent="0.3">
      <c r="A1335" t="s">
        <v>1547</v>
      </c>
      <c r="B1335" t="s">
        <v>1548</v>
      </c>
      <c r="C1335">
        <v>1</v>
      </c>
      <c r="D1335" t="s">
        <v>11</v>
      </c>
      <c r="E1335" t="s">
        <v>21</v>
      </c>
      <c r="F1335" t="s">
        <v>22</v>
      </c>
      <c r="H1335" t="s">
        <v>71</v>
      </c>
      <c r="I1335" t="s">
        <v>3617</v>
      </c>
      <c r="J1335" t="s">
        <v>1547</v>
      </c>
      <c r="K1335" t="s">
        <v>868</v>
      </c>
      <c r="L1335" t="s">
        <v>3618</v>
      </c>
      <c r="M1335" t="s">
        <v>1547</v>
      </c>
      <c r="N1335" t="s">
        <v>1548</v>
      </c>
      <c r="Q1335" t="s">
        <v>3599</v>
      </c>
      <c r="R1335" t="s">
        <v>3599</v>
      </c>
      <c r="S1335" t="s">
        <v>3599</v>
      </c>
      <c r="T1335">
        <v>1</v>
      </c>
      <c r="U1335" t="s">
        <v>868</v>
      </c>
      <c r="V1335">
        <v>5</v>
      </c>
      <c r="W1335">
        <v>0</v>
      </c>
      <c r="X1335">
        <v>0</v>
      </c>
    </row>
    <row r="1336" spans="1:24" x14ac:dyDescent="0.3">
      <c r="A1336" t="s">
        <v>3193</v>
      </c>
      <c r="B1336" t="s">
        <v>3194</v>
      </c>
      <c r="C1336">
        <v>1</v>
      </c>
      <c r="D1336" t="s">
        <v>11</v>
      </c>
      <c r="E1336" t="s">
        <v>21</v>
      </c>
      <c r="F1336" t="s">
        <v>22</v>
      </c>
      <c r="H1336" t="s">
        <v>71</v>
      </c>
      <c r="I1336" t="s">
        <v>3617</v>
      </c>
      <c r="K1336" t="s">
        <v>868</v>
      </c>
      <c r="L1336" t="s">
        <v>3618</v>
      </c>
      <c r="N1336" t="s">
        <v>3194</v>
      </c>
      <c r="Q1336" t="s">
        <v>3599</v>
      </c>
      <c r="R1336" t="s">
        <v>3599</v>
      </c>
      <c r="S1336" t="s">
        <v>3599</v>
      </c>
      <c r="T1336">
        <v>1</v>
      </c>
      <c r="U1336" t="s">
        <v>868</v>
      </c>
      <c r="V1336">
        <v>5</v>
      </c>
      <c r="W1336">
        <v>0</v>
      </c>
      <c r="X1336">
        <v>0</v>
      </c>
    </row>
    <row r="1337" spans="1:24" x14ac:dyDescent="0.3">
      <c r="A1337" t="s">
        <v>3195</v>
      </c>
      <c r="B1337" t="s">
        <v>3196</v>
      </c>
      <c r="C1337">
        <v>1</v>
      </c>
      <c r="D1337" t="s">
        <v>11</v>
      </c>
      <c r="E1337" t="s">
        <v>21</v>
      </c>
      <c r="F1337" t="s">
        <v>22</v>
      </c>
      <c r="H1337" t="s">
        <v>71</v>
      </c>
      <c r="I1337" t="s">
        <v>3617</v>
      </c>
      <c r="K1337" t="s">
        <v>868</v>
      </c>
      <c r="L1337" t="s">
        <v>3618</v>
      </c>
      <c r="N1337" t="s">
        <v>3196</v>
      </c>
      <c r="Q1337" t="s">
        <v>3599</v>
      </c>
      <c r="R1337" t="s">
        <v>3599</v>
      </c>
      <c r="S1337" t="s">
        <v>3599</v>
      </c>
      <c r="T1337">
        <v>1</v>
      </c>
      <c r="U1337" t="s">
        <v>868</v>
      </c>
      <c r="V1337">
        <v>5</v>
      </c>
      <c r="W1337">
        <v>0</v>
      </c>
      <c r="X1337">
        <v>0</v>
      </c>
    </row>
    <row r="1338" spans="1:24" x14ac:dyDescent="0.3">
      <c r="A1338" t="s">
        <v>3197</v>
      </c>
      <c r="B1338" t="s">
        <v>3198</v>
      </c>
      <c r="C1338">
        <v>1</v>
      </c>
      <c r="D1338" t="s">
        <v>11</v>
      </c>
      <c r="E1338" t="s">
        <v>21</v>
      </c>
      <c r="F1338" t="s">
        <v>22</v>
      </c>
      <c r="H1338" t="s">
        <v>71</v>
      </c>
      <c r="I1338" t="s">
        <v>3617</v>
      </c>
      <c r="K1338" t="s">
        <v>868</v>
      </c>
      <c r="L1338" t="s">
        <v>3618</v>
      </c>
      <c r="N1338" t="s">
        <v>3198</v>
      </c>
      <c r="Q1338" t="s">
        <v>3599</v>
      </c>
      <c r="R1338" t="s">
        <v>3599</v>
      </c>
      <c r="S1338" t="s">
        <v>3599</v>
      </c>
      <c r="T1338">
        <v>1</v>
      </c>
      <c r="U1338" t="s">
        <v>868</v>
      </c>
      <c r="V1338">
        <v>5</v>
      </c>
      <c r="W1338">
        <v>0</v>
      </c>
      <c r="X1338">
        <v>0</v>
      </c>
    </row>
    <row r="1339" spans="1:24" x14ac:dyDescent="0.3">
      <c r="A1339" t="s">
        <v>3199</v>
      </c>
      <c r="B1339" t="s">
        <v>3200</v>
      </c>
      <c r="C1339">
        <v>1</v>
      </c>
      <c r="D1339" t="s">
        <v>11</v>
      </c>
      <c r="E1339" t="s">
        <v>21</v>
      </c>
      <c r="F1339" t="s">
        <v>22</v>
      </c>
      <c r="H1339" t="s">
        <v>71</v>
      </c>
      <c r="I1339" t="s">
        <v>3617</v>
      </c>
      <c r="J1339" t="s">
        <v>3199</v>
      </c>
      <c r="K1339" t="s">
        <v>868</v>
      </c>
      <c r="L1339" t="s">
        <v>3618</v>
      </c>
      <c r="M1339" t="s">
        <v>3199</v>
      </c>
      <c r="N1339" t="s">
        <v>3200</v>
      </c>
      <c r="Q1339" t="s">
        <v>3599</v>
      </c>
      <c r="R1339" t="s">
        <v>3599</v>
      </c>
      <c r="S1339" t="s">
        <v>3599</v>
      </c>
      <c r="T1339">
        <v>1</v>
      </c>
      <c r="U1339" t="s">
        <v>868</v>
      </c>
      <c r="V1339">
        <v>5</v>
      </c>
      <c r="W1339">
        <v>0</v>
      </c>
      <c r="X1339">
        <v>0</v>
      </c>
    </row>
    <row r="1340" spans="1:24" x14ac:dyDescent="0.3">
      <c r="A1340" t="s">
        <v>3201</v>
      </c>
      <c r="B1340" t="s">
        <v>3202</v>
      </c>
      <c r="C1340">
        <v>1</v>
      </c>
      <c r="D1340" t="s">
        <v>11</v>
      </c>
      <c r="E1340" t="s">
        <v>21</v>
      </c>
      <c r="F1340" t="s">
        <v>22</v>
      </c>
      <c r="H1340" t="s">
        <v>71</v>
      </c>
      <c r="I1340" t="s">
        <v>3617</v>
      </c>
      <c r="J1340" t="s">
        <v>3201</v>
      </c>
      <c r="K1340" t="s">
        <v>868</v>
      </c>
      <c r="L1340" t="s">
        <v>3618</v>
      </c>
      <c r="M1340" t="s">
        <v>3201</v>
      </c>
      <c r="N1340" t="s">
        <v>3202</v>
      </c>
      <c r="Q1340" t="s">
        <v>3599</v>
      </c>
      <c r="R1340" t="s">
        <v>3599</v>
      </c>
      <c r="S1340" t="s">
        <v>3599</v>
      </c>
      <c r="T1340">
        <v>1</v>
      </c>
      <c r="U1340" t="s">
        <v>868</v>
      </c>
      <c r="V1340">
        <v>5</v>
      </c>
      <c r="W1340">
        <v>0</v>
      </c>
      <c r="X1340">
        <v>0</v>
      </c>
    </row>
    <row r="1341" spans="1:24" x14ac:dyDescent="0.3">
      <c r="A1341" t="s">
        <v>3203</v>
      </c>
      <c r="B1341" t="s">
        <v>3204</v>
      </c>
      <c r="C1341">
        <v>1</v>
      </c>
      <c r="D1341" t="s">
        <v>11</v>
      </c>
      <c r="E1341" t="s">
        <v>21</v>
      </c>
      <c r="F1341" t="s">
        <v>22</v>
      </c>
      <c r="H1341" t="s">
        <v>71</v>
      </c>
      <c r="I1341" t="s">
        <v>3617</v>
      </c>
      <c r="J1341" t="s">
        <v>3203</v>
      </c>
      <c r="K1341" t="s">
        <v>868</v>
      </c>
      <c r="L1341" t="s">
        <v>3618</v>
      </c>
      <c r="M1341" t="s">
        <v>3203</v>
      </c>
      <c r="N1341" t="s">
        <v>3204</v>
      </c>
      <c r="Q1341" t="s">
        <v>3599</v>
      </c>
      <c r="R1341" t="s">
        <v>3599</v>
      </c>
      <c r="S1341" t="s">
        <v>3599</v>
      </c>
      <c r="T1341">
        <v>1</v>
      </c>
      <c r="U1341" t="s">
        <v>868</v>
      </c>
      <c r="V1341">
        <v>5</v>
      </c>
      <c r="W1341">
        <v>0</v>
      </c>
      <c r="X1341">
        <v>0</v>
      </c>
    </row>
    <row r="1342" spans="1:24" x14ac:dyDescent="0.3">
      <c r="A1342" t="s">
        <v>3205</v>
      </c>
      <c r="B1342" t="s">
        <v>3206</v>
      </c>
      <c r="C1342">
        <v>1</v>
      </c>
      <c r="D1342" t="s">
        <v>11</v>
      </c>
      <c r="E1342" t="s">
        <v>21</v>
      </c>
      <c r="F1342" t="s">
        <v>22</v>
      </c>
      <c r="H1342" t="s">
        <v>71</v>
      </c>
      <c r="I1342" t="s">
        <v>3617</v>
      </c>
      <c r="J1342" t="s">
        <v>3205</v>
      </c>
      <c r="K1342" t="s">
        <v>868</v>
      </c>
      <c r="L1342" t="s">
        <v>3618</v>
      </c>
      <c r="M1342" t="s">
        <v>3205</v>
      </c>
      <c r="N1342" t="s">
        <v>3206</v>
      </c>
      <c r="Q1342" t="s">
        <v>3599</v>
      </c>
      <c r="R1342" t="s">
        <v>3599</v>
      </c>
      <c r="S1342" t="s">
        <v>3599</v>
      </c>
      <c r="T1342">
        <v>1</v>
      </c>
      <c r="U1342" t="s">
        <v>868</v>
      </c>
      <c r="V1342">
        <v>5</v>
      </c>
      <c r="W1342">
        <v>0</v>
      </c>
      <c r="X1342">
        <v>0</v>
      </c>
    </row>
    <row r="1343" spans="1:24" x14ac:dyDescent="0.3">
      <c r="A1343" t="s">
        <v>3207</v>
      </c>
      <c r="B1343" t="s">
        <v>3208</v>
      </c>
      <c r="C1343">
        <v>1</v>
      </c>
      <c r="D1343" t="s">
        <v>11</v>
      </c>
      <c r="E1343" t="s">
        <v>21</v>
      </c>
      <c r="F1343" t="s">
        <v>22</v>
      </c>
      <c r="H1343" t="s">
        <v>71</v>
      </c>
      <c r="I1343" t="s">
        <v>3617</v>
      </c>
      <c r="J1343" t="s">
        <v>3207</v>
      </c>
      <c r="K1343" t="s">
        <v>868</v>
      </c>
      <c r="L1343" t="s">
        <v>3618</v>
      </c>
      <c r="M1343" t="s">
        <v>3207</v>
      </c>
      <c r="N1343" t="s">
        <v>3208</v>
      </c>
      <c r="Q1343" t="s">
        <v>3599</v>
      </c>
      <c r="R1343" t="s">
        <v>3599</v>
      </c>
      <c r="S1343" t="s">
        <v>3599</v>
      </c>
      <c r="T1343">
        <v>1</v>
      </c>
      <c r="U1343" t="s">
        <v>868</v>
      </c>
      <c r="V1343">
        <v>5</v>
      </c>
      <c r="W1343">
        <v>0</v>
      </c>
      <c r="X1343">
        <v>0</v>
      </c>
    </row>
    <row r="1344" spans="1:24" x14ac:dyDescent="0.3">
      <c r="A1344" t="s">
        <v>3209</v>
      </c>
      <c r="B1344" t="s">
        <v>3210</v>
      </c>
      <c r="C1344">
        <v>1</v>
      </c>
      <c r="D1344" t="s">
        <v>11</v>
      </c>
      <c r="E1344" t="s">
        <v>21</v>
      </c>
      <c r="F1344" t="s">
        <v>22</v>
      </c>
      <c r="H1344" t="s">
        <v>71</v>
      </c>
      <c r="I1344" t="s">
        <v>3617</v>
      </c>
      <c r="J1344" t="s">
        <v>3209</v>
      </c>
      <c r="K1344" t="s">
        <v>868</v>
      </c>
      <c r="L1344" t="s">
        <v>3618</v>
      </c>
      <c r="M1344" t="s">
        <v>3209</v>
      </c>
      <c r="N1344" t="s">
        <v>3210</v>
      </c>
      <c r="Q1344" t="s">
        <v>3599</v>
      </c>
      <c r="R1344" t="s">
        <v>3599</v>
      </c>
      <c r="S1344" t="s">
        <v>3599</v>
      </c>
      <c r="T1344">
        <v>1</v>
      </c>
      <c r="U1344" t="s">
        <v>868</v>
      </c>
      <c r="V1344">
        <v>5</v>
      </c>
      <c r="W1344">
        <v>0</v>
      </c>
      <c r="X1344">
        <v>0</v>
      </c>
    </row>
    <row r="1345" spans="1:24" x14ac:dyDescent="0.3">
      <c r="A1345" t="s">
        <v>3211</v>
      </c>
      <c r="B1345" t="s">
        <v>3212</v>
      </c>
      <c r="C1345">
        <v>1</v>
      </c>
      <c r="D1345" t="s">
        <v>11</v>
      </c>
      <c r="E1345" t="s">
        <v>21</v>
      </c>
      <c r="F1345" t="s">
        <v>22</v>
      </c>
      <c r="H1345" t="s">
        <v>71</v>
      </c>
      <c r="I1345" t="s">
        <v>3617</v>
      </c>
      <c r="J1345" t="s">
        <v>3211</v>
      </c>
      <c r="K1345" t="s">
        <v>868</v>
      </c>
      <c r="L1345" t="s">
        <v>3618</v>
      </c>
      <c r="M1345" t="s">
        <v>3211</v>
      </c>
      <c r="N1345" t="s">
        <v>3212</v>
      </c>
      <c r="Q1345" t="s">
        <v>3599</v>
      </c>
      <c r="R1345" t="s">
        <v>3599</v>
      </c>
      <c r="S1345" t="s">
        <v>3599</v>
      </c>
      <c r="T1345">
        <v>1</v>
      </c>
      <c r="U1345" t="s">
        <v>868</v>
      </c>
      <c r="V1345">
        <v>5</v>
      </c>
      <c r="W1345">
        <v>0</v>
      </c>
      <c r="X1345">
        <v>0</v>
      </c>
    </row>
    <row r="1346" spans="1:24" x14ac:dyDescent="0.3">
      <c r="A1346" t="s">
        <v>3213</v>
      </c>
      <c r="B1346" t="s">
        <v>3214</v>
      </c>
      <c r="C1346">
        <v>1</v>
      </c>
      <c r="D1346" t="s">
        <v>11</v>
      </c>
      <c r="E1346" t="s">
        <v>21</v>
      </c>
      <c r="F1346" t="s">
        <v>22</v>
      </c>
      <c r="H1346" t="s">
        <v>71</v>
      </c>
      <c r="I1346" t="s">
        <v>3617</v>
      </c>
      <c r="J1346" t="s">
        <v>3213</v>
      </c>
      <c r="K1346" t="s">
        <v>868</v>
      </c>
      <c r="L1346" t="s">
        <v>3618</v>
      </c>
      <c r="M1346" t="s">
        <v>3213</v>
      </c>
      <c r="N1346" t="s">
        <v>3214</v>
      </c>
      <c r="Q1346" t="s">
        <v>3599</v>
      </c>
      <c r="R1346" t="s">
        <v>3599</v>
      </c>
      <c r="S1346" t="s">
        <v>3599</v>
      </c>
      <c r="T1346">
        <v>1</v>
      </c>
      <c r="U1346" t="s">
        <v>868</v>
      </c>
      <c r="V1346">
        <v>5</v>
      </c>
      <c r="W1346">
        <v>0</v>
      </c>
      <c r="X1346">
        <v>0</v>
      </c>
    </row>
    <row r="1347" spans="1:24" x14ac:dyDescent="0.3">
      <c r="A1347" t="s">
        <v>3215</v>
      </c>
      <c r="B1347" t="s">
        <v>3216</v>
      </c>
      <c r="C1347">
        <v>1</v>
      </c>
      <c r="D1347" t="s">
        <v>11</v>
      </c>
      <c r="E1347" t="s">
        <v>21</v>
      </c>
      <c r="F1347" t="s">
        <v>22</v>
      </c>
      <c r="H1347" t="s">
        <v>71</v>
      </c>
      <c r="I1347" t="s">
        <v>3617</v>
      </c>
      <c r="J1347" t="s">
        <v>3215</v>
      </c>
      <c r="K1347" t="s">
        <v>868</v>
      </c>
      <c r="L1347" t="s">
        <v>3618</v>
      </c>
      <c r="M1347" t="s">
        <v>3215</v>
      </c>
      <c r="N1347" t="s">
        <v>3216</v>
      </c>
      <c r="Q1347" t="s">
        <v>3599</v>
      </c>
      <c r="R1347" t="s">
        <v>3599</v>
      </c>
      <c r="S1347" t="s">
        <v>3599</v>
      </c>
      <c r="T1347">
        <v>1</v>
      </c>
      <c r="U1347" t="s">
        <v>868</v>
      </c>
      <c r="V1347">
        <v>5</v>
      </c>
      <c r="W1347">
        <v>0</v>
      </c>
      <c r="X1347">
        <v>0</v>
      </c>
    </row>
    <row r="1348" spans="1:24" x14ac:dyDescent="0.3">
      <c r="A1348" t="s">
        <v>3217</v>
      </c>
      <c r="B1348" t="s">
        <v>3218</v>
      </c>
      <c r="C1348">
        <v>1</v>
      </c>
      <c r="D1348" t="s">
        <v>11</v>
      </c>
      <c r="E1348" t="s">
        <v>21</v>
      </c>
      <c r="F1348" t="s">
        <v>22</v>
      </c>
      <c r="H1348" t="s">
        <v>71</v>
      </c>
      <c r="I1348" t="s">
        <v>3617</v>
      </c>
      <c r="J1348" t="s">
        <v>3217</v>
      </c>
      <c r="K1348" t="s">
        <v>868</v>
      </c>
      <c r="L1348" t="s">
        <v>3618</v>
      </c>
      <c r="M1348" t="s">
        <v>3217</v>
      </c>
      <c r="N1348" t="s">
        <v>3218</v>
      </c>
      <c r="Q1348" t="s">
        <v>3599</v>
      </c>
      <c r="R1348" t="s">
        <v>3599</v>
      </c>
      <c r="S1348" t="s">
        <v>3599</v>
      </c>
      <c r="T1348">
        <v>1</v>
      </c>
      <c r="U1348" t="s">
        <v>868</v>
      </c>
      <c r="V1348">
        <v>5</v>
      </c>
      <c r="W1348">
        <v>0</v>
      </c>
      <c r="X1348">
        <v>0</v>
      </c>
    </row>
    <row r="1349" spans="1:24" x14ac:dyDescent="0.3">
      <c r="A1349" t="s">
        <v>2144</v>
      </c>
      <c r="B1349" t="s">
        <v>3219</v>
      </c>
      <c r="C1349">
        <v>1</v>
      </c>
      <c r="D1349" t="s">
        <v>11</v>
      </c>
      <c r="E1349" t="s">
        <v>21</v>
      </c>
      <c r="F1349" t="s">
        <v>22</v>
      </c>
      <c r="H1349" t="s">
        <v>71</v>
      </c>
      <c r="I1349" t="s">
        <v>3617</v>
      </c>
      <c r="J1349" t="s">
        <v>2144</v>
      </c>
      <c r="K1349" t="s">
        <v>868</v>
      </c>
      <c r="L1349" t="s">
        <v>3618</v>
      </c>
      <c r="M1349" t="s">
        <v>2144</v>
      </c>
      <c r="N1349" t="s">
        <v>3219</v>
      </c>
      <c r="Q1349" t="s">
        <v>3599</v>
      </c>
      <c r="R1349" t="s">
        <v>3599</v>
      </c>
      <c r="S1349" t="s">
        <v>3599</v>
      </c>
      <c r="T1349">
        <v>1</v>
      </c>
      <c r="U1349" t="s">
        <v>868</v>
      </c>
      <c r="V1349">
        <v>5</v>
      </c>
      <c r="W1349">
        <v>0</v>
      </c>
      <c r="X1349">
        <v>0</v>
      </c>
    </row>
    <row r="1350" spans="1:24" x14ac:dyDescent="0.3">
      <c r="A1350" t="s">
        <v>3220</v>
      </c>
      <c r="B1350" t="s">
        <v>3221</v>
      </c>
      <c r="C1350">
        <v>1</v>
      </c>
      <c r="D1350" t="s">
        <v>11</v>
      </c>
      <c r="E1350" t="s">
        <v>21</v>
      </c>
      <c r="F1350" t="s">
        <v>22</v>
      </c>
      <c r="H1350" t="s">
        <v>71</v>
      </c>
      <c r="I1350" t="s">
        <v>3617</v>
      </c>
      <c r="J1350" t="s">
        <v>3220</v>
      </c>
      <c r="K1350" t="s">
        <v>868</v>
      </c>
      <c r="L1350" t="s">
        <v>3618</v>
      </c>
      <c r="M1350" t="s">
        <v>3220</v>
      </c>
      <c r="N1350" t="s">
        <v>3221</v>
      </c>
      <c r="Q1350" t="s">
        <v>3599</v>
      </c>
      <c r="R1350" t="s">
        <v>3599</v>
      </c>
      <c r="S1350" t="s">
        <v>3599</v>
      </c>
      <c r="T1350">
        <v>1</v>
      </c>
      <c r="U1350" t="s">
        <v>868</v>
      </c>
      <c r="V1350">
        <v>5</v>
      </c>
      <c r="W1350">
        <v>0</v>
      </c>
      <c r="X1350">
        <v>0</v>
      </c>
    </row>
    <row r="1351" spans="1:24" x14ac:dyDescent="0.3">
      <c r="A1351" t="s">
        <v>3222</v>
      </c>
      <c r="B1351" t="s">
        <v>3223</v>
      </c>
      <c r="C1351">
        <v>1</v>
      </c>
      <c r="D1351" t="s">
        <v>11</v>
      </c>
      <c r="E1351" t="s">
        <v>21</v>
      </c>
      <c r="F1351" t="s">
        <v>22</v>
      </c>
      <c r="H1351" t="s">
        <v>71</v>
      </c>
      <c r="I1351" t="s">
        <v>3617</v>
      </c>
      <c r="J1351" t="s">
        <v>3222</v>
      </c>
      <c r="K1351" t="s">
        <v>868</v>
      </c>
      <c r="L1351" t="s">
        <v>3618</v>
      </c>
      <c r="M1351" t="s">
        <v>3222</v>
      </c>
      <c r="N1351" t="s">
        <v>3223</v>
      </c>
      <c r="Q1351" t="s">
        <v>3599</v>
      </c>
      <c r="R1351" t="s">
        <v>3599</v>
      </c>
      <c r="S1351" t="s">
        <v>3599</v>
      </c>
      <c r="T1351">
        <v>1</v>
      </c>
      <c r="U1351" t="s">
        <v>868</v>
      </c>
      <c r="V1351">
        <v>5</v>
      </c>
      <c r="W1351">
        <v>0</v>
      </c>
      <c r="X1351">
        <v>0</v>
      </c>
    </row>
    <row r="1352" spans="1:24" x14ac:dyDescent="0.3">
      <c r="A1352" t="s">
        <v>3224</v>
      </c>
      <c r="B1352" t="s">
        <v>3225</v>
      </c>
      <c r="C1352">
        <v>1</v>
      </c>
      <c r="D1352" t="s">
        <v>11</v>
      </c>
      <c r="E1352" t="s">
        <v>21</v>
      </c>
      <c r="F1352" t="s">
        <v>22</v>
      </c>
      <c r="H1352" t="s">
        <v>71</v>
      </c>
      <c r="I1352" t="s">
        <v>3617</v>
      </c>
      <c r="K1352" t="s">
        <v>868</v>
      </c>
      <c r="L1352" t="s">
        <v>3618</v>
      </c>
      <c r="N1352" t="s">
        <v>3225</v>
      </c>
      <c r="Q1352" t="s">
        <v>3599</v>
      </c>
      <c r="R1352" t="s">
        <v>3599</v>
      </c>
      <c r="S1352" t="s">
        <v>3599</v>
      </c>
      <c r="T1352">
        <v>1</v>
      </c>
      <c r="U1352" t="s">
        <v>868</v>
      </c>
      <c r="V1352">
        <v>5</v>
      </c>
      <c r="W1352">
        <v>0</v>
      </c>
      <c r="X1352">
        <v>0</v>
      </c>
    </row>
    <row r="1353" spans="1:24" x14ac:dyDescent="0.3">
      <c r="A1353" t="s">
        <v>3226</v>
      </c>
      <c r="B1353" t="s">
        <v>3227</v>
      </c>
      <c r="C1353">
        <v>1</v>
      </c>
      <c r="D1353" t="s">
        <v>11</v>
      </c>
      <c r="E1353" t="s">
        <v>21</v>
      </c>
      <c r="F1353" t="s">
        <v>22</v>
      </c>
      <c r="H1353" t="s">
        <v>71</v>
      </c>
      <c r="I1353" t="s">
        <v>3617</v>
      </c>
      <c r="J1353" t="s">
        <v>3226</v>
      </c>
      <c r="K1353" t="s">
        <v>868</v>
      </c>
      <c r="L1353" t="s">
        <v>3618</v>
      </c>
      <c r="M1353" t="s">
        <v>3226</v>
      </c>
      <c r="N1353" t="s">
        <v>3227</v>
      </c>
      <c r="Q1353" t="s">
        <v>3599</v>
      </c>
      <c r="R1353" t="s">
        <v>3599</v>
      </c>
      <c r="S1353" t="s">
        <v>3599</v>
      </c>
      <c r="T1353">
        <v>1</v>
      </c>
      <c r="U1353" t="s">
        <v>868</v>
      </c>
      <c r="V1353">
        <v>5</v>
      </c>
      <c r="W1353">
        <v>0</v>
      </c>
      <c r="X1353">
        <v>0</v>
      </c>
    </row>
    <row r="1354" spans="1:24" x14ac:dyDescent="0.3">
      <c r="A1354" t="s">
        <v>3228</v>
      </c>
      <c r="B1354" t="s">
        <v>3229</v>
      </c>
      <c r="C1354">
        <v>1</v>
      </c>
      <c r="D1354" t="s">
        <v>11</v>
      </c>
      <c r="E1354" t="s">
        <v>21</v>
      </c>
      <c r="F1354" t="s">
        <v>22</v>
      </c>
      <c r="H1354" t="s">
        <v>71</v>
      </c>
      <c r="I1354" t="s">
        <v>3617</v>
      </c>
      <c r="J1354" t="s">
        <v>3228</v>
      </c>
      <c r="K1354" t="s">
        <v>868</v>
      </c>
      <c r="L1354" t="s">
        <v>3618</v>
      </c>
      <c r="M1354" t="s">
        <v>3228</v>
      </c>
      <c r="N1354" t="s">
        <v>3229</v>
      </c>
      <c r="Q1354" t="s">
        <v>3599</v>
      </c>
      <c r="R1354" t="s">
        <v>3599</v>
      </c>
      <c r="S1354" t="s">
        <v>3599</v>
      </c>
      <c r="T1354">
        <v>1</v>
      </c>
      <c r="U1354" t="s">
        <v>868</v>
      </c>
      <c r="V1354">
        <v>5</v>
      </c>
      <c r="W1354">
        <v>0</v>
      </c>
      <c r="X1354">
        <v>0</v>
      </c>
    </row>
    <row r="1355" spans="1:24" x14ac:dyDescent="0.3">
      <c r="A1355" t="s">
        <v>3230</v>
      </c>
      <c r="B1355" t="s">
        <v>3231</v>
      </c>
      <c r="C1355">
        <v>1</v>
      </c>
      <c r="D1355" t="s">
        <v>11</v>
      </c>
      <c r="E1355" t="s">
        <v>21</v>
      </c>
      <c r="F1355" t="s">
        <v>22</v>
      </c>
      <c r="H1355" t="s">
        <v>71</v>
      </c>
      <c r="I1355" t="s">
        <v>3617</v>
      </c>
      <c r="J1355" t="s">
        <v>3230</v>
      </c>
      <c r="K1355" t="s">
        <v>868</v>
      </c>
      <c r="L1355" t="s">
        <v>3618</v>
      </c>
      <c r="M1355" t="s">
        <v>3230</v>
      </c>
      <c r="N1355" t="s">
        <v>3231</v>
      </c>
      <c r="Q1355" t="s">
        <v>3599</v>
      </c>
      <c r="R1355" t="s">
        <v>3599</v>
      </c>
      <c r="S1355" t="s">
        <v>3599</v>
      </c>
      <c r="T1355">
        <v>1</v>
      </c>
      <c r="U1355" t="s">
        <v>868</v>
      </c>
      <c r="V1355">
        <v>5</v>
      </c>
      <c r="W1355">
        <v>0</v>
      </c>
      <c r="X1355">
        <v>0</v>
      </c>
    </row>
    <row r="1356" spans="1:24" x14ac:dyDescent="0.3">
      <c r="A1356" t="s">
        <v>3232</v>
      </c>
      <c r="B1356" t="s">
        <v>3233</v>
      </c>
      <c r="C1356">
        <v>1</v>
      </c>
      <c r="D1356" t="s">
        <v>11</v>
      </c>
      <c r="E1356" t="s">
        <v>21</v>
      </c>
      <c r="F1356" t="s">
        <v>22</v>
      </c>
      <c r="H1356" t="s">
        <v>71</v>
      </c>
      <c r="I1356" t="s">
        <v>3617</v>
      </c>
      <c r="J1356" t="s">
        <v>3232</v>
      </c>
      <c r="K1356" t="s">
        <v>868</v>
      </c>
      <c r="L1356" t="s">
        <v>3618</v>
      </c>
      <c r="M1356" t="s">
        <v>3232</v>
      </c>
      <c r="N1356" t="s">
        <v>3233</v>
      </c>
      <c r="Q1356" t="s">
        <v>3599</v>
      </c>
      <c r="R1356" t="s">
        <v>3599</v>
      </c>
      <c r="S1356" t="s">
        <v>3599</v>
      </c>
      <c r="T1356">
        <v>1</v>
      </c>
      <c r="U1356" t="s">
        <v>868</v>
      </c>
      <c r="V1356">
        <v>5</v>
      </c>
      <c r="W1356">
        <v>0</v>
      </c>
      <c r="X1356">
        <v>0</v>
      </c>
    </row>
    <row r="1357" spans="1:24" x14ac:dyDescent="0.3">
      <c r="A1357" t="s">
        <v>3234</v>
      </c>
      <c r="B1357" t="s">
        <v>3235</v>
      </c>
      <c r="C1357">
        <v>1</v>
      </c>
      <c r="D1357" t="s">
        <v>11</v>
      </c>
      <c r="E1357" t="s">
        <v>21</v>
      </c>
      <c r="F1357" t="s">
        <v>22</v>
      </c>
      <c r="H1357" t="s">
        <v>71</v>
      </c>
      <c r="I1357" t="s">
        <v>3617</v>
      </c>
      <c r="J1357" t="s">
        <v>3234</v>
      </c>
      <c r="K1357" t="s">
        <v>868</v>
      </c>
      <c r="L1357" t="s">
        <v>3618</v>
      </c>
      <c r="M1357" t="s">
        <v>3234</v>
      </c>
      <c r="N1357" t="s">
        <v>3235</v>
      </c>
      <c r="Q1357" t="s">
        <v>3599</v>
      </c>
      <c r="R1357" t="s">
        <v>3599</v>
      </c>
      <c r="S1357" t="s">
        <v>3599</v>
      </c>
      <c r="T1357">
        <v>1</v>
      </c>
      <c r="U1357" t="s">
        <v>868</v>
      </c>
      <c r="V1357">
        <v>5</v>
      </c>
      <c r="W1357">
        <v>0</v>
      </c>
      <c r="X1357">
        <v>0</v>
      </c>
    </row>
    <row r="1358" spans="1:24" x14ac:dyDescent="0.3">
      <c r="A1358" t="s">
        <v>3236</v>
      </c>
      <c r="B1358" t="s">
        <v>3237</v>
      </c>
      <c r="C1358">
        <v>1</v>
      </c>
      <c r="D1358" t="s">
        <v>11</v>
      </c>
      <c r="E1358" t="s">
        <v>21</v>
      </c>
      <c r="F1358" t="s">
        <v>22</v>
      </c>
      <c r="H1358" t="s">
        <v>71</v>
      </c>
      <c r="I1358" t="s">
        <v>3617</v>
      </c>
      <c r="J1358" t="s">
        <v>3236</v>
      </c>
      <c r="K1358" t="s">
        <v>868</v>
      </c>
      <c r="L1358" t="s">
        <v>3618</v>
      </c>
      <c r="M1358" t="s">
        <v>3236</v>
      </c>
      <c r="N1358" t="s">
        <v>3237</v>
      </c>
      <c r="Q1358" t="s">
        <v>3599</v>
      </c>
      <c r="R1358" t="s">
        <v>3599</v>
      </c>
      <c r="S1358" t="s">
        <v>3599</v>
      </c>
      <c r="T1358">
        <v>1</v>
      </c>
      <c r="U1358" t="s">
        <v>868</v>
      </c>
      <c r="V1358">
        <v>5</v>
      </c>
      <c r="W1358">
        <v>0</v>
      </c>
      <c r="X1358">
        <v>0</v>
      </c>
    </row>
    <row r="1359" spans="1:24" x14ac:dyDescent="0.3">
      <c r="A1359" t="s">
        <v>3238</v>
      </c>
      <c r="B1359" t="s">
        <v>3239</v>
      </c>
      <c r="C1359">
        <v>1</v>
      </c>
      <c r="D1359" t="s">
        <v>11</v>
      </c>
      <c r="E1359" t="s">
        <v>21</v>
      </c>
      <c r="F1359" t="s">
        <v>22</v>
      </c>
      <c r="H1359" t="s">
        <v>71</v>
      </c>
      <c r="I1359" t="s">
        <v>3617</v>
      </c>
      <c r="J1359" t="s">
        <v>3238</v>
      </c>
      <c r="K1359" t="s">
        <v>868</v>
      </c>
      <c r="L1359" t="s">
        <v>3618</v>
      </c>
      <c r="M1359" t="s">
        <v>3238</v>
      </c>
      <c r="N1359" t="s">
        <v>3239</v>
      </c>
      <c r="Q1359" t="s">
        <v>3599</v>
      </c>
      <c r="R1359" t="s">
        <v>3599</v>
      </c>
      <c r="S1359" t="s">
        <v>3599</v>
      </c>
      <c r="T1359">
        <v>1</v>
      </c>
      <c r="U1359" t="s">
        <v>868</v>
      </c>
      <c r="V1359">
        <v>5</v>
      </c>
      <c r="W1359">
        <v>0</v>
      </c>
      <c r="X1359">
        <v>0</v>
      </c>
    </row>
    <row r="1360" spans="1:24" x14ac:dyDescent="0.3">
      <c r="A1360" t="s">
        <v>3240</v>
      </c>
      <c r="B1360" t="s">
        <v>3241</v>
      </c>
      <c r="C1360">
        <v>1</v>
      </c>
      <c r="D1360" t="s">
        <v>11</v>
      </c>
      <c r="E1360" t="s">
        <v>21</v>
      </c>
      <c r="F1360" t="s">
        <v>22</v>
      </c>
      <c r="H1360" t="s">
        <v>71</v>
      </c>
      <c r="I1360" t="s">
        <v>3617</v>
      </c>
      <c r="J1360" t="s">
        <v>3240</v>
      </c>
      <c r="K1360" t="s">
        <v>868</v>
      </c>
      <c r="L1360" t="s">
        <v>3618</v>
      </c>
      <c r="M1360" t="s">
        <v>3240</v>
      </c>
      <c r="N1360" t="s">
        <v>3241</v>
      </c>
      <c r="Q1360" t="s">
        <v>3599</v>
      </c>
      <c r="R1360" t="s">
        <v>3599</v>
      </c>
      <c r="S1360" t="s">
        <v>3599</v>
      </c>
      <c r="T1360">
        <v>1</v>
      </c>
      <c r="U1360" t="s">
        <v>868</v>
      </c>
      <c r="V1360">
        <v>5</v>
      </c>
      <c r="W1360">
        <v>0</v>
      </c>
      <c r="X1360">
        <v>0</v>
      </c>
    </row>
    <row r="1361" spans="1:24" x14ac:dyDescent="0.3">
      <c r="A1361" t="s">
        <v>3242</v>
      </c>
      <c r="B1361" t="s">
        <v>3243</v>
      </c>
      <c r="C1361">
        <v>1</v>
      </c>
      <c r="D1361" t="s">
        <v>11</v>
      </c>
      <c r="E1361" t="s">
        <v>21</v>
      </c>
      <c r="F1361" t="s">
        <v>22</v>
      </c>
      <c r="H1361" t="s">
        <v>71</v>
      </c>
      <c r="I1361" t="s">
        <v>3617</v>
      </c>
      <c r="J1361" t="s">
        <v>3242</v>
      </c>
      <c r="K1361" t="s">
        <v>868</v>
      </c>
      <c r="L1361" t="s">
        <v>3618</v>
      </c>
      <c r="M1361" t="s">
        <v>3242</v>
      </c>
      <c r="N1361" t="s">
        <v>3243</v>
      </c>
      <c r="Q1361" t="s">
        <v>3599</v>
      </c>
      <c r="R1361" t="s">
        <v>3599</v>
      </c>
      <c r="S1361" t="s">
        <v>3599</v>
      </c>
      <c r="T1361">
        <v>1</v>
      </c>
      <c r="U1361" t="s">
        <v>868</v>
      </c>
      <c r="V1361">
        <v>5</v>
      </c>
      <c r="W1361">
        <v>0</v>
      </c>
      <c r="X1361">
        <v>0</v>
      </c>
    </row>
    <row r="1362" spans="1:24" x14ac:dyDescent="0.3">
      <c r="A1362" t="s">
        <v>3244</v>
      </c>
      <c r="B1362" t="s">
        <v>3245</v>
      </c>
      <c r="C1362">
        <v>1</v>
      </c>
      <c r="D1362" t="s">
        <v>11</v>
      </c>
      <c r="E1362" t="s">
        <v>21</v>
      </c>
      <c r="F1362" t="s">
        <v>22</v>
      </c>
      <c r="H1362" t="s">
        <v>71</v>
      </c>
      <c r="I1362" t="s">
        <v>3617</v>
      </c>
      <c r="K1362" t="s">
        <v>868</v>
      </c>
      <c r="L1362" t="s">
        <v>3618</v>
      </c>
      <c r="N1362" t="s">
        <v>3245</v>
      </c>
      <c r="Q1362" t="s">
        <v>3599</v>
      </c>
      <c r="R1362" t="s">
        <v>3599</v>
      </c>
      <c r="S1362" t="s">
        <v>3599</v>
      </c>
      <c r="T1362">
        <v>1</v>
      </c>
      <c r="U1362" t="s">
        <v>868</v>
      </c>
      <c r="V1362">
        <v>5</v>
      </c>
      <c r="W1362">
        <v>0</v>
      </c>
      <c r="X1362">
        <v>0</v>
      </c>
    </row>
    <row r="1363" spans="1:24" x14ac:dyDescent="0.3">
      <c r="A1363" t="s">
        <v>3246</v>
      </c>
      <c r="B1363" t="s">
        <v>3247</v>
      </c>
      <c r="C1363">
        <v>1</v>
      </c>
      <c r="D1363" t="s">
        <v>11</v>
      </c>
      <c r="E1363" t="s">
        <v>21</v>
      </c>
      <c r="F1363" t="s">
        <v>22</v>
      </c>
      <c r="H1363" t="s">
        <v>71</v>
      </c>
      <c r="I1363" t="s">
        <v>3617</v>
      </c>
      <c r="J1363" t="s">
        <v>3246</v>
      </c>
      <c r="K1363" t="s">
        <v>868</v>
      </c>
      <c r="L1363" t="s">
        <v>3618</v>
      </c>
      <c r="M1363" t="s">
        <v>3246</v>
      </c>
      <c r="N1363" t="s">
        <v>3247</v>
      </c>
      <c r="Q1363" t="s">
        <v>3599</v>
      </c>
      <c r="R1363" t="s">
        <v>3599</v>
      </c>
      <c r="S1363" t="s">
        <v>3599</v>
      </c>
      <c r="T1363">
        <v>1</v>
      </c>
      <c r="U1363" t="s">
        <v>868</v>
      </c>
      <c r="V1363">
        <v>5</v>
      </c>
      <c r="W1363">
        <v>0</v>
      </c>
      <c r="X1363">
        <v>0</v>
      </c>
    </row>
    <row r="1364" spans="1:24" x14ac:dyDescent="0.3">
      <c r="A1364" t="s">
        <v>3248</v>
      </c>
      <c r="B1364" t="s">
        <v>3249</v>
      </c>
      <c r="C1364">
        <v>1</v>
      </c>
      <c r="D1364" t="s">
        <v>11</v>
      </c>
      <c r="E1364" t="s">
        <v>21</v>
      </c>
      <c r="F1364" t="s">
        <v>22</v>
      </c>
      <c r="H1364" t="s">
        <v>71</v>
      </c>
      <c r="I1364" t="s">
        <v>3617</v>
      </c>
      <c r="J1364" t="s">
        <v>3248</v>
      </c>
      <c r="K1364" t="s">
        <v>868</v>
      </c>
      <c r="L1364" t="s">
        <v>3618</v>
      </c>
      <c r="M1364" t="s">
        <v>3248</v>
      </c>
      <c r="N1364" t="s">
        <v>3249</v>
      </c>
      <c r="Q1364" t="s">
        <v>3599</v>
      </c>
      <c r="R1364" t="s">
        <v>3599</v>
      </c>
      <c r="S1364" t="s">
        <v>3599</v>
      </c>
      <c r="T1364">
        <v>1</v>
      </c>
      <c r="U1364" t="s">
        <v>868</v>
      </c>
      <c r="V1364">
        <v>5</v>
      </c>
      <c r="W1364">
        <v>0</v>
      </c>
      <c r="X1364">
        <v>0</v>
      </c>
    </row>
    <row r="1365" spans="1:24" x14ac:dyDescent="0.3">
      <c r="A1365" t="s">
        <v>3250</v>
      </c>
      <c r="B1365" t="s">
        <v>3251</v>
      </c>
      <c r="C1365">
        <v>1</v>
      </c>
      <c r="D1365" t="s">
        <v>11</v>
      </c>
      <c r="E1365" t="s">
        <v>21</v>
      </c>
      <c r="F1365" t="s">
        <v>22</v>
      </c>
      <c r="H1365" t="s">
        <v>71</v>
      </c>
      <c r="I1365" t="s">
        <v>3617</v>
      </c>
      <c r="J1365" t="s">
        <v>3250</v>
      </c>
      <c r="K1365" t="s">
        <v>868</v>
      </c>
      <c r="L1365" t="s">
        <v>3618</v>
      </c>
      <c r="M1365" t="s">
        <v>3250</v>
      </c>
      <c r="N1365" t="s">
        <v>3251</v>
      </c>
      <c r="Q1365" t="s">
        <v>3599</v>
      </c>
      <c r="R1365" t="s">
        <v>3599</v>
      </c>
      <c r="S1365" t="s">
        <v>3599</v>
      </c>
      <c r="T1365">
        <v>1</v>
      </c>
      <c r="U1365" t="s">
        <v>868</v>
      </c>
      <c r="V1365">
        <v>5</v>
      </c>
      <c r="W1365">
        <v>0</v>
      </c>
      <c r="X1365">
        <v>0</v>
      </c>
    </row>
    <row r="1366" spans="1:24" x14ac:dyDescent="0.3">
      <c r="A1366" t="s">
        <v>3252</v>
      </c>
      <c r="B1366" t="s">
        <v>3253</v>
      </c>
      <c r="C1366">
        <v>1</v>
      </c>
      <c r="D1366" t="s">
        <v>11</v>
      </c>
      <c r="E1366" t="s">
        <v>21</v>
      </c>
      <c r="F1366" t="s">
        <v>22</v>
      </c>
      <c r="H1366" t="s">
        <v>71</v>
      </c>
      <c r="I1366" t="s">
        <v>3617</v>
      </c>
      <c r="J1366" t="s">
        <v>3252</v>
      </c>
      <c r="K1366" t="s">
        <v>868</v>
      </c>
      <c r="L1366" t="s">
        <v>3618</v>
      </c>
      <c r="M1366" t="s">
        <v>3252</v>
      </c>
      <c r="N1366" t="s">
        <v>3253</v>
      </c>
      <c r="Q1366" t="s">
        <v>3599</v>
      </c>
      <c r="R1366" t="s">
        <v>3599</v>
      </c>
      <c r="S1366" t="s">
        <v>3599</v>
      </c>
      <c r="T1366">
        <v>1</v>
      </c>
      <c r="U1366" t="s">
        <v>868</v>
      </c>
      <c r="V1366">
        <v>5</v>
      </c>
      <c r="W1366">
        <v>0</v>
      </c>
      <c r="X1366">
        <v>0</v>
      </c>
    </row>
    <row r="1367" spans="1:24" x14ac:dyDescent="0.3">
      <c r="A1367" t="s">
        <v>3254</v>
      </c>
      <c r="B1367" t="s">
        <v>3255</v>
      </c>
      <c r="C1367">
        <v>1</v>
      </c>
      <c r="D1367" t="s">
        <v>11</v>
      </c>
      <c r="E1367" t="s">
        <v>21</v>
      </c>
      <c r="F1367" t="s">
        <v>22</v>
      </c>
      <c r="H1367" t="s">
        <v>71</v>
      </c>
      <c r="I1367" t="s">
        <v>3617</v>
      </c>
      <c r="J1367" t="s">
        <v>3254</v>
      </c>
      <c r="K1367" t="s">
        <v>868</v>
      </c>
      <c r="L1367" t="s">
        <v>3618</v>
      </c>
      <c r="M1367" t="s">
        <v>3254</v>
      </c>
      <c r="N1367" t="s">
        <v>3255</v>
      </c>
      <c r="Q1367" t="s">
        <v>3599</v>
      </c>
      <c r="R1367" t="s">
        <v>3599</v>
      </c>
      <c r="S1367" t="s">
        <v>3599</v>
      </c>
      <c r="T1367">
        <v>1</v>
      </c>
      <c r="U1367" t="s">
        <v>868</v>
      </c>
      <c r="V1367">
        <v>5</v>
      </c>
      <c r="W1367">
        <v>0</v>
      </c>
      <c r="X1367">
        <v>0</v>
      </c>
    </row>
    <row r="1368" spans="1:24" x14ac:dyDescent="0.3">
      <c r="A1368" t="s">
        <v>3256</v>
      </c>
      <c r="B1368" t="s">
        <v>3257</v>
      </c>
      <c r="C1368">
        <v>1</v>
      </c>
      <c r="D1368" t="s">
        <v>11</v>
      </c>
      <c r="E1368" t="s">
        <v>21</v>
      </c>
      <c r="F1368" t="s">
        <v>22</v>
      </c>
      <c r="H1368" t="s">
        <v>71</v>
      </c>
      <c r="I1368" t="s">
        <v>3617</v>
      </c>
      <c r="J1368" t="s">
        <v>3256</v>
      </c>
      <c r="K1368" t="s">
        <v>868</v>
      </c>
      <c r="L1368" t="s">
        <v>3618</v>
      </c>
      <c r="M1368" t="s">
        <v>3256</v>
      </c>
      <c r="N1368" t="s">
        <v>3257</v>
      </c>
      <c r="Q1368" t="s">
        <v>3599</v>
      </c>
      <c r="R1368" t="s">
        <v>3599</v>
      </c>
      <c r="S1368" t="s">
        <v>3599</v>
      </c>
      <c r="T1368">
        <v>1</v>
      </c>
      <c r="U1368" t="s">
        <v>868</v>
      </c>
      <c r="V1368">
        <v>5</v>
      </c>
      <c r="W1368">
        <v>0</v>
      </c>
      <c r="X1368">
        <v>0</v>
      </c>
    </row>
    <row r="1369" spans="1:24" x14ac:dyDescent="0.3">
      <c r="A1369" t="s">
        <v>3258</v>
      </c>
      <c r="B1369" t="s">
        <v>3259</v>
      </c>
      <c r="C1369">
        <v>1</v>
      </c>
      <c r="D1369" t="s">
        <v>11</v>
      </c>
      <c r="E1369" t="s">
        <v>21</v>
      </c>
      <c r="F1369" t="s">
        <v>22</v>
      </c>
      <c r="H1369" t="s">
        <v>71</v>
      </c>
      <c r="I1369" t="s">
        <v>3617</v>
      </c>
      <c r="J1369" t="s">
        <v>3258</v>
      </c>
      <c r="K1369" t="s">
        <v>868</v>
      </c>
      <c r="L1369" t="s">
        <v>3618</v>
      </c>
      <c r="M1369" t="s">
        <v>3258</v>
      </c>
      <c r="N1369" t="s">
        <v>3259</v>
      </c>
      <c r="Q1369" t="s">
        <v>3599</v>
      </c>
      <c r="R1369" t="s">
        <v>3599</v>
      </c>
      <c r="S1369" t="s">
        <v>3599</v>
      </c>
      <c r="T1369">
        <v>1</v>
      </c>
      <c r="U1369" t="s">
        <v>868</v>
      </c>
      <c r="V1369">
        <v>5</v>
      </c>
      <c r="W1369">
        <v>0</v>
      </c>
      <c r="X1369">
        <v>0</v>
      </c>
    </row>
    <row r="1370" spans="1:24" x14ac:dyDescent="0.3">
      <c r="A1370" t="s">
        <v>3260</v>
      </c>
      <c r="B1370" t="s">
        <v>3261</v>
      </c>
      <c r="C1370">
        <v>1</v>
      </c>
      <c r="D1370" t="s">
        <v>11</v>
      </c>
      <c r="E1370" t="s">
        <v>21</v>
      </c>
      <c r="F1370" t="s">
        <v>22</v>
      </c>
      <c r="H1370" t="s">
        <v>71</v>
      </c>
      <c r="I1370" t="s">
        <v>3617</v>
      </c>
      <c r="J1370" t="s">
        <v>3260</v>
      </c>
      <c r="K1370" t="s">
        <v>868</v>
      </c>
      <c r="L1370" t="s">
        <v>3618</v>
      </c>
      <c r="M1370" t="s">
        <v>3260</v>
      </c>
      <c r="N1370" t="s">
        <v>3261</v>
      </c>
      <c r="Q1370" t="s">
        <v>3599</v>
      </c>
      <c r="R1370" t="s">
        <v>3599</v>
      </c>
      <c r="S1370" t="s">
        <v>3599</v>
      </c>
      <c r="T1370">
        <v>1</v>
      </c>
      <c r="U1370" t="s">
        <v>868</v>
      </c>
      <c r="V1370">
        <v>5</v>
      </c>
      <c r="W1370">
        <v>0</v>
      </c>
      <c r="X1370">
        <v>0</v>
      </c>
    </row>
    <row r="1371" spans="1:24" x14ac:dyDescent="0.3">
      <c r="A1371" t="s">
        <v>3262</v>
      </c>
      <c r="B1371" t="s">
        <v>3263</v>
      </c>
      <c r="C1371">
        <v>1</v>
      </c>
      <c r="D1371" t="s">
        <v>11</v>
      </c>
      <c r="E1371" t="s">
        <v>21</v>
      </c>
      <c r="F1371" t="s">
        <v>22</v>
      </c>
      <c r="H1371" t="s">
        <v>71</v>
      </c>
      <c r="I1371" t="s">
        <v>3617</v>
      </c>
      <c r="J1371" t="s">
        <v>3262</v>
      </c>
      <c r="K1371" t="s">
        <v>868</v>
      </c>
      <c r="L1371" t="s">
        <v>3618</v>
      </c>
      <c r="M1371" t="s">
        <v>3262</v>
      </c>
      <c r="N1371" t="s">
        <v>3263</v>
      </c>
      <c r="Q1371" t="s">
        <v>3599</v>
      </c>
      <c r="R1371" t="s">
        <v>3599</v>
      </c>
      <c r="S1371" t="s">
        <v>3599</v>
      </c>
      <c r="T1371">
        <v>1</v>
      </c>
      <c r="U1371" t="s">
        <v>868</v>
      </c>
      <c r="V1371">
        <v>5</v>
      </c>
      <c r="W1371">
        <v>0</v>
      </c>
      <c r="X1371">
        <v>0</v>
      </c>
    </row>
    <row r="1372" spans="1:24" x14ac:dyDescent="0.3">
      <c r="A1372" t="s">
        <v>3264</v>
      </c>
      <c r="B1372" t="s">
        <v>3265</v>
      </c>
      <c r="C1372">
        <v>1</v>
      </c>
      <c r="D1372" t="s">
        <v>11</v>
      </c>
      <c r="E1372" t="s">
        <v>21</v>
      </c>
      <c r="F1372" t="s">
        <v>22</v>
      </c>
      <c r="H1372" t="s">
        <v>71</v>
      </c>
      <c r="I1372" t="s">
        <v>3617</v>
      </c>
      <c r="J1372" t="s">
        <v>3264</v>
      </c>
      <c r="K1372" t="s">
        <v>868</v>
      </c>
      <c r="L1372" t="s">
        <v>3618</v>
      </c>
      <c r="M1372" t="s">
        <v>3264</v>
      </c>
      <c r="N1372" t="s">
        <v>3265</v>
      </c>
      <c r="Q1372" t="s">
        <v>3599</v>
      </c>
      <c r="R1372" t="s">
        <v>3599</v>
      </c>
      <c r="S1372" t="s">
        <v>3599</v>
      </c>
      <c r="T1372">
        <v>1</v>
      </c>
      <c r="U1372" t="s">
        <v>868</v>
      </c>
      <c r="V1372">
        <v>5</v>
      </c>
      <c r="W1372">
        <v>0</v>
      </c>
      <c r="X1372">
        <v>0</v>
      </c>
    </row>
    <row r="1373" spans="1:24" x14ac:dyDescent="0.3">
      <c r="A1373" t="s">
        <v>3266</v>
      </c>
      <c r="B1373" t="s">
        <v>3267</v>
      </c>
      <c r="C1373">
        <v>1</v>
      </c>
      <c r="D1373" t="s">
        <v>11</v>
      </c>
      <c r="E1373" t="s">
        <v>21</v>
      </c>
      <c r="F1373" t="s">
        <v>22</v>
      </c>
      <c r="H1373" t="s">
        <v>71</v>
      </c>
      <c r="I1373" t="s">
        <v>3617</v>
      </c>
      <c r="J1373" t="s">
        <v>3266</v>
      </c>
      <c r="K1373" t="s">
        <v>868</v>
      </c>
      <c r="L1373" t="s">
        <v>3618</v>
      </c>
      <c r="M1373" t="s">
        <v>3266</v>
      </c>
      <c r="N1373" t="s">
        <v>3267</v>
      </c>
      <c r="Q1373" t="s">
        <v>3599</v>
      </c>
      <c r="R1373" t="s">
        <v>3599</v>
      </c>
      <c r="S1373" t="s">
        <v>3599</v>
      </c>
      <c r="T1373">
        <v>1</v>
      </c>
      <c r="U1373" t="s">
        <v>868</v>
      </c>
      <c r="V1373">
        <v>5</v>
      </c>
      <c r="W1373">
        <v>0</v>
      </c>
      <c r="X1373">
        <v>0</v>
      </c>
    </row>
    <row r="1374" spans="1:24" x14ac:dyDescent="0.3">
      <c r="A1374" t="s">
        <v>3268</v>
      </c>
      <c r="B1374" t="s">
        <v>3269</v>
      </c>
      <c r="C1374">
        <v>1</v>
      </c>
      <c r="D1374" t="s">
        <v>11</v>
      </c>
      <c r="E1374" t="s">
        <v>21</v>
      </c>
      <c r="F1374" t="s">
        <v>22</v>
      </c>
      <c r="H1374" t="s">
        <v>71</v>
      </c>
      <c r="I1374" t="s">
        <v>3617</v>
      </c>
      <c r="J1374" t="s">
        <v>3268</v>
      </c>
      <c r="K1374" t="s">
        <v>868</v>
      </c>
      <c r="L1374" t="s">
        <v>3618</v>
      </c>
      <c r="M1374" t="s">
        <v>3268</v>
      </c>
      <c r="N1374" t="s">
        <v>3269</v>
      </c>
      <c r="Q1374" t="s">
        <v>3599</v>
      </c>
      <c r="R1374" t="s">
        <v>3599</v>
      </c>
      <c r="S1374" t="s">
        <v>3599</v>
      </c>
      <c r="T1374">
        <v>1</v>
      </c>
      <c r="U1374" t="s">
        <v>868</v>
      </c>
      <c r="V1374">
        <v>5</v>
      </c>
      <c r="W1374">
        <v>0</v>
      </c>
      <c r="X1374">
        <v>0</v>
      </c>
    </row>
    <row r="1375" spans="1:24" x14ac:dyDescent="0.3">
      <c r="A1375" t="s">
        <v>3270</v>
      </c>
      <c r="B1375" t="s">
        <v>3271</v>
      </c>
      <c r="C1375">
        <v>1</v>
      </c>
      <c r="D1375" t="s">
        <v>11</v>
      </c>
      <c r="E1375" t="s">
        <v>21</v>
      </c>
      <c r="F1375" t="s">
        <v>22</v>
      </c>
      <c r="H1375" t="s">
        <v>71</v>
      </c>
      <c r="I1375" t="s">
        <v>3617</v>
      </c>
      <c r="J1375" t="s">
        <v>3270</v>
      </c>
      <c r="K1375" t="s">
        <v>868</v>
      </c>
      <c r="L1375" t="s">
        <v>3618</v>
      </c>
      <c r="M1375" t="s">
        <v>3270</v>
      </c>
      <c r="N1375" t="s">
        <v>3271</v>
      </c>
      <c r="Q1375" t="s">
        <v>3599</v>
      </c>
      <c r="R1375" t="s">
        <v>3599</v>
      </c>
      <c r="S1375" t="s">
        <v>3599</v>
      </c>
      <c r="T1375">
        <v>1</v>
      </c>
      <c r="U1375" t="s">
        <v>868</v>
      </c>
      <c r="V1375">
        <v>5</v>
      </c>
      <c r="W1375">
        <v>0</v>
      </c>
      <c r="X1375">
        <v>0</v>
      </c>
    </row>
    <row r="1376" spans="1:24" x14ac:dyDescent="0.3">
      <c r="A1376" t="s">
        <v>3272</v>
      </c>
      <c r="B1376" t="s">
        <v>3273</v>
      </c>
      <c r="C1376">
        <v>1</v>
      </c>
      <c r="D1376" t="s">
        <v>11</v>
      </c>
      <c r="E1376" t="s">
        <v>21</v>
      </c>
      <c r="F1376" t="s">
        <v>22</v>
      </c>
      <c r="H1376" t="s">
        <v>71</v>
      </c>
      <c r="I1376" t="s">
        <v>3617</v>
      </c>
      <c r="J1376" t="s">
        <v>3272</v>
      </c>
      <c r="K1376" t="s">
        <v>868</v>
      </c>
      <c r="L1376" t="s">
        <v>3618</v>
      </c>
      <c r="M1376" t="s">
        <v>3272</v>
      </c>
      <c r="N1376" t="s">
        <v>3273</v>
      </c>
      <c r="Q1376" t="s">
        <v>3599</v>
      </c>
      <c r="R1376" t="s">
        <v>3599</v>
      </c>
      <c r="S1376" t="s">
        <v>3599</v>
      </c>
      <c r="T1376">
        <v>1</v>
      </c>
      <c r="U1376" t="s">
        <v>868</v>
      </c>
      <c r="V1376">
        <v>5</v>
      </c>
      <c r="W1376">
        <v>0</v>
      </c>
      <c r="X1376">
        <v>0</v>
      </c>
    </row>
    <row r="1377" spans="1:24" x14ac:dyDescent="0.3">
      <c r="A1377" t="s">
        <v>1376</v>
      </c>
      <c r="B1377" t="s">
        <v>1377</v>
      </c>
      <c r="C1377">
        <v>1</v>
      </c>
      <c r="D1377" t="s">
        <v>11</v>
      </c>
      <c r="E1377" t="s">
        <v>21</v>
      </c>
      <c r="F1377" t="s">
        <v>22</v>
      </c>
      <c r="H1377" t="s">
        <v>71</v>
      </c>
      <c r="I1377" t="s">
        <v>3617</v>
      </c>
      <c r="J1377" t="s">
        <v>1376</v>
      </c>
      <c r="K1377" t="s">
        <v>868</v>
      </c>
      <c r="L1377" t="s">
        <v>3618</v>
      </c>
      <c r="M1377" t="s">
        <v>1376</v>
      </c>
      <c r="N1377" t="s">
        <v>1377</v>
      </c>
      <c r="Q1377" t="s">
        <v>3599</v>
      </c>
      <c r="R1377" t="s">
        <v>3599</v>
      </c>
      <c r="S1377" t="s">
        <v>3599</v>
      </c>
      <c r="T1377">
        <v>1</v>
      </c>
      <c r="U1377" t="s">
        <v>868</v>
      </c>
      <c r="V1377">
        <v>5</v>
      </c>
      <c r="W1377">
        <v>0</v>
      </c>
      <c r="X1377">
        <v>0</v>
      </c>
    </row>
    <row r="1378" spans="1:24" x14ac:dyDescent="0.3">
      <c r="A1378" t="s">
        <v>3274</v>
      </c>
      <c r="B1378" t="s">
        <v>3275</v>
      </c>
      <c r="C1378">
        <v>1</v>
      </c>
      <c r="D1378" t="s">
        <v>11</v>
      </c>
      <c r="E1378" t="s">
        <v>21</v>
      </c>
      <c r="F1378" t="s">
        <v>22</v>
      </c>
      <c r="H1378" t="s">
        <v>71</v>
      </c>
      <c r="I1378" t="s">
        <v>3617</v>
      </c>
      <c r="J1378" t="s">
        <v>3274</v>
      </c>
      <c r="K1378" t="s">
        <v>868</v>
      </c>
      <c r="L1378" t="s">
        <v>3618</v>
      </c>
      <c r="M1378" t="s">
        <v>3274</v>
      </c>
      <c r="N1378" t="s">
        <v>3275</v>
      </c>
      <c r="Q1378" t="s">
        <v>3599</v>
      </c>
      <c r="R1378" t="s">
        <v>3599</v>
      </c>
      <c r="S1378" t="s">
        <v>3599</v>
      </c>
      <c r="T1378">
        <v>1</v>
      </c>
      <c r="U1378" t="s">
        <v>868</v>
      </c>
      <c r="V1378">
        <v>5</v>
      </c>
      <c r="W1378">
        <v>0</v>
      </c>
      <c r="X1378">
        <v>0</v>
      </c>
    </row>
    <row r="1379" spans="1:24" x14ac:dyDescent="0.3">
      <c r="A1379" t="s">
        <v>3276</v>
      </c>
      <c r="B1379" t="s">
        <v>3277</v>
      </c>
      <c r="C1379">
        <v>1</v>
      </c>
      <c r="D1379" t="s">
        <v>11</v>
      </c>
      <c r="E1379" t="s">
        <v>21</v>
      </c>
      <c r="F1379" t="s">
        <v>22</v>
      </c>
      <c r="H1379" t="s">
        <v>71</v>
      </c>
      <c r="I1379" t="s">
        <v>3617</v>
      </c>
      <c r="J1379" t="s">
        <v>3276</v>
      </c>
      <c r="K1379" t="s">
        <v>868</v>
      </c>
      <c r="L1379" t="s">
        <v>3618</v>
      </c>
      <c r="M1379" t="s">
        <v>3276</v>
      </c>
      <c r="N1379" t="s">
        <v>3277</v>
      </c>
      <c r="Q1379" t="s">
        <v>3599</v>
      </c>
      <c r="R1379" t="s">
        <v>3599</v>
      </c>
      <c r="S1379" t="s">
        <v>3599</v>
      </c>
      <c r="T1379">
        <v>1</v>
      </c>
      <c r="U1379" t="s">
        <v>868</v>
      </c>
      <c r="V1379">
        <v>5</v>
      </c>
      <c r="W1379">
        <v>0</v>
      </c>
      <c r="X1379">
        <v>0</v>
      </c>
    </row>
    <row r="1380" spans="1:24" x14ac:dyDescent="0.3">
      <c r="A1380" t="s">
        <v>3278</v>
      </c>
      <c r="B1380" t="s">
        <v>3279</v>
      </c>
      <c r="C1380">
        <v>1</v>
      </c>
      <c r="D1380" t="s">
        <v>11</v>
      </c>
      <c r="E1380" t="s">
        <v>21</v>
      </c>
      <c r="F1380" t="s">
        <v>22</v>
      </c>
      <c r="H1380" t="s">
        <v>71</v>
      </c>
      <c r="I1380" t="s">
        <v>3617</v>
      </c>
      <c r="J1380" t="s">
        <v>3278</v>
      </c>
      <c r="K1380" t="s">
        <v>868</v>
      </c>
      <c r="L1380" t="s">
        <v>3618</v>
      </c>
      <c r="M1380" t="s">
        <v>3278</v>
      </c>
      <c r="N1380" t="s">
        <v>3279</v>
      </c>
      <c r="Q1380" t="s">
        <v>3599</v>
      </c>
      <c r="R1380" t="s">
        <v>3599</v>
      </c>
      <c r="S1380" t="s">
        <v>3599</v>
      </c>
      <c r="T1380">
        <v>1</v>
      </c>
      <c r="U1380" t="s">
        <v>868</v>
      </c>
      <c r="V1380">
        <v>5</v>
      </c>
      <c r="W1380">
        <v>0</v>
      </c>
      <c r="X1380">
        <v>0</v>
      </c>
    </row>
    <row r="1381" spans="1:24" x14ac:dyDescent="0.3">
      <c r="A1381" t="s">
        <v>3280</v>
      </c>
      <c r="B1381" t="s">
        <v>3281</v>
      </c>
      <c r="C1381">
        <v>1</v>
      </c>
      <c r="D1381" t="s">
        <v>11</v>
      </c>
      <c r="E1381" t="s">
        <v>21</v>
      </c>
      <c r="F1381" t="s">
        <v>22</v>
      </c>
      <c r="H1381" t="s">
        <v>71</v>
      </c>
      <c r="I1381" t="s">
        <v>3617</v>
      </c>
      <c r="J1381" t="s">
        <v>3280</v>
      </c>
      <c r="K1381" t="s">
        <v>868</v>
      </c>
      <c r="L1381" t="s">
        <v>3618</v>
      </c>
      <c r="M1381" t="s">
        <v>3280</v>
      </c>
      <c r="N1381" t="s">
        <v>3281</v>
      </c>
      <c r="Q1381" t="s">
        <v>3599</v>
      </c>
      <c r="R1381" t="s">
        <v>3599</v>
      </c>
      <c r="S1381" t="s">
        <v>3599</v>
      </c>
      <c r="T1381">
        <v>1</v>
      </c>
      <c r="U1381" t="s">
        <v>868</v>
      </c>
      <c r="V1381">
        <v>5</v>
      </c>
      <c r="W1381">
        <v>0</v>
      </c>
      <c r="X1381">
        <v>0</v>
      </c>
    </row>
    <row r="1382" spans="1:24" x14ac:dyDescent="0.3">
      <c r="A1382" t="s">
        <v>3282</v>
      </c>
      <c r="B1382" t="s">
        <v>3283</v>
      </c>
      <c r="C1382">
        <v>1</v>
      </c>
      <c r="D1382" t="s">
        <v>11</v>
      </c>
      <c r="E1382" t="s">
        <v>21</v>
      </c>
      <c r="F1382" t="s">
        <v>22</v>
      </c>
      <c r="H1382" t="s">
        <v>71</v>
      </c>
      <c r="I1382" t="s">
        <v>3617</v>
      </c>
      <c r="J1382" t="s">
        <v>3282</v>
      </c>
      <c r="K1382" t="s">
        <v>868</v>
      </c>
      <c r="L1382" t="s">
        <v>3618</v>
      </c>
      <c r="M1382" t="s">
        <v>3282</v>
      </c>
      <c r="N1382" t="s">
        <v>3283</v>
      </c>
      <c r="Q1382" t="s">
        <v>3599</v>
      </c>
      <c r="R1382" t="s">
        <v>3599</v>
      </c>
      <c r="S1382" t="s">
        <v>3599</v>
      </c>
      <c r="T1382">
        <v>1</v>
      </c>
      <c r="U1382" t="s">
        <v>868</v>
      </c>
      <c r="V1382">
        <v>5</v>
      </c>
      <c r="W1382">
        <v>0</v>
      </c>
      <c r="X1382">
        <v>0</v>
      </c>
    </row>
    <row r="1383" spans="1:24" x14ac:dyDescent="0.3">
      <c r="A1383" t="s">
        <v>3284</v>
      </c>
      <c r="B1383" t="s">
        <v>3285</v>
      </c>
      <c r="C1383">
        <v>1</v>
      </c>
      <c r="D1383" t="s">
        <v>11</v>
      </c>
      <c r="E1383" t="s">
        <v>21</v>
      </c>
      <c r="F1383" t="s">
        <v>22</v>
      </c>
      <c r="H1383" t="s">
        <v>71</v>
      </c>
      <c r="I1383" t="s">
        <v>3617</v>
      </c>
      <c r="J1383" t="s">
        <v>3284</v>
      </c>
      <c r="K1383" t="s">
        <v>868</v>
      </c>
      <c r="L1383" t="s">
        <v>3618</v>
      </c>
      <c r="M1383" t="s">
        <v>3284</v>
      </c>
      <c r="N1383" t="s">
        <v>3285</v>
      </c>
      <c r="Q1383" t="s">
        <v>3599</v>
      </c>
      <c r="R1383" t="s">
        <v>3599</v>
      </c>
      <c r="S1383" t="s">
        <v>3599</v>
      </c>
      <c r="T1383">
        <v>1</v>
      </c>
      <c r="U1383" t="s">
        <v>868</v>
      </c>
      <c r="V1383">
        <v>5</v>
      </c>
      <c r="W1383">
        <v>0</v>
      </c>
      <c r="X1383">
        <v>0</v>
      </c>
    </row>
    <row r="1384" spans="1:24" x14ac:dyDescent="0.3">
      <c r="A1384" t="s">
        <v>3286</v>
      </c>
      <c r="B1384" t="s">
        <v>3287</v>
      </c>
      <c r="C1384">
        <v>1</v>
      </c>
      <c r="D1384" t="s">
        <v>11</v>
      </c>
      <c r="E1384" t="s">
        <v>21</v>
      </c>
      <c r="F1384" t="s">
        <v>22</v>
      </c>
      <c r="H1384" t="s">
        <v>71</v>
      </c>
      <c r="I1384" t="s">
        <v>3617</v>
      </c>
      <c r="J1384" t="s">
        <v>3286</v>
      </c>
      <c r="K1384" t="s">
        <v>868</v>
      </c>
      <c r="L1384" t="s">
        <v>3618</v>
      </c>
      <c r="M1384" t="s">
        <v>3286</v>
      </c>
      <c r="N1384" t="s">
        <v>3287</v>
      </c>
      <c r="Q1384" t="s">
        <v>3599</v>
      </c>
      <c r="R1384" t="s">
        <v>3599</v>
      </c>
      <c r="S1384" t="s">
        <v>3599</v>
      </c>
      <c r="T1384">
        <v>1</v>
      </c>
      <c r="U1384" t="s">
        <v>868</v>
      </c>
      <c r="V1384">
        <v>5</v>
      </c>
      <c r="W1384">
        <v>0</v>
      </c>
      <c r="X1384">
        <v>0</v>
      </c>
    </row>
    <row r="1385" spans="1:24" x14ac:dyDescent="0.3">
      <c r="A1385" t="s">
        <v>3288</v>
      </c>
      <c r="B1385" t="s">
        <v>3289</v>
      </c>
      <c r="C1385">
        <v>1</v>
      </c>
      <c r="D1385" t="s">
        <v>11</v>
      </c>
      <c r="E1385" t="s">
        <v>21</v>
      </c>
      <c r="F1385" t="s">
        <v>22</v>
      </c>
      <c r="H1385" t="s">
        <v>71</v>
      </c>
      <c r="I1385" t="s">
        <v>3617</v>
      </c>
      <c r="J1385" t="s">
        <v>3288</v>
      </c>
      <c r="K1385" t="s">
        <v>868</v>
      </c>
      <c r="L1385" t="s">
        <v>3618</v>
      </c>
      <c r="M1385" t="s">
        <v>3288</v>
      </c>
      <c r="N1385" t="s">
        <v>3289</v>
      </c>
      <c r="Q1385" t="s">
        <v>3599</v>
      </c>
      <c r="R1385" t="s">
        <v>3599</v>
      </c>
      <c r="S1385" t="s">
        <v>3599</v>
      </c>
      <c r="T1385">
        <v>1</v>
      </c>
      <c r="U1385" t="s">
        <v>868</v>
      </c>
      <c r="V1385">
        <v>5</v>
      </c>
      <c r="W1385">
        <v>0</v>
      </c>
      <c r="X1385">
        <v>0</v>
      </c>
    </row>
    <row r="1386" spans="1:24" x14ac:dyDescent="0.3">
      <c r="A1386" t="s">
        <v>3290</v>
      </c>
      <c r="B1386" t="s">
        <v>3291</v>
      </c>
      <c r="C1386">
        <v>1</v>
      </c>
      <c r="D1386" t="s">
        <v>11</v>
      </c>
      <c r="E1386" t="s">
        <v>21</v>
      </c>
      <c r="F1386" t="s">
        <v>22</v>
      </c>
      <c r="H1386" t="s">
        <v>71</v>
      </c>
      <c r="I1386" t="s">
        <v>3617</v>
      </c>
      <c r="J1386" t="s">
        <v>3290</v>
      </c>
      <c r="K1386" t="s">
        <v>868</v>
      </c>
      <c r="L1386" t="s">
        <v>3618</v>
      </c>
      <c r="M1386" t="s">
        <v>3290</v>
      </c>
      <c r="N1386" t="s">
        <v>3291</v>
      </c>
      <c r="Q1386" t="s">
        <v>3599</v>
      </c>
      <c r="R1386" t="s">
        <v>3599</v>
      </c>
      <c r="S1386" t="s">
        <v>3599</v>
      </c>
      <c r="T1386">
        <v>1</v>
      </c>
      <c r="U1386" t="s">
        <v>868</v>
      </c>
      <c r="V1386">
        <v>5</v>
      </c>
      <c r="W1386">
        <v>0</v>
      </c>
      <c r="X1386">
        <v>0</v>
      </c>
    </row>
    <row r="1387" spans="1:24" x14ac:dyDescent="0.3">
      <c r="A1387" t="s">
        <v>3292</v>
      </c>
      <c r="B1387" t="s">
        <v>3293</v>
      </c>
      <c r="C1387">
        <v>1</v>
      </c>
      <c r="D1387" t="s">
        <v>11</v>
      </c>
      <c r="E1387" t="s">
        <v>21</v>
      </c>
      <c r="F1387" t="s">
        <v>22</v>
      </c>
      <c r="H1387" t="s">
        <v>71</v>
      </c>
      <c r="I1387" t="s">
        <v>3617</v>
      </c>
      <c r="J1387" t="s">
        <v>3292</v>
      </c>
      <c r="K1387" t="s">
        <v>868</v>
      </c>
      <c r="L1387" t="s">
        <v>3618</v>
      </c>
      <c r="M1387" t="s">
        <v>3292</v>
      </c>
      <c r="N1387" t="s">
        <v>3293</v>
      </c>
      <c r="Q1387" t="s">
        <v>3599</v>
      </c>
      <c r="R1387" t="s">
        <v>3599</v>
      </c>
      <c r="S1387" t="s">
        <v>3599</v>
      </c>
      <c r="T1387">
        <v>1</v>
      </c>
      <c r="U1387" t="s">
        <v>868</v>
      </c>
      <c r="V1387">
        <v>5</v>
      </c>
      <c r="W1387">
        <v>0</v>
      </c>
      <c r="X1387">
        <v>0</v>
      </c>
    </row>
    <row r="1388" spans="1:24" x14ac:dyDescent="0.3">
      <c r="A1388" t="s">
        <v>3294</v>
      </c>
      <c r="B1388" t="s">
        <v>3295</v>
      </c>
      <c r="C1388">
        <v>1</v>
      </c>
      <c r="D1388" t="s">
        <v>11</v>
      </c>
      <c r="E1388" t="s">
        <v>21</v>
      </c>
      <c r="F1388" t="s">
        <v>22</v>
      </c>
      <c r="H1388" t="s">
        <v>71</v>
      </c>
      <c r="I1388" t="s">
        <v>3617</v>
      </c>
      <c r="J1388" t="s">
        <v>3294</v>
      </c>
      <c r="K1388" t="s">
        <v>868</v>
      </c>
      <c r="L1388" t="s">
        <v>3618</v>
      </c>
      <c r="M1388" t="s">
        <v>3294</v>
      </c>
      <c r="N1388" t="s">
        <v>3295</v>
      </c>
      <c r="Q1388" t="s">
        <v>3599</v>
      </c>
      <c r="R1388" t="s">
        <v>3599</v>
      </c>
      <c r="S1388" t="s">
        <v>3599</v>
      </c>
      <c r="T1388">
        <v>1</v>
      </c>
      <c r="U1388" t="s">
        <v>868</v>
      </c>
      <c r="V1388">
        <v>5</v>
      </c>
      <c r="W1388">
        <v>0</v>
      </c>
      <c r="X1388">
        <v>0</v>
      </c>
    </row>
    <row r="1389" spans="1:24" x14ac:dyDescent="0.3">
      <c r="A1389" t="s">
        <v>3296</v>
      </c>
      <c r="B1389" t="s">
        <v>3297</v>
      </c>
      <c r="C1389">
        <v>1</v>
      </c>
      <c r="D1389" t="s">
        <v>11</v>
      </c>
      <c r="E1389" t="s">
        <v>21</v>
      </c>
      <c r="F1389" t="s">
        <v>22</v>
      </c>
      <c r="H1389" t="s">
        <v>71</v>
      </c>
      <c r="I1389" t="s">
        <v>3617</v>
      </c>
      <c r="J1389" t="s">
        <v>3296</v>
      </c>
      <c r="K1389" t="s">
        <v>868</v>
      </c>
      <c r="L1389" t="s">
        <v>3618</v>
      </c>
      <c r="M1389" t="s">
        <v>3296</v>
      </c>
      <c r="N1389" t="s">
        <v>3297</v>
      </c>
      <c r="Q1389" t="s">
        <v>3599</v>
      </c>
      <c r="R1389" t="s">
        <v>3599</v>
      </c>
      <c r="S1389" t="s">
        <v>3599</v>
      </c>
      <c r="T1389">
        <v>1</v>
      </c>
      <c r="U1389" t="s">
        <v>868</v>
      </c>
      <c r="V1389">
        <v>5</v>
      </c>
      <c r="W1389">
        <v>0</v>
      </c>
      <c r="X1389">
        <v>0</v>
      </c>
    </row>
    <row r="1390" spans="1:24" x14ac:dyDescent="0.3">
      <c r="A1390" t="s">
        <v>3298</v>
      </c>
      <c r="B1390" t="s">
        <v>3299</v>
      </c>
      <c r="C1390">
        <v>1</v>
      </c>
      <c r="D1390" t="s">
        <v>11</v>
      </c>
      <c r="E1390" t="s">
        <v>21</v>
      </c>
      <c r="F1390" t="s">
        <v>22</v>
      </c>
      <c r="H1390" t="s">
        <v>71</v>
      </c>
      <c r="I1390" t="s">
        <v>3617</v>
      </c>
      <c r="J1390" t="s">
        <v>3298</v>
      </c>
      <c r="K1390" t="s">
        <v>868</v>
      </c>
      <c r="L1390" t="s">
        <v>3618</v>
      </c>
      <c r="M1390" t="s">
        <v>3298</v>
      </c>
      <c r="N1390" t="s">
        <v>3299</v>
      </c>
      <c r="Q1390" t="s">
        <v>3599</v>
      </c>
      <c r="R1390" t="s">
        <v>3599</v>
      </c>
      <c r="S1390" t="s">
        <v>3599</v>
      </c>
      <c r="T1390">
        <v>1</v>
      </c>
      <c r="U1390" t="s">
        <v>868</v>
      </c>
      <c r="V1390">
        <v>5</v>
      </c>
      <c r="W1390">
        <v>0</v>
      </c>
      <c r="X1390">
        <v>0</v>
      </c>
    </row>
    <row r="1391" spans="1:24" x14ac:dyDescent="0.3">
      <c r="A1391" t="s">
        <v>3300</v>
      </c>
      <c r="B1391" t="s">
        <v>3301</v>
      </c>
      <c r="C1391">
        <v>1</v>
      </c>
      <c r="D1391" t="s">
        <v>11</v>
      </c>
      <c r="E1391" t="s">
        <v>21</v>
      </c>
      <c r="F1391" t="s">
        <v>22</v>
      </c>
      <c r="H1391" t="s">
        <v>71</v>
      </c>
      <c r="I1391" t="s">
        <v>3617</v>
      </c>
      <c r="J1391" t="s">
        <v>3300</v>
      </c>
      <c r="K1391" t="s">
        <v>868</v>
      </c>
      <c r="L1391" t="s">
        <v>3618</v>
      </c>
      <c r="M1391" t="s">
        <v>3300</v>
      </c>
      <c r="N1391" t="s">
        <v>3301</v>
      </c>
      <c r="Q1391" t="s">
        <v>3599</v>
      </c>
      <c r="R1391" t="s">
        <v>3599</v>
      </c>
      <c r="S1391" t="s">
        <v>3599</v>
      </c>
      <c r="T1391">
        <v>1</v>
      </c>
      <c r="U1391" t="s">
        <v>868</v>
      </c>
      <c r="V1391">
        <v>5</v>
      </c>
      <c r="W1391">
        <v>0</v>
      </c>
      <c r="X1391">
        <v>0</v>
      </c>
    </row>
    <row r="1392" spans="1:24" x14ac:dyDescent="0.3">
      <c r="A1392" t="s">
        <v>3302</v>
      </c>
      <c r="B1392" t="s">
        <v>3303</v>
      </c>
      <c r="C1392">
        <v>1</v>
      </c>
      <c r="D1392" t="s">
        <v>11</v>
      </c>
      <c r="E1392" t="s">
        <v>21</v>
      </c>
      <c r="F1392" t="s">
        <v>22</v>
      </c>
      <c r="H1392" t="s">
        <v>71</v>
      </c>
      <c r="I1392" t="s">
        <v>3617</v>
      </c>
      <c r="J1392" t="s">
        <v>3302</v>
      </c>
      <c r="K1392" t="s">
        <v>868</v>
      </c>
      <c r="L1392" t="s">
        <v>3618</v>
      </c>
      <c r="M1392" t="s">
        <v>3302</v>
      </c>
      <c r="N1392" t="s">
        <v>3303</v>
      </c>
      <c r="Q1392" t="s">
        <v>3599</v>
      </c>
      <c r="R1392" t="s">
        <v>3599</v>
      </c>
      <c r="S1392" t="s">
        <v>3599</v>
      </c>
      <c r="T1392">
        <v>1</v>
      </c>
      <c r="U1392" t="s">
        <v>868</v>
      </c>
      <c r="V1392">
        <v>5</v>
      </c>
      <c r="W1392">
        <v>0</v>
      </c>
      <c r="X1392">
        <v>0</v>
      </c>
    </row>
    <row r="1393" spans="1:24" x14ac:dyDescent="0.3">
      <c r="A1393" t="s">
        <v>3304</v>
      </c>
      <c r="B1393" t="s">
        <v>3305</v>
      </c>
      <c r="C1393">
        <v>1</v>
      </c>
      <c r="D1393" t="s">
        <v>11</v>
      </c>
      <c r="E1393" t="s">
        <v>21</v>
      </c>
      <c r="F1393" t="s">
        <v>22</v>
      </c>
      <c r="H1393" t="s">
        <v>71</v>
      </c>
      <c r="I1393" t="s">
        <v>3617</v>
      </c>
      <c r="J1393" t="s">
        <v>3304</v>
      </c>
      <c r="K1393" t="s">
        <v>868</v>
      </c>
      <c r="L1393" t="s">
        <v>3618</v>
      </c>
      <c r="M1393" t="s">
        <v>3304</v>
      </c>
      <c r="N1393" t="s">
        <v>3305</v>
      </c>
      <c r="Q1393" t="s">
        <v>3599</v>
      </c>
      <c r="R1393" t="s">
        <v>3599</v>
      </c>
      <c r="S1393" t="s">
        <v>3599</v>
      </c>
      <c r="T1393">
        <v>1</v>
      </c>
      <c r="U1393" t="s">
        <v>868</v>
      </c>
      <c r="V1393">
        <v>5</v>
      </c>
      <c r="W1393">
        <v>0</v>
      </c>
      <c r="X1393">
        <v>0</v>
      </c>
    </row>
    <row r="1394" spans="1:24" x14ac:dyDescent="0.3">
      <c r="A1394" t="s">
        <v>3306</v>
      </c>
      <c r="B1394" t="s">
        <v>3307</v>
      </c>
      <c r="C1394">
        <v>1</v>
      </c>
      <c r="D1394" t="s">
        <v>11</v>
      </c>
      <c r="E1394" t="s">
        <v>21</v>
      </c>
      <c r="F1394" t="s">
        <v>22</v>
      </c>
      <c r="H1394" t="s">
        <v>71</v>
      </c>
      <c r="I1394" t="s">
        <v>3617</v>
      </c>
      <c r="K1394" t="s">
        <v>868</v>
      </c>
      <c r="L1394" t="s">
        <v>3618</v>
      </c>
      <c r="N1394" t="s">
        <v>3307</v>
      </c>
      <c r="Q1394" t="s">
        <v>3599</v>
      </c>
      <c r="R1394" t="s">
        <v>3599</v>
      </c>
      <c r="S1394" t="s">
        <v>3599</v>
      </c>
      <c r="T1394">
        <v>1</v>
      </c>
      <c r="U1394" t="s">
        <v>868</v>
      </c>
      <c r="V1394">
        <v>5</v>
      </c>
      <c r="W1394">
        <v>0</v>
      </c>
      <c r="X1394">
        <v>0</v>
      </c>
    </row>
    <row r="1395" spans="1:24" x14ac:dyDescent="0.3">
      <c r="A1395" t="s">
        <v>3308</v>
      </c>
      <c r="B1395" t="s">
        <v>3309</v>
      </c>
      <c r="C1395">
        <v>1</v>
      </c>
      <c r="D1395" t="s">
        <v>11</v>
      </c>
      <c r="E1395" t="s">
        <v>21</v>
      </c>
      <c r="F1395" t="s">
        <v>22</v>
      </c>
      <c r="H1395" t="s">
        <v>71</v>
      </c>
      <c r="I1395" t="s">
        <v>3617</v>
      </c>
      <c r="J1395" t="s">
        <v>3308</v>
      </c>
      <c r="K1395" t="s">
        <v>868</v>
      </c>
      <c r="L1395" t="s">
        <v>3618</v>
      </c>
      <c r="M1395" t="s">
        <v>3308</v>
      </c>
      <c r="N1395" t="s">
        <v>3309</v>
      </c>
      <c r="Q1395" t="s">
        <v>3599</v>
      </c>
      <c r="R1395" t="s">
        <v>3599</v>
      </c>
      <c r="S1395" t="s">
        <v>3599</v>
      </c>
      <c r="T1395">
        <v>1</v>
      </c>
      <c r="U1395" t="s">
        <v>868</v>
      </c>
      <c r="V1395">
        <v>5</v>
      </c>
      <c r="W1395">
        <v>0</v>
      </c>
      <c r="X1395">
        <v>0</v>
      </c>
    </row>
    <row r="1396" spans="1:24" x14ac:dyDescent="0.3">
      <c r="A1396" t="s">
        <v>3310</v>
      </c>
      <c r="B1396" t="s">
        <v>3311</v>
      </c>
      <c r="C1396">
        <v>1</v>
      </c>
      <c r="D1396" t="s">
        <v>11</v>
      </c>
      <c r="E1396" t="s">
        <v>21</v>
      </c>
      <c r="F1396" t="s">
        <v>22</v>
      </c>
      <c r="H1396" t="s">
        <v>71</v>
      </c>
      <c r="I1396" t="s">
        <v>3617</v>
      </c>
      <c r="J1396" t="s">
        <v>3310</v>
      </c>
      <c r="K1396" t="s">
        <v>868</v>
      </c>
      <c r="L1396" t="s">
        <v>3618</v>
      </c>
      <c r="M1396" t="s">
        <v>3310</v>
      </c>
      <c r="N1396" t="s">
        <v>3311</v>
      </c>
      <c r="Q1396" t="s">
        <v>3599</v>
      </c>
      <c r="R1396" t="s">
        <v>3599</v>
      </c>
      <c r="S1396" t="s">
        <v>3599</v>
      </c>
      <c r="T1396">
        <v>1</v>
      </c>
      <c r="U1396" t="s">
        <v>868</v>
      </c>
      <c r="V1396">
        <v>5</v>
      </c>
      <c r="W1396">
        <v>0</v>
      </c>
      <c r="X1396">
        <v>0</v>
      </c>
    </row>
    <row r="1397" spans="1:24" x14ac:dyDescent="0.3">
      <c r="A1397" t="s">
        <v>3312</v>
      </c>
      <c r="B1397" t="s">
        <v>3313</v>
      </c>
      <c r="C1397">
        <v>1</v>
      </c>
      <c r="D1397" t="s">
        <v>11</v>
      </c>
      <c r="E1397" t="s">
        <v>21</v>
      </c>
      <c r="F1397" t="s">
        <v>22</v>
      </c>
      <c r="H1397" t="s">
        <v>71</v>
      </c>
      <c r="I1397" t="s">
        <v>3617</v>
      </c>
      <c r="K1397" t="s">
        <v>868</v>
      </c>
      <c r="L1397" t="s">
        <v>3618</v>
      </c>
      <c r="N1397" t="s">
        <v>3313</v>
      </c>
      <c r="Q1397" t="s">
        <v>3599</v>
      </c>
      <c r="R1397" t="s">
        <v>3599</v>
      </c>
      <c r="S1397" t="s">
        <v>3599</v>
      </c>
      <c r="T1397">
        <v>1</v>
      </c>
      <c r="U1397" t="s">
        <v>868</v>
      </c>
      <c r="V1397">
        <v>5</v>
      </c>
      <c r="W1397">
        <v>0</v>
      </c>
      <c r="X1397">
        <v>0</v>
      </c>
    </row>
    <row r="1398" spans="1:24" x14ac:dyDescent="0.3">
      <c r="A1398" t="s">
        <v>3314</v>
      </c>
      <c r="B1398" t="s">
        <v>3315</v>
      </c>
      <c r="C1398">
        <v>1</v>
      </c>
      <c r="D1398" t="s">
        <v>11</v>
      </c>
      <c r="E1398" t="s">
        <v>21</v>
      </c>
      <c r="F1398" t="s">
        <v>22</v>
      </c>
      <c r="H1398" t="s">
        <v>71</v>
      </c>
      <c r="I1398" t="s">
        <v>3617</v>
      </c>
      <c r="K1398" t="s">
        <v>868</v>
      </c>
      <c r="L1398" t="s">
        <v>3618</v>
      </c>
      <c r="N1398" t="s">
        <v>3315</v>
      </c>
      <c r="Q1398" t="s">
        <v>3599</v>
      </c>
      <c r="R1398" t="s">
        <v>3599</v>
      </c>
      <c r="S1398" t="s">
        <v>3599</v>
      </c>
      <c r="T1398">
        <v>1</v>
      </c>
      <c r="U1398" t="s">
        <v>868</v>
      </c>
      <c r="V1398">
        <v>5</v>
      </c>
      <c r="W1398">
        <v>0</v>
      </c>
      <c r="X1398">
        <v>0</v>
      </c>
    </row>
    <row r="1399" spans="1:24" x14ac:dyDescent="0.3">
      <c r="A1399" t="s">
        <v>3316</v>
      </c>
      <c r="B1399" t="s">
        <v>3317</v>
      </c>
      <c r="C1399">
        <v>1</v>
      </c>
      <c r="D1399" t="s">
        <v>11</v>
      </c>
      <c r="E1399" t="s">
        <v>21</v>
      </c>
      <c r="F1399" t="s">
        <v>22</v>
      </c>
      <c r="H1399" t="s">
        <v>71</v>
      </c>
      <c r="I1399" t="s">
        <v>3617</v>
      </c>
      <c r="K1399" t="s">
        <v>868</v>
      </c>
      <c r="L1399" t="s">
        <v>3618</v>
      </c>
      <c r="N1399" t="s">
        <v>3317</v>
      </c>
      <c r="Q1399" t="s">
        <v>3599</v>
      </c>
      <c r="R1399" t="s">
        <v>3599</v>
      </c>
      <c r="S1399" t="s">
        <v>3599</v>
      </c>
      <c r="T1399">
        <v>1</v>
      </c>
      <c r="U1399" t="s">
        <v>868</v>
      </c>
      <c r="V1399">
        <v>5</v>
      </c>
      <c r="W1399">
        <v>0</v>
      </c>
      <c r="X1399">
        <v>0</v>
      </c>
    </row>
    <row r="1400" spans="1:24" x14ac:dyDescent="0.3">
      <c r="A1400" t="s">
        <v>3318</v>
      </c>
      <c r="B1400" t="s">
        <v>3319</v>
      </c>
      <c r="C1400">
        <v>1</v>
      </c>
      <c r="D1400" t="s">
        <v>11</v>
      </c>
      <c r="E1400" t="s">
        <v>21</v>
      </c>
      <c r="F1400" t="s">
        <v>22</v>
      </c>
      <c r="H1400" t="s">
        <v>71</v>
      </c>
      <c r="I1400" t="s">
        <v>3617</v>
      </c>
      <c r="K1400" t="s">
        <v>868</v>
      </c>
      <c r="L1400" t="s">
        <v>3618</v>
      </c>
      <c r="N1400" t="s">
        <v>3319</v>
      </c>
      <c r="Q1400" t="s">
        <v>3599</v>
      </c>
      <c r="R1400" t="s">
        <v>3599</v>
      </c>
      <c r="S1400" t="s">
        <v>3599</v>
      </c>
      <c r="T1400">
        <v>1</v>
      </c>
      <c r="U1400" t="s">
        <v>868</v>
      </c>
      <c r="V1400">
        <v>5</v>
      </c>
      <c r="W1400">
        <v>0</v>
      </c>
      <c r="X1400">
        <v>0</v>
      </c>
    </row>
    <row r="1401" spans="1:24" x14ac:dyDescent="0.3">
      <c r="A1401" t="s">
        <v>3320</v>
      </c>
      <c r="B1401" t="s">
        <v>3321</v>
      </c>
      <c r="C1401">
        <v>1</v>
      </c>
      <c r="D1401" t="s">
        <v>11</v>
      </c>
      <c r="E1401" t="s">
        <v>21</v>
      </c>
      <c r="F1401" t="s">
        <v>22</v>
      </c>
      <c r="H1401" t="s">
        <v>71</v>
      </c>
      <c r="I1401" t="s">
        <v>3617</v>
      </c>
      <c r="K1401" t="s">
        <v>868</v>
      </c>
      <c r="L1401" t="s">
        <v>3618</v>
      </c>
      <c r="N1401" t="s">
        <v>3321</v>
      </c>
      <c r="Q1401" t="s">
        <v>3599</v>
      </c>
      <c r="R1401" t="s">
        <v>3599</v>
      </c>
      <c r="S1401" t="s">
        <v>3599</v>
      </c>
      <c r="T1401">
        <v>1</v>
      </c>
      <c r="U1401" t="s">
        <v>868</v>
      </c>
      <c r="V1401">
        <v>5</v>
      </c>
      <c r="W1401">
        <v>0</v>
      </c>
      <c r="X1401">
        <v>0</v>
      </c>
    </row>
    <row r="1402" spans="1:24" x14ac:dyDescent="0.3">
      <c r="A1402" t="s">
        <v>3322</v>
      </c>
      <c r="B1402" t="s">
        <v>3323</v>
      </c>
      <c r="C1402">
        <v>1</v>
      </c>
      <c r="D1402" t="s">
        <v>11</v>
      </c>
      <c r="E1402" t="s">
        <v>21</v>
      </c>
      <c r="F1402" t="s">
        <v>22</v>
      </c>
      <c r="H1402" t="s">
        <v>71</v>
      </c>
      <c r="I1402" t="s">
        <v>3617</v>
      </c>
      <c r="K1402" t="s">
        <v>868</v>
      </c>
      <c r="L1402" t="s">
        <v>3618</v>
      </c>
      <c r="N1402" t="s">
        <v>3323</v>
      </c>
      <c r="Q1402" t="s">
        <v>3599</v>
      </c>
      <c r="R1402" t="s">
        <v>3599</v>
      </c>
      <c r="S1402" t="s">
        <v>3599</v>
      </c>
      <c r="T1402">
        <v>1</v>
      </c>
      <c r="U1402" t="s">
        <v>868</v>
      </c>
      <c r="V1402">
        <v>5</v>
      </c>
      <c r="W1402">
        <v>0</v>
      </c>
      <c r="X1402">
        <v>0</v>
      </c>
    </row>
    <row r="1403" spans="1:24" x14ac:dyDescent="0.3">
      <c r="A1403" t="s">
        <v>3324</v>
      </c>
      <c r="B1403" t="s">
        <v>3325</v>
      </c>
      <c r="C1403">
        <v>1</v>
      </c>
      <c r="D1403" t="s">
        <v>11</v>
      </c>
      <c r="E1403" t="s">
        <v>21</v>
      </c>
      <c r="F1403" t="s">
        <v>22</v>
      </c>
      <c r="H1403" t="s">
        <v>71</v>
      </c>
      <c r="I1403" t="s">
        <v>3617</v>
      </c>
      <c r="K1403" t="s">
        <v>868</v>
      </c>
      <c r="L1403" t="s">
        <v>3618</v>
      </c>
      <c r="N1403" t="s">
        <v>3325</v>
      </c>
      <c r="Q1403" t="s">
        <v>3599</v>
      </c>
      <c r="R1403" t="s">
        <v>3599</v>
      </c>
      <c r="S1403" t="s">
        <v>3599</v>
      </c>
      <c r="T1403">
        <v>1</v>
      </c>
      <c r="U1403" t="s">
        <v>868</v>
      </c>
      <c r="V1403">
        <v>5</v>
      </c>
      <c r="W1403">
        <v>0</v>
      </c>
      <c r="X1403">
        <v>0</v>
      </c>
    </row>
    <row r="1404" spans="1:24" x14ac:dyDescent="0.3">
      <c r="A1404" t="s">
        <v>3326</v>
      </c>
      <c r="B1404" t="s">
        <v>3327</v>
      </c>
      <c r="C1404">
        <v>1</v>
      </c>
      <c r="D1404" t="s">
        <v>11</v>
      </c>
      <c r="E1404" t="s">
        <v>21</v>
      </c>
      <c r="F1404" t="s">
        <v>22</v>
      </c>
      <c r="H1404" t="s">
        <v>71</v>
      </c>
      <c r="I1404" t="s">
        <v>3617</v>
      </c>
      <c r="K1404" t="s">
        <v>868</v>
      </c>
      <c r="L1404" t="s">
        <v>3618</v>
      </c>
      <c r="N1404" t="s">
        <v>3327</v>
      </c>
      <c r="Q1404" t="s">
        <v>3599</v>
      </c>
      <c r="R1404" t="s">
        <v>3599</v>
      </c>
      <c r="S1404" t="s">
        <v>3599</v>
      </c>
      <c r="T1404">
        <v>1</v>
      </c>
      <c r="U1404" t="s">
        <v>868</v>
      </c>
      <c r="V1404">
        <v>5</v>
      </c>
      <c r="W1404">
        <v>0</v>
      </c>
      <c r="X1404">
        <v>0</v>
      </c>
    </row>
    <row r="1405" spans="1:24" x14ac:dyDescent="0.3">
      <c r="A1405" t="s">
        <v>3328</v>
      </c>
      <c r="B1405" t="s">
        <v>3329</v>
      </c>
      <c r="C1405">
        <v>1</v>
      </c>
      <c r="D1405" t="s">
        <v>11</v>
      </c>
      <c r="E1405" t="s">
        <v>21</v>
      </c>
      <c r="F1405" t="s">
        <v>22</v>
      </c>
      <c r="H1405" t="s">
        <v>71</v>
      </c>
      <c r="I1405" t="s">
        <v>3617</v>
      </c>
      <c r="K1405" t="s">
        <v>868</v>
      </c>
      <c r="L1405" t="s">
        <v>3618</v>
      </c>
      <c r="N1405" t="s">
        <v>3329</v>
      </c>
      <c r="Q1405" t="s">
        <v>3599</v>
      </c>
      <c r="R1405" t="s">
        <v>3599</v>
      </c>
      <c r="S1405" t="s">
        <v>3599</v>
      </c>
      <c r="T1405">
        <v>1</v>
      </c>
      <c r="U1405" t="s">
        <v>868</v>
      </c>
      <c r="V1405">
        <v>5</v>
      </c>
      <c r="W1405">
        <v>0</v>
      </c>
      <c r="X1405">
        <v>0</v>
      </c>
    </row>
    <row r="1406" spans="1:24" x14ac:dyDescent="0.3">
      <c r="A1406" t="s">
        <v>3330</v>
      </c>
      <c r="B1406" t="s">
        <v>3331</v>
      </c>
      <c r="C1406">
        <v>1</v>
      </c>
      <c r="D1406" t="s">
        <v>11</v>
      </c>
      <c r="E1406" t="s">
        <v>21</v>
      </c>
      <c r="F1406" t="s">
        <v>22</v>
      </c>
      <c r="H1406" t="s">
        <v>71</v>
      </c>
      <c r="I1406" t="s">
        <v>3617</v>
      </c>
      <c r="J1406" t="s">
        <v>3330</v>
      </c>
      <c r="K1406" t="s">
        <v>868</v>
      </c>
      <c r="L1406" t="s">
        <v>3618</v>
      </c>
      <c r="M1406" t="s">
        <v>3330</v>
      </c>
      <c r="N1406" t="s">
        <v>3331</v>
      </c>
      <c r="Q1406" t="s">
        <v>3599</v>
      </c>
      <c r="R1406" t="s">
        <v>3599</v>
      </c>
      <c r="S1406" t="s">
        <v>3599</v>
      </c>
      <c r="T1406">
        <v>1</v>
      </c>
      <c r="U1406" t="s">
        <v>868</v>
      </c>
      <c r="V1406">
        <v>5</v>
      </c>
      <c r="W1406">
        <v>0</v>
      </c>
      <c r="X1406">
        <v>0</v>
      </c>
    </row>
    <row r="1407" spans="1:24" x14ac:dyDescent="0.3">
      <c r="A1407" t="s">
        <v>3332</v>
      </c>
      <c r="B1407" t="s">
        <v>3333</v>
      </c>
      <c r="C1407">
        <v>1</v>
      </c>
      <c r="D1407" t="s">
        <v>11</v>
      </c>
      <c r="E1407" t="s">
        <v>21</v>
      </c>
      <c r="F1407" t="s">
        <v>22</v>
      </c>
      <c r="H1407" t="s">
        <v>71</v>
      </c>
      <c r="I1407" t="s">
        <v>3617</v>
      </c>
      <c r="J1407" t="s">
        <v>3332</v>
      </c>
      <c r="K1407" t="s">
        <v>868</v>
      </c>
      <c r="L1407" t="s">
        <v>3618</v>
      </c>
      <c r="M1407" t="s">
        <v>3332</v>
      </c>
      <c r="N1407" t="s">
        <v>3333</v>
      </c>
      <c r="Q1407" t="s">
        <v>3599</v>
      </c>
      <c r="R1407" t="s">
        <v>3599</v>
      </c>
      <c r="S1407" t="s">
        <v>3599</v>
      </c>
      <c r="T1407">
        <v>1</v>
      </c>
      <c r="U1407" t="s">
        <v>868</v>
      </c>
      <c r="V1407">
        <v>5</v>
      </c>
      <c r="W1407">
        <v>0</v>
      </c>
      <c r="X1407">
        <v>0</v>
      </c>
    </row>
    <row r="1408" spans="1:24" x14ac:dyDescent="0.3">
      <c r="A1408" t="s">
        <v>3334</v>
      </c>
      <c r="B1408" t="s">
        <v>3335</v>
      </c>
      <c r="C1408">
        <v>1</v>
      </c>
      <c r="D1408" t="s">
        <v>11</v>
      </c>
      <c r="E1408" t="s">
        <v>21</v>
      </c>
      <c r="F1408" t="s">
        <v>22</v>
      </c>
      <c r="H1408" t="s">
        <v>71</v>
      </c>
      <c r="I1408" t="s">
        <v>3617</v>
      </c>
      <c r="J1408" t="s">
        <v>3334</v>
      </c>
      <c r="K1408" t="s">
        <v>868</v>
      </c>
      <c r="L1408" t="s">
        <v>3618</v>
      </c>
      <c r="M1408" t="s">
        <v>3334</v>
      </c>
      <c r="N1408" t="s">
        <v>3335</v>
      </c>
      <c r="Q1408" t="s">
        <v>3599</v>
      </c>
      <c r="R1408" t="s">
        <v>3599</v>
      </c>
      <c r="S1408" t="s">
        <v>3599</v>
      </c>
      <c r="T1408">
        <v>1</v>
      </c>
      <c r="U1408" t="s">
        <v>868</v>
      </c>
      <c r="V1408">
        <v>5</v>
      </c>
      <c r="W1408">
        <v>0</v>
      </c>
      <c r="X1408">
        <v>0</v>
      </c>
    </row>
    <row r="1409" spans="1:24" x14ac:dyDescent="0.3">
      <c r="A1409" t="s">
        <v>3336</v>
      </c>
      <c r="B1409" t="s">
        <v>3337</v>
      </c>
      <c r="C1409">
        <v>1</v>
      </c>
      <c r="D1409" t="s">
        <v>11</v>
      </c>
      <c r="E1409" t="s">
        <v>21</v>
      </c>
      <c r="F1409" t="s">
        <v>22</v>
      </c>
      <c r="H1409" t="s">
        <v>71</v>
      </c>
      <c r="I1409" t="s">
        <v>3617</v>
      </c>
      <c r="J1409" t="s">
        <v>3336</v>
      </c>
      <c r="K1409" t="s">
        <v>868</v>
      </c>
      <c r="L1409" t="s">
        <v>3618</v>
      </c>
      <c r="M1409" t="s">
        <v>3336</v>
      </c>
      <c r="N1409" t="s">
        <v>3337</v>
      </c>
      <c r="Q1409" t="s">
        <v>3599</v>
      </c>
      <c r="R1409" t="s">
        <v>3599</v>
      </c>
      <c r="S1409" t="s">
        <v>3599</v>
      </c>
      <c r="T1409">
        <v>1</v>
      </c>
      <c r="U1409" t="s">
        <v>868</v>
      </c>
      <c r="V1409">
        <v>5</v>
      </c>
      <c r="W1409">
        <v>0</v>
      </c>
      <c r="X1409">
        <v>0</v>
      </c>
    </row>
    <row r="1410" spans="1:24" x14ac:dyDescent="0.3">
      <c r="A1410" t="s">
        <v>3338</v>
      </c>
      <c r="B1410" t="s">
        <v>3339</v>
      </c>
      <c r="C1410">
        <v>1</v>
      </c>
      <c r="D1410" t="s">
        <v>11</v>
      </c>
      <c r="E1410" t="s">
        <v>21</v>
      </c>
      <c r="F1410" t="s">
        <v>22</v>
      </c>
      <c r="H1410" t="s">
        <v>71</v>
      </c>
      <c r="I1410" t="s">
        <v>3617</v>
      </c>
      <c r="K1410" t="s">
        <v>868</v>
      </c>
      <c r="L1410" t="s">
        <v>3618</v>
      </c>
      <c r="N1410" t="s">
        <v>3339</v>
      </c>
      <c r="Q1410" t="s">
        <v>3599</v>
      </c>
      <c r="R1410" t="s">
        <v>3599</v>
      </c>
      <c r="S1410" t="s">
        <v>3599</v>
      </c>
      <c r="T1410">
        <v>1</v>
      </c>
      <c r="U1410" t="s">
        <v>868</v>
      </c>
      <c r="V1410">
        <v>5</v>
      </c>
      <c r="W1410">
        <v>0</v>
      </c>
      <c r="X1410">
        <v>0</v>
      </c>
    </row>
    <row r="1411" spans="1:24" x14ac:dyDescent="0.3">
      <c r="A1411" t="s">
        <v>3340</v>
      </c>
      <c r="B1411" t="s">
        <v>3341</v>
      </c>
      <c r="C1411">
        <v>1</v>
      </c>
      <c r="D1411" t="s">
        <v>11</v>
      </c>
      <c r="E1411" t="s">
        <v>21</v>
      </c>
      <c r="F1411" t="s">
        <v>22</v>
      </c>
      <c r="H1411" t="s">
        <v>71</v>
      </c>
      <c r="I1411" t="s">
        <v>3617</v>
      </c>
      <c r="J1411" t="s">
        <v>3340</v>
      </c>
      <c r="K1411" t="s">
        <v>868</v>
      </c>
      <c r="L1411" t="s">
        <v>3618</v>
      </c>
      <c r="M1411" t="s">
        <v>3340</v>
      </c>
      <c r="N1411" t="s">
        <v>3341</v>
      </c>
      <c r="Q1411" t="s">
        <v>3599</v>
      </c>
      <c r="R1411" t="s">
        <v>3599</v>
      </c>
      <c r="S1411" t="s">
        <v>3599</v>
      </c>
      <c r="T1411">
        <v>1</v>
      </c>
      <c r="U1411" t="s">
        <v>868</v>
      </c>
      <c r="V1411">
        <v>5</v>
      </c>
      <c r="W1411">
        <v>0</v>
      </c>
      <c r="X1411">
        <v>0</v>
      </c>
    </row>
    <row r="1412" spans="1:24" x14ac:dyDescent="0.3">
      <c r="A1412" t="s">
        <v>3342</v>
      </c>
      <c r="B1412" t="s">
        <v>3343</v>
      </c>
      <c r="C1412">
        <v>1</v>
      </c>
      <c r="D1412" t="s">
        <v>11</v>
      </c>
      <c r="E1412" t="s">
        <v>21</v>
      </c>
      <c r="F1412" t="s">
        <v>22</v>
      </c>
      <c r="H1412" t="s">
        <v>71</v>
      </c>
      <c r="I1412" t="s">
        <v>3617</v>
      </c>
      <c r="J1412" t="s">
        <v>3342</v>
      </c>
      <c r="K1412" t="s">
        <v>868</v>
      </c>
      <c r="L1412" t="s">
        <v>3618</v>
      </c>
      <c r="M1412" t="s">
        <v>3342</v>
      </c>
      <c r="N1412" t="s">
        <v>3343</v>
      </c>
      <c r="Q1412" t="s">
        <v>3599</v>
      </c>
      <c r="R1412" t="s">
        <v>3599</v>
      </c>
      <c r="S1412" t="s">
        <v>3599</v>
      </c>
      <c r="T1412">
        <v>1</v>
      </c>
      <c r="U1412" t="s">
        <v>868</v>
      </c>
      <c r="V1412">
        <v>5</v>
      </c>
      <c r="W1412">
        <v>0</v>
      </c>
      <c r="X1412">
        <v>0</v>
      </c>
    </row>
    <row r="1413" spans="1:24" x14ac:dyDescent="0.3">
      <c r="A1413" t="s">
        <v>3344</v>
      </c>
      <c r="B1413" t="s">
        <v>3345</v>
      </c>
      <c r="C1413">
        <v>1</v>
      </c>
      <c r="D1413" t="s">
        <v>11</v>
      </c>
      <c r="E1413" t="s">
        <v>21</v>
      </c>
      <c r="F1413" t="s">
        <v>22</v>
      </c>
      <c r="H1413" t="s">
        <v>71</v>
      </c>
      <c r="I1413" t="s">
        <v>3617</v>
      </c>
      <c r="J1413" t="s">
        <v>3344</v>
      </c>
      <c r="K1413" t="s">
        <v>868</v>
      </c>
      <c r="L1413" t="s">
        <v>3618</v>
      </c>
      <c r="M1413" t="s">
        <v>3344</v>
      </c>
      <c r="N1413" t="s">
        <v>3345</v>
      </c>
      <c r="Q1413" t="s">
        <v>3599</v>
      </c>
      <c r="R1413" t="s">
        <v>3599</v>
      </c>
      <c r="S1413" t="s">
        <v>3599</v>
      </c>
      <c r="T1413">
        <v>1</v>
      </c>
      <c r="U1413" t="s">
        <v>868</v>
      </c>
      <c r="V1413">
        <v>5</v>
      </c>
      <c r="W1413">
        <v>0</v>
      </c>
      <c r="X1413">
        <v>0</v>
      </c>
    </row>
    <row r="1414" spans="1:24" x14ac:dyDescent="0.3">
      <c r="A1414" t="s">
        <v>3346</v>
      </c>
      <c r="B1414" t="s">
        <v>3347</v>
      </c>
      <c r="C1414">
        <v>1</v>
      </c>
      <c r="D1414" t="s">
        <v>11</v>
      </c>
      <c r="E1414" t="s">
        <v>21</v>
      </c>
      <c r="F1414" t="s">
        <v>22</v>
      </c>
      <c r="H1414" t="s">
        <v>71</v>
      </c>
      <c r="I1414" t="s">
        <v>3617</v>
      </c>
      <c r="J1414" t="s">
        <v>3346</v>
      </c>
      <c r="K1414" t="s">
        <v>868</v>
      </c>
      <c r="L1414" t="s">
        <v>3618</v>
      </c>
      <c r="M1414" t="s">
        <v>3346</v>
      </c>
      <c r="N1414" t="s">
        <v>3347</v>
      </c>
      <c r="Q1414" t="s">
        <v>3599</v>
      </c>
      <c r="R1414" t="s">
        <v>3599</v>
      </c>
      <c r="S1414" t="s">
        <v>3599</v>
      </c>
      <c r="T1414">
        <v>1</v>
      </c>
      <c r="U1414" t="s">
        <v>868</v>
      </c>
      <c r="V1414">
        <v>5</v>
      </c>
      <c r="W1414">
        <v>0</v>
      </c>
      <c r="X1414">
        <v>0</v>
      </c>
    </row>
    <row r="1415" spans="1:24" x14ac:dyDescent="0.3">
      <c r="A1415" t="s">
        <v>3348</v>
      </c>
      <c r="B1415" t="s">
        <v>3349</v>
      </c>
      <c r="C1415">
        <v>1</v>
      </c>
      <c r="D1415" t="s">
        <v>11</v>
      </c>
      <c r="E1415" t="s">
        <v>21</v>
      </c>
      <c r="F1415" t="s">
        <v>22</v>
      </c>
      <c r="H1415" t="s">
        <v>71</v>
      </c>
      <c r="I1415" t="s">
        <v>3617</v>
      </c>
      <c r="J1415" t="s">
        <v>3348</v>
      </c>
      <c r="K1415" t="s">
        <v>868</v>
      </c>
      <c r="L1415" t="s">
        <v>3618</v>
      </c>
      <c r="M1415" t="s">
        <v>3348</v>
      </c>
      <c r="N1415" t="s">
        <v>3349</v>
      </c>
      <c r="Q1415" t="s">
        <v>3599</v>
      </c>
      <c r="R1415" t="s">
        <v>3599</v>
      </c>
      <c r="S1415" t="s">
        <v>3599</v>
      </c>
      <c r="T1415">
        <v>1</v>
      </c>
      <c r="U1415" t="s">
        <v>868</v>
      </c>
      <c r="V1415">
        <v>5</v>
      </c>
      <c r="W1415">
        <v>0</v>
      </c>
      <c r="X1415">
        <v>0</v>
      </c>
    </row>
    <row r="1416" spans="1:24" x14ac:dyDescent="0.3">
      <c r="A1416" t="s">
        <v>1068</v>
      </c>
      <c r="B1416" t="s">
        <v>1069</v>
      </c>
      <c r="C1416">
        <v>1</v>
      </c>
      <c r="D1416" t="s">
        <v>11</v>
      </c>
      <c r="E1416" t="s">
        <v>21</v>
      </c>
      <c r="F1416" t="s">
        <v>22</v>
      </c>
      <c r="H1416" t="s">
        <v>71</v>
      </c>
      <c r="I1416" t="s">
        <v>3617</v>
      </c>
      <c r="J1416" t="s">
        <v>1068</v>
      </c>
      <c r="K1416" t="s">
        <v>868</v>
      </c>
      <c r="L1416" t="s">
        <v>3618</v>
      </c>
      <c r="M1416" t="s">
        <v>1068</v>
      </c>
      <c r="N1416" t="s">
        <v>1069</v>
      </c>
      <c r="Q1416" t="s">
        <v>3599</v>
      </c>
      <c r="R1416" t="s">
        <v>3599</v>
      </c>
      <c r="S1416" t="s">
        <v>3599</v>
      </c>
      <c r="T1416">
        <v>1</v>
      </c>
      <c r="U1416" t="s">
        <v>868</v>
      </c>
      <c r="V1416">
        <v>5</v>
      </c>
      <c r="W1416">
        <v>0</v>
      </c>
      <c r="X1416">
        <v>0</v>
      </c>
    </row>
    <row r="1417" spans="1:24" x14ac:dyDescent="0.3">
      <c r="A1417" t="s">
        <v>3350</v>
      </c>
      <c r="B1417" t="s">
        <v>3351</v>
      </c>
      <c r="C1417">
        <v>1</v>
      </c>
      <c r="D1417" t="s">
        <v>11</v>
      </c>
      <c r="E1417" t="s">
        <v>21</v>
      </c>
      <c r="F1417" t="s">
        <v>22</v>
      </c>
      <c r="H1417" t="s">
        <v>71</v>
      </c>
      <c r="I1417" t="s">
        <v>3617</v>
      </c>
      <c r="J1417" t="s">
        <v>3350</v>
      </c>
      <c r="K1417" t="s">
        <v>868</v>
      </c>
      <c r="L1417" t="s">
        <v>3618</v>
      </c>
      <c r="M1417" t="s">
        <v>3350</v>
      </c>
      <c r="N1417" t="s">
        <v>3351</v>
      </c>
      <c r="Q1417" t="s">
        <v>3599</v>
      </c>
      <c r="R1417" t="s">
        <v>3599</v>
      </c>
      <c r="S1417" t="s">
        <v>3599</v>
      </c>
      <c r="T1417">
        <v>1</v>
      </c>
      <c r="U1417" t="s">
        <v>868</v>
      </c>
      <c r="V1417">
        <v>5</v>
      </c>
      <c r="W1417">
        <v>0</v>
      </c>
      <c r="X1417">
        <v>0</v>
      </c>
    </row>
    <row r="1418" spans="1:24" x14ac:dyDescent="0.3">
      <c r="A1418" t="s">
        <v>3352</v>
      </c>
      <c r="B1418" t="s">
        <v>3353</v>
      </c>
      <c r="C1418">
        <v>1</v>
      </c>
      <c r="D1418" t="s">
        <v>11</v>
      </c>
      <c r="E1418" t="s">
        <v>21</v>
      </c>
      <c r="F1418" t="s">
        <v>22</v>
      </c>
      <c r="H1418" t="s">
        <v>71</v>
      </c>
      <c r="I1418" t="s">
        <v>3617</v>
      </c>
      <c r="J1418" t="s">
        <v>3352</v>
      </c>
      <c r="K1418" t="s">
        <v>868</v>
      </c>
      <c r="L1418" t="s">
        <v>3618</v>
      </c>
      <c r="M1418" t="s">
        <v>3352</v>
      </c>
      <c r="N1418" t="s">
        <v>3353</v>
      </c>
      <c r="Q1418" t="s">
        <v>3599</v>
      </c>
      <c r="R1418" t="s">
        <v>3599</v>
      </c>
      <c r="S1418" t="s">
        <v>3599</v>
      </c>
      <c r="T1418">
        <v>1</v>
      </c>
      <c r="U1418" t="s">
        <v>868</v>
      </c>
      <c r="V1418">
        <v>5</v>
      </c>
      <c r="W1418">
        <v>0</v>
      </c>
      <c r="X1418">
        <v>0</v>
      </c>
    </row>
    <row r="1419" spans="1:24" x14ac:dyDescent="0.3">
      <c r="A1419" t="s">
        <v>3354</v>
      </c>
      <c r="B1419" t="s">
        <v>3355</v>
      </c>
      <c r="C1419">
        <v>1</v>
      </c>
      <c r="D1419" t="s">
        <v>11</v>
      </c>
      <c r="E1419" t="s">
        <v>21</v>
      </c>
      <c r="F1419" t="s">
        <v>22</v>
      </c>
      <c r="H1419" t="s">
        <v>71</v>
      </c>
      <c r="I1419" t="s">
        <v>3617</v>
      </c>
      <c r="J1419" t="s">
        <v>3354</v>
      </c>
      <c r="K1419" t="s">
        <v>868</v>
      </c>
      <c r="L1419" t="s">
        <v>3618</v>
      </c>
      <c r="M1419" t="s">
        <v>3354</v>
      </c>
      <c r="N1419" t="s">
        <v>3355</v>
      </c>
      <c r="Q1419" t="s">
        <v>3599</v>
      </c>
      <c r="R1419" t="s">
        <v>3599</v>
      </c>
      <c r="S1419" t="s">
        <v>3599</v>
      </c>
      <c r="T1419">
        <v>1</v>
      </c>
      <c r="U1419" t="s">
        <v>868</v>
      </c>
      <c r="V1419">
        <v>5</v>
      </c>
      <c r="W1419">
        <v>0</v>
      </c>
      <c r="X1419">
        <v>0</v>
      </c>
    </row>
    <row r="1420" spans="1:24" x14ac:dyDescent="0.3">
      <c r="A1420" t="s">
        <v>3356</v>
      </c>
      <c r="B1420" t="s">
        <v>3357</v>
      </c>
      <c r="C1420">
        <v>1</v>
      </c>
      <c r="D1420" t="s">
        <v>11</v>
      </c>
      <c r="E1420" t="s">
        <v>21</v>
      </c>
      <c r="F1420" t="s">
        <v>22</v>
      </c>
      <c r="H1420" t="s">
        <v>71</v>
      </c>
      <c r="I1420" t="s">
        <v>3617</v>
      </c>
      <c r="J1420" t="s">
        <v>3356</v>
      </c>
      <c r="K1420" t="s">
        <v>868</v>
      </c>
      <c r="L1420" t="s">
        <v>3618</v>
      </c>
      <c r="M1420" t="s">
        <v>3356</v>
      </c>
      <c r="N1420" t="s">
        <v>3357</v>
      </c>
      <c r="Q1420" t="s">
        <v>3599</v>
      </c>
      <c r="R1420" t="s">
        <v>3599</v>
      </c>
      <c r="S1420" t="s">
        <v>3599</v>
      </c>
      <c r="T1420">
        <v>1</v>
      </c>
      <c r="U1420" t="s">
        <v>868</v>
      </c>
      <c r="V1420">
        <v>5</v>
      </c>
      <c r="W1420">
        <v>0</v>
      </c>
      <c r="X1420">
        <v>0</v>
      </c>
    </row>
    <row r="1421" spans="1:24" x14ac:dyDescent="0.3">
      <c r="A1421" t="s">
        <v>3358</v>
      </c>
      <c r="B1421" t="s">
        <v>3359</v>
      </c>
      <c r="C1421">
        <v>1</v>
      </c>
      <c r="D1421" t="s">
        <v>11</v>
      </c>
      <c r="E1421" t="s">
        <v>21</v>
      </c>
      <c r="F1421" t="s">
        <v>22</v>
      </c>
      <c r="H1421" t="s">
        <v>71</v>
      </c>
      <c r="I1421" t="s">
        <v>3617</v>
      </c>
      <c r="J1421" t="s">
        <v>3358</v>
      </c>
      <c r="K1421" t="s">
        <v>868</v>
      </c>
      <c r="L1421" t="s">
        <v>3618</v>
      </c>
      <c r="M1421" t="s">
        <v>3358</v>
      </c>
      <c r="N1421" t="s">
        <v>3359</v>
      </c>
      <c r="O1421" t="s">
        <v>3361</v>
      </c>
      <c r="P1421" t="s">
        <v>3360</v>
      </c>
      <c r="Q1421" t="s">
        <v>3599</v>
      </c>
      <c r="R1421" t="s">
        <v>3599</v>
      </c>
      <c r="S1421" t="s">
        <v>3599</v>
      </c>
      <c r="T1421">
        <v>1</v>
      </c>
      <c r="U1421" t="s">
        <v>868</v>
      </c>
      <c r="V1421">
        <v>5</v>
      </c>
      <c r="W1421">
        <v>0</v>
      </c>
      <c r="X1421">
        <v>0</v>
      </c>
    </row>
    <row r="1422" spans="1:24" x14ac:dyDescent="0.3">
      <c r="A1422" t="s">
        <v>3362</v>
      </c>
      <c r="B1422" t="s">
        <v>3363</v>
      </c>
      <c r="C1422">
        <v>1</v>
      </c>
      <c r="D1422" t="s">
        <v>11</v>
      </c>
      <c r="E1422" t="s">
        <v>21</v>
      </c>
      <c r="F1422" t="s">
        <v>22</v>
      </c>
      <c r="H1422" t="s">
        <v>71</v>
      </c>
      <c r="I1422" t="s">
        <v>3617</v>
      </c>
      <c r="J1422" t="s">
        <v>3362</v>
      </c>
      <c r="K1422" t="s">
        <v>868</v>
      </c>
      <c r="L1422" t="s">
        <v>3618</v>
      </c>
      <c r="M1422" t="s">
        <v>3362</v>
      </c>
      <c r="N1422" t="s">
        <v>3363</v>
      </c>
      <c r="Q1422" t="s">
        <v>3599</v>
      </c>
      <c r="R1422" t="s">
        <v>3599</v>
      </c>
      <c r="S1422" t="s">
        <v>3599</v>
      </c>
      <c r="T1422">
        <v>1</v>
      </c>
      <c r="U1422" t="s">
        <v>868</v>
      </c>
      <c r="V1422">
        <v>5</v>
      </c>
      <c r="W1422">
        <v>0</v>
      </c>
      <c r="X1422">
        <v>0</v>
      </c>
    </row>
    <row r="1423" spans="1:24" x14ac:dyDescent="0.3">
      <c r="A1423" t="s">
        <v>3364</v>
      </c>
      <c r="B1423" t="s">
        <v>3365</v>
      </c>
      <c r="C1423">
        <v>1</v>
      </c>
      <c r="D1423" t="s">
        <v>11</v>
      </c>
      <c r="E1423" t="s">
        <v>21</v>
      </c>
      <c r="F1423" t="s">
        <v>22</v>
      </c>
      <c r="H1423" t="s">
        <v>71</v>
      </c>
      <c r="I1423" t="s">
        <v>3617</v>
      </c>
      <c r="J1423" t="s">
        <v>3364</v>
      </c>
      <c r="K1423" t="s">
        <v>868</v>
      </c>
      <c r="L1423" t="s">
        <v>3618</v>
      </c>
      <c r="M1423" t="s">
        <v>3364</v>
      </c>
      <c r="N1423" t="s">
        <v>3365</v>
      </c>
      <c r="Q1423" t="s">
        <v>3599</v>
      </c>
      <c r="R1423" t="s">
        <v>3599</v>
      </c>
      <c r="S1423" t="s">
        <v>3599</v>
      </c>
      <c r="T1423">
        <v>1</v>
      </c>
      <c r="U1423" t="s">
        <v>868</v>
      </c>
      <c r="V1423">
        <v>5</v>
      </c>
      <c r="W1423">
        <v>0</v>
      </c>
      <c r="X1423">
        <v>0</v>
      </c>
    </row>
    <row r="1424" spans="1:24" x14ac:dyDescent="0.3">
      <c r="A1424" t="s">
        <v>3366</v>
      </c>
      <c r="B1424" t="s">
        <v>3367</v>
      </c>
      <c r="C1424">
        <v>1</v>
      </c>
      <c r="D1424" t="s">
        <v>11</v>
      </c>
      <c r="E1424" t="s">
        <v>21</v>
      </c>
      <c r="F1424" t="s">
        <v>22</v>
      </c>
      <c r="H1424" t="s">
        <v>71</v>
      </c>
      <c r="I1424" t="s">
        <v>3617</v>
      </c>
      <c r="J1424" t="s">
        <v>3366</v>
      </c>
      <c r="K1424" t="s">
        <v>868</v>
      </c>
      <c r="L1424" t="s">
        <v>3618</v>
      </c>
      <c r="M1424" t="s">
        <v>3366</v>
      </c>
      <c r="N1424" t="s">
        <v>3367</v>
      </c>
      <c r="Q1424" t="s">
        <v>3599</v>
      </c>
      <c r="R1424" t="s">
        <v>3599</v>
      </c>
      <c r="S1424" t="s">
        <v>3599</v>
      </c>
      <c r="T1424">
        <v>1</v>
      </c>
      <c r="U1424" t="s">
        <v>868</v>
      </c>
      <c r="V1424">
        <v>5</v>
      </c>
      <c r="W1424">
        <v>0</v>
      </c>
      <c r="X1424">
        <v>0</v>
      </c>
    </row>
    <row r="1425" spans="1:24" x14ac:dyDescent="0.3">
      <c r="A1425" t="s">
        <v>3368</v>
      </c>
      <c r="B1425" t="s">
        <v>3369</v>
      </c>
      <c r="C1425">
        <v>1</v>
      </c>
      <c r="D1425" t="s">
        <v>11</v>
      </c>
      <c r="E1425" t="s">
        <v>21</v>
      </c>
      <c r="F1425" t="s">
        <v>22</v>
      </c>
      <c r="H1425" t="s">
        <v>71</v>
      </c>
      <c r="I1425" t="s">
        <v>3617</v>
      </c>
      <c r="J1425" t="s">
        <v>3368</v>
      </c>
      <c r="K1425" t="s">
        <v>868</v>
      </c>
      <c r="L1425" t="s">
        <v>3618</v>
      </c>
      <c r="M1425" t="s">
        <v>3368</v>
      </c>
      <c r="N1425" t="s">
        <v>3369</v>
      </c>
      <c r="Q1425" t="s">
        <v>3599</v>
      </c>
      <c r="R1425" t="s">
        <v>3599</v>
      </c>
      <c r="S1425" t="s">
        <v>3599</v>
      </c>
      <c r="T1425">
        <v>1</v>
      </c>
      <c r="U1425" t="s">
        <v>868</v>
      </c>
      <c r="V1425">
        <v>5</v>
      </c>
      <c r="W1425">
        <v>0</v>
      </c>
      <c r="X1425">
        <v>0</v>
      </c>
    </row>
    <row r="1426" spans="1:24" x14ac:dyDescent="0.3">
      <c r="A1426" t="s">
        <v>3370</v>
      </c>
      <c r="B1426" t="s">
        <v>3371</v>
      </c>
      <c r="C1426">
        <v>1</v>
      </c>
      <c r="D1426" t="s">
        <v>11</v>
      </c>
      <c r="E1426" t="s">
        <v>21</v>
      </c>
      <c r="F1426" t="s">
        <v>22</v>
      </c>
      <c r="H1426" t="s">
        <v>71</v>
      </c>
      <c r="I1426" t="s">
        <v>3617</v>
      </c>
      <c r="J1426" t="s">
        <v>3370</v>
      </c>
      <c r="K1426" t="s">
        <v>868</v>
      </c>
      <c r="L1426" t="s">
        <v>3618</v>
      </c>
      <c r="M1426" t="s">
        <v>3370</v>
      </c>
      <c r="N1426" t="s">
        <v>3371</v>
      </c>
      <c r="Q1426" t="s">
        <v>3599</v>
      </c>
      <c r="R1426" t="s">
        <v>3599</v>
      </c>
      <c r="S1426" t="s">
        <v>3599</v>
      </c>
      <c r="T1426">
        <v>1</v>
      </c>
      <c r="U1426" t="s">
        <v>868</v>
      </c>
      <c r="V1426">
        <v>5</v>
      </c>
      <c r="W1426">
        <v>0</v>
      </c>
      <c r="X1426">
        <v>0</v>
      </c>
    </row>
    <row r="1427" spans="1:24" x14ac:dyDescent="0.3">
      <c r="A1427" t="s">
        <v>3372</v>
      </c>
      <c r="B1427" t="s">
        <v>3373</v>
      </c>
      <c r="C1427">
        <v>1</v>
      </c>
      <c r="D1427" t="s">
        <v>11</v>
      </c>
      <c r="E1427" t="s">
        <v>21</v>
      </c>
      <c r="F1427" t="s">
        <v>22</v>
      </c>
      <c r="H1427" t="s">
        <v>71</v>
      </c>
      <c r="I1427" t="s">
        <v>3617</v>
      </c>
      <c r="J1427" t="s">
        <v>3372</v>
      </c>
      <c r="K1427" t="s">
        <v>868</v>
      </c>
      <c r="L1427" t="s">
        <v>3618</v>
      </c>
      <c r="M1427" t="s">
        <v>3372</v>
      </c>
      <c r="N1427" t="s">
        <v>3373</v>
      </c>
      <c r="Q1427" t="s">
        <v>3599</v>
      </c>
      <c r="R1427" t="s">
        <v>3599</v>
      </c>
      <c r="S1427" t="s">
        <v>3599</v>
      </c>
      <c r="T1427">
        <v>1</v>
      </c>
      <c r="U1427" t="s">
        <v>868</v>
      </c>
      <c r="V1427">
        <v>5</v>
      </c>
      <c r="W1427">
        <v>0</v>
      </c>
      <c r="X1427">
        <v>0</v>
      </c>
    </row>
    <row r="1428" spans="1:24" x14ac:dyDescent="0.3">
      <c r="A1428" t="s">
        <v>3374</v>
      </c>
      <c r="B1428" t="s">
        <v>3375</v>
      </c>
      <c r="C1428">
        <v>1</v>
      </c>
      <c r="D1428" t="s">
        <v>11</v>
      </c>
      <c r="E1428" t="s">
        <v>21</v>
      </c>
      <c r="F1428" t="s">
        <v>22</v>
      </c>
      <c r="H1428" t="s">
        <v>71</v>
      </c>
      <c r="I1428" t="s">
        <v>3617</v>
      </c>
      <c r="J1428" t="s">
        <v>3374</v>
      </c>
      <c r="K1428" t="s">
        <v>868</v>
      </c>
      <c r="L1428" t="s">
        <v>3618</v>
      </c>
      <c r="M1428" t="s">
        <v>3374</v>
      </c>
      <c r="N1428" t="s">
        <v>3375</v>
      </c>
      <c r="Q1428" t="s">
        <v>3599</v>
      </c>
      <c r="R1428" t="s">
        <v>3599</v>
      </c>
      <c r="S1428" t="s">
        <v>3599</v>
      </c>
      <c r="T1428">
        <v>1</v>
      </c>
      <c r="U1428" t="s">
        <v>868</v>
      </c>
      <c r="V1428">
        <v>5</v>
      </c>
      <c r="W1428">
        <v>0</v>
      </c>
      <c r="X1428">
        <v>0</v>
      </c>
    </row>
    <row r="1429" spans="1:24" x14ac:dyDescent="0.3">
      <c r="A1429" t="s">
        <v>3376</v>
      </c>
      <c r="B1429" t="s">
        <v>3377</v>
      </c>
      <c r="C1429">
        <v>1</v>
      </c>
      <c r="D1429" t="s">
        <v>11</v>
      </c>
      <c r="E1429" t="s">
        <v>21</v>
      </c>
      <c r="F1429" t="s">
        <v>22</v>
      </c>
      <c r="H1429" t="s">
        <v>71</v>
      </c>
      <c r="I1429" t="s">
        <v>3617</v>
      </c>
      <c r="J1429" t="s">
        <v>3376</v>
      </c>
      <c r="K1429" t="s">
        <v>868</v>
      </c>
      <c r="L1429" t="s">
        <v>3618</v>
      </c>
      <c r="M1429" t="s">
        <v>3376</v>
      </c>
      <c r="N1429" t="s">
        <v>3377</v>
      </c>
      <c r="Q1429" t="s">
        <v>3599</v>
      </c>
      <c r="R1429" t="s">
        <v>3599</v>
      </c>
      <c r="S1429" t="s">
        <v>3599</v>
      </c>
      <c r="T1429">
        <v>1</v>
      </c>
      <c r="U1429" t="s">
        <v>868</v>
      </c>
      <c r="V1429">
        <v>5</v>
      </c>
      <c r="W1429">
        <v>0</v>
      </c>
      <c r="X1429">
        <v>0</v>
      </c>
    </row>
    <row r="1430" spans="1:24" x14ac:dyDescent="0.3">
      <c r="A1430" t="s">
        <v>1975</v>
      </c>
      <c r="B1430" t="s">
        <v>1976</v>
      </c>
      <c r="C1430">
        <v>1</v>
      </c>
      <c r="D1430" t="s">
        <v>11</v>
      </c>
      <c r="E1430" t="s">
        <v>21</v>
      </c>
      <c r="F1430" t="s">
        <v>22</v>
      </c>
      <c r="H1430" t="s">
        <v>71</v>
      </c>
      <c r="I1430" t="s">
        <v>3617</v>
      </c>
      <c r="J1430" t="s">
        <v>1975</v>
      </c>
      <c r="K1430" t="s">
        <v>868</v>
      </c>
      <c r="L1430" t="s">
        <v>3618</v>
      </c>
      <c r="M1430" t="s">
        <v>1975</v>
      </c>
      <c r="N1430" t="s">
        <v>1976</v>
      </c>
      <c r="Q1430" t="s">
        <v>3599</v>
      </c>
      <c r="R1430" t="s">
        <v>3599</v>
      </c>
      <c r="S1430" t="s">
        <v>3599</v>
      </c>
      <c r="T1430">
        <v>1</v>
      </c>
      <c r="U1430" t="s">
        <v>868</v>
      </c>
      <c r="V1430">
        <v>5</v>
      </c>
      <c r="W1430">
        <v>0</v>
      </c>
      <c r="X1430">
        <v>0</v>
      </c>
    </row>
    <row r="1431" spans="1:24" x14ac:dyDescent="0.3">
      <c r="A1431" t="s">
        <v>3378</v>
      </c>
      <c r="B1431" t="s">
        <v>3379</v>
      </c>
      <c r="C1431">
        <v>1</v>
      </c>
      <c r="D1431" t="s">
        <v>11</v>
      </c>
      <c r="E1431" t="s">
        <v>21</v>
      </c>
      <c r="F1431" t="s">
        <v>22</v>
      </c>
      <c r="H1431" t="s">
        <v>71</v>
      </c>
      <c r="I1431" t="s">
        <v>3617</v>
      </c>
      <c r="J1431" t="s">
        <v>3378</v>
      </c>
      <c r="K1431" t="s">
        <v>868</v>
      </c>
      <c r="L1431" t="s">
        <v>3618</v>
      </c>
      <c r="M1431" t="s">
        <v>3378</v>
      </c>
      <c r="N1431" t="s">
        <v>3379</v>
      </c>
      <c r="Q1431" t="s">
        <v>3599</v>
      </c>
      <c r="R1431" t="s">
        <v>3599</v>
      </c>
      <c r="S1431" t="s">
        <v>3599</v>
      </c>
      <c r="T1431">
        <v>1</v>
      </c>
      <c r="U1431" t="s">
        <v>868</v>
      </c>
      <c r="V1431">
        <v>5</v>
      </c>
      <c r="W1431">
        <v>0</v>
      </c>
      <c r="X1431">
        <v>0</v>
      </c>
    </row>
    <row r="1432" spans="1:24" x14ac:dyDescent="0.3">
      <c r="A1432" t="s">
        <v>3380</v>
      </c>
      <c r="B1432" t="s">
        <v>3381</v>
      </c>
      <c r="C1432">
        <v>1</v>
      </c>
      <c r="D1432" t="s">
        <v>11</v>
      </c>
      <c r="E1432" t="s">
        <v>21</v>
      </c>
      <c r="F1432" t="s">
        <v>22</v>
      </c>
      <c r="H1432" t="s">
        <v>71</v>
      </c>
      <c r="I1432" t="s">
        <v>3617</v>
      </c>
      <c r="J1432" t="s">
        <v>3380</v>
      </c>
      <c r="K1432" t="s">
        <v>868</v>
      </c>
      <c r="L1432" t="s">
        <v>3618</v>
      </c>
      <c r="M1432" t="s">
        <v>3380</v>
      </c>
      <c r="N1432" t="s">
        <v>3381</v>
      </c>
      <c r="Q1432" t="s">
        <v>3599</v>
      </c>
      <c r="R1432" t="s">
        <v>3599</v>
      </c>
      <c r="S1432" t="s">
        <v>3599</v>
      </c>
      <c r="T1432">
        <v>1</v>
      </c>
      <c r="U1432" t="s">
        <v>868</v>
      </c>
      <c r="V1432">
        <v>5</v>
      </c>
      <c r="W1432">
        <v>0</v>
      </c>
      <c r="X1432">
        <v>0</v>
      </c>
    </row>
    <row r="1433" spans="1:24" x14ac:dyDescent="0.3">
      <c r="A1433" t="s">
        <v>3382</v>
      </c>
      <c r="B1433" t="s">
        <v>3383</v>
      </c>
      <c r="C1433">
        <v>1</v>
      </c>
      <c r="D1433" t="s">
        <v>11</v>
      </c>
      <c r="E1433" t="s">
        <v>21</v>
      </c>
      <c r="F1433" t="s">
        <v>22</v>
      </c>
      <c r="H1433" t="s">
        <v>71</v>
      </c>
      <c r="I1433" t="s">
        <v>3617</v>
      </c>
      <c r="J1433" t="s">
        <v>3382</v>
      </c>
      <c r="K1433" t="s">
        <v>868</v>
      </c>
      <c r="L1433" t="s">
        <v>3618</v>
      </c>
      <c r="M1433" t="s">
        <v>3382</v>
      </c>
      <c r="N1433" t="s">
        <v>3383</v>
      </c>
      <c r="Q1433" t="s">
        <v>3599</v>
      </c>
      <c r="R1433" t="s">
        <v>3599</v>
      </c>
      <c r="S1433" t="s">
        <v>3599</v>
      </c>
      <c r="T1433">
        <v>1</v>
      </c>
      <c r="U1433" t="s">
        <v>868</v>
      </c>
      <c r="V1433">
        <v>5</v>
      </c>
      <c r="W1433">
        <v>0</v>
      </c>
      <c r="X1433">
        <v>0</v>
      </c>
    </row>
    <row r="1434" spans="1:24" x14ac:dyDescent="0.3">
      <c r="A1434" t="s">
        <v>3384</v>
      </c>
      <c r="B1434" t="s">
        <v>3385</v>
      </c>
      <c r="C1434">
        <v>1</v>
      </c>
      <c r="D1434" t="s">
        <v>11</v>
      </c>
      <c r="E1434" t="s">
        <v>21</v>
      </c>
      <c r="F1434" t="s">
        <v>22</v>
      </c>
      <c r="H1434" t="s">
        <v>71</v>
      </c>
      <c r="I1434" t="s">
        <v>3617</v>
      </c>
      <c r="J1434" t="s">
        <v>3384</v>
      </c>
      <c r="K1434" t="s">
        <v>868</v>
      </c>
      <c r="L1434" t="s">
        <v>3618</v>
      </c>
      <c r="M1434" t="s">
        <v>3384</v>
      </c>
      <c r="N1434" t="s">
        <v>3385</v>
      </c>
      <c r="Q1434" t="s">
        <v>3599</v>
      </c>
      <c r="R1434" t="s">
        <v>3599</v>
      </c>
      <c r="S1434" t="s">
        <v>3599</v>
      </c>
      <c r="T1434">
        <v>1</v>
      </c>
      <c r="U1434" t="s">
        <v>868</v>
      </c>
      <c r="V1434">
        <v>5</v>
      </c>
      <c r="W1434">
        <v>0</v>
      </c>
      <c r="X1434">
        <v>0</v>
      </c>
    </row>
    <row r="1435" spans="1:24" x14ac:dyDescent="0.3">
      <c r="A1435" t="s">
        <v>3386</v>
      </c>
      <c r="B1435" t="s">
        <v>3387</v>
      </c>
      <c r="C1435">
        <v>1</v>
      </c>
      <c r="D1435" t="s">
        <v>11</v>
      </c>
      <c r="E1435" t="s">
        <v>21</v>
      </c>
      <c r="F1435" t="s">
        <v>22</v>
      </c>
      <c r="H1435" t="s">
        <v>71</v>
      </c>
      <c r="I1435" t="s">
        <v>3617</v>
      </c>
      <c r="J1435" t="s">
        <v>3386</v>
      </c>
      <c r="K1435" t="s">
        <v>868</v>
      </c>
      <c r="L1435" t="s">
        <v>3618</v>
      </c>
      <c r="M1435" t="s">
        <v>3386</v>
      </c>
      <c r="N1435" t="s">
        <v>3387</v>
      </c>
      <c r="Q1435" t="s">
        <v>3599</v>
      </c>
      <c r="R1435" t="s">
        <v>3599</v>
      </c>
      <c r="S1435" t="s">
        <v>3599</v>
      </c>
      <c r="T1435">
        <v>1</v>
      </c>
      <c r="U1435" t="s">
        <v>868</v>
      </c>
      <c r="V1435">
        <v>5</v>
      </c>
      <c r="W1435">
        <v>0</v>
      </c>
      <c r="X1435">
        <v>0</v>
      </c>
    </row>
    <row r="1436" spans="1:24" x14ac:dyDescent="0.3">
      <c r="A1436" t="s">
        <v>3388</v>
      </c>
      <c r="B1436" t="s">
        <v>3389</v>
      </c>
      <c r="C1436">
        <v>1</v>
      </c>
      <c r="D1436" t="s">
        <v>11</v>
      </c>
      <c r="E1436" t="s">
        <v>21</v>
      </c>
      <c r="F1436" t="s">
        <v>22</v>
      </c>
      <c r="H1436" t="s">
        <v>71</v>
      </c>
      <c r="I1436" t="s">
        <v>3617</v>
      </c>
      <c r="J1436" t="s">
        <v>3388</v>
      </c>
      <c r="K1436" t="s">
        <v>868</v>
      </c>
      <c r="L1436" t="s">
        <v>3618</v>
      </c>
      <c r="M1436" t="s">
        <v>3388</v>
      </c>
      <c r="N1436" t="s">
        <v>3389</v>
      </c>
      <c r="Q1436" t="s">
        <v>3599</v>
      </c>
      <c r="R1436" t="s">
        <v>3599</v>
      </c>
      <c r="S1436" t="s">
        <v>3599</v>
      </c>
      <c r="T1436">
        <v>1</v>
      </c>
      <c r="U1436" t="s">
        <v>868</v>
      </c>
      <c r="V1436">
        <v>5</v>
      </c>
      <c r="W1436">
        <v>0</v>
      </c>
      <c r="X1436">
        <v>0</v>
      </c>
    </row>
    <row r="1437" spans="1:24" x14ac:dyDescent="0.3">
      <c r="A1437" t="s">
        <v>3390</v>
      </c>
      <c r="B1437" t="s">
        <v>3391</v>
      </c>
      <c r="C1437">
        <v>1</v>
      </c>
      <c r="D1437" t="s">
        <v>11</v>
      </c>
      <c r="E1437" t="s">
        <v>21</v>
      </c>
      <c r="F1437" t="s">
        <v>22</v>
      </c>
      <c r="H1437" t="s">
        <v>71</v>
      </c>
      <c r="I1437" t="s">
        <v>3617</v>
      </c>
      <c r="J1437" t="s">
        <v>3390</v>
      </c>
      <c r="K1437" t="s">
        <v>868</v>
      </c>
      <c r="L1437" t="s">
        <v>3618</v>
      </c>
      <c r="M1437" t="s">
        <v>3390</v>
      </c>
      <c r="N1437" t="s">
        <v>3391</v>
      </c>
      <c r="Q1437" t="s">
        <v>3599</v>
      </c>
      <c r="R1437" t="s">
        <v>3599</v>
      </c>
      <c r="S1437" t="s">
        <v>3599</v>
      </c>
      <c r="T1437">
        <v>1</v>
      </c>
      <c r="U1437" t="s">
        <v>868</v>
      </c>
      <c r="V1437">
        <v>5</v>
      </c>
      <c r="W1437">
        <v>0</v>
      </c>
      <c r="X1437">
        <v>0</v>
      </c>
    </row>
    <row r="1438" spans="1:24" x14ac:dyDescent="0.3">
      <c r="A1438" t="s">
        <v>3392</v>
      </c>
      <c r="B1438" t="s">
        <v>3393</v>
      </c>
      <c r="C1438">
        <v>1</v>
      </c>
      <c r="D1438" t="s">
        <v>11</v>
      </c>
      <c r="E1438" t="s">
        <v>21</v>
      </c>
      <c r="F1438" t="s">
        <v>22</v>
      </c>
      <c r="H1438" t="s">
        <v>71</v>
      </c>
      <c r="I1438" t="s">
        <v>3617</v>
      </c>
      <c r="J1438" t="s">
        <v>3392</v>
      </c>
      <c r="K1438" t="s">
        <v>868</v>
      </c>
      <c r="L1438" t="s">
        <v>3618</v>
      </c>
      <c r="M1438" t="s">
        <v>3392</v>
      </c>
      <c r="N1438" t="s">
        <v>3393</v>
      </c>
      <c r="Q1438" t="s">
        <v>3599</v>
      </c>
      <c r="R1438" t="s">
        <v>3599</v>
      </c>
      <c r="S1438" t="s">
        <v>3599</v>
      </c>
      <c r="T1438">
        <v>1</v>
      </c>
      <c r="U1438" t="s">
        <v>868</v>
      </c>
      <c r="V1438">
        <v>5</v>
      </c>
      <c r="W1438">
        <v>0</v>
      </c>
      <c r="X1438">
        <v>0</v>
      </c>
    </row>
    <row r="1439" spans="1:24" x14ac:dyDescent="0.3">
      <c r="A1439" t="s">
        <v>3394</v>
      </c>
      <c r="B1439" t="s">
        <v>3395</v>
      </c>
      <c r="C1439">
        <v>1</v>
      </c>
      <c r="D1439" t="s">
        <v>11</v>
      </c>
      <c r="E1439" t="s">
        <v>21</v>
      </c>
      <c r="F1439" t="s">
        <v>22</v>
      </c>
      <c r="H1439" t="s">
        <v>71</v>
      </c>
      <c r="I1439" t="s">
        <v>3617</v>
      </c>
      <c r="J1439" t="s">
        <v>3394</v>
      </c>
      <c r="K1439" t="s">
        <v>868</v>
      </c>
      <c r="L1439" t="s">
        <v>3618</v>
      </c>
      <c r="M1439" t="s">
        <v>3394</v>
      </c>
      <c r="N1439" t="s">
        <v>3395</v>
      </c>
      <c r="Q1439" t="s">
        <v>3599</v>
      </c>
      <c r="R1439" t="s">
        <v>3599</v>
      </c>
      <c r="S1439" t="s">
        <v>3599</v>
      </c>
      <c r="T1439">
        <v>1</v>
      </c>
      <c r="U1439" t="s">
        <v>868</v>
      </c>
      <c r="V1439">
        <v>5</v>
      </c>
      <c r="W1439">
        <v>0</v>
      </c>
      <c r="X1439">
        <v>0</v>
      </c>
    </row>
    <row r="1440" spans="1:24" x14ac:dyDescent="0.3">
      <c r="A1440" t="s">
        <v>2715</v>
      </c>
      <c r="B1440" t="s">
        <v>3396</v>
      </c>
      <c r="C1440">
        <v>1</v>
      </c>
      <c r="D1440" t="s">
        <v>11</v>
      </c>
      <c r="E1440" t="s">
        <v>21</v>
      </c>
      <c r="F1440" t="s">
        <v>22</v>
      </c>
      <c r="H1440" t="s">
        <v>71</v>
      </c>
      <c r="I1440" t="s">
        <v>3617</v>
      </c>
      <c r="J1440" t="s">
        <v>2715</v>
      </c>
      <c r="K1440" t="s">
        <v>868</v>
      </c>
      <c r="L1440" t="s">
        <v>3618</v>
      </c>
      <c r="M1440" t="s">
        <v>2715</v>
      </c>
      <c r="N1440" t="s">
        <v>3396</v>
      </c>
      <c r="O1440" t="s">
        <v>3397</v>
      </c>
      <c r="Q1440" t="s">
        <v>3599</v>
      </c>
      <c r="R1440" t="s">
        <v>3599</v>
      </c>
      <c r="S1440" t="s">
        <v>3599</v>
      </c>
      <c r="T1440">
        <v>1</v>
      </c>
      <c r="U1440" t="s">
        <v>868</v>
      </c>
      <c r="V1440">
        <v>5</v>
      </c>
      <c r="W1440">
        <v>0</v>
      </c>
      <c r="X1440">
        <v>0</v>
      </c>
    </row>
    <row r="1441" spans="1:24" x14ac:dyDescent="0.3">
      <c r="A1441" t="s">
        <v>3398</v>
      </c>
      <c r="B1441" t="s">
        <v>3399</v>
      </c>
      <c r="C1441">
        <v>1</v>
      </c>
      <c r="D1441" t="s">
        <v>11</v>
      </c>
      <c r="E1441" t="s">
        <v>21</v>
      </c>
      <c r="F1441" t="s">
        <v>22</v>
      </c>
      <c r="H1441" t="s">
        <v>71</v>
      </c>
      <c r="I1441" t="s">
        <v>3617</v>
      </c>
      <c r="J1441" t="s">
        <v>3398</v>
      </c>
      <c r="K1441" t="s">
        <v>868</v>
      </c>
      <c r="L1441" t="s">
        <v>3618</v>
      </c>
      <c r="M1441" t="s">
        <v>3398</v>
      </c>
      <c r="N1441" t="s">
        <v>3399</v>
      </c>
      <c r="Q1441" t="s">
        <v>3599</v>
      </c>
      <c r="R1441" t="s">
        <v>3599</v>
      </c>
      <c r="S1441" t="s">
        <v>3599</v>
      </c>
      <c r="T1441">
        <v>1</v>
      </c>
      <c r="U1441" t="s">
        <v>868</v>
      </c>
      <c r="V1441">
        <v>5</v>
      </c>
      <c r="W1441">
        <v>0</v>
      </c>
      <c r="X1441">
        <v>0</v>
      </c>
    </row>
    <row r="1442" spans="1:24" x14ac:dyDescent="0.3">
      <c r="A1442" t="s">
        <v>3400</v>
      </c>
      <c r="B1442" t="s">
        <v>3401</v>
      </c>
      <c r="C1442">
        <v>1</v>
      </c>
      <c r="D1442" t="s">
        <v>11</v>
      </c>
      <c r="E1442" t="s">
        <v>21</v>
      </c>
      <c r="F1442" t="s">
        <v>22</v>
      </c>
      <c r="H1442" t="s">
        <v>71</v>
      </c>
      <c r="I1442" t="s">
        <v>3617</v>
      </c>
      <c r="J1442" t="s">
        <v>3400</v>
      </c>
      <c r="K1442" t="s">
        <v>868</v>
      </c>
      <c r="L1442" t="s">
        <v>3618</v>
      </c>
      <c r="M1442" t="s">
        <v>3400</v>
      </c>
      <c r="N1442" t="s">
        <v>3401</v>
      </c>
      <c r="Q1442" t="s">
        <v>3599</v>
      </c>
      <c r="R1442" t="s">
        <v>3599</v>
      </c>
      <c r="S1442" t="s">
        <v>3599</v>
      </c>
      <c r="T1442">
        <v>1</v>
      </c>
      <c r="U1442" t="s">
        <v>868</v>
      </c>
      <c r="V1442">
        <v>5</v>
      </c>
      <c r="W1442">
        <v>0</v>
      </c>
      <c r="X1442">
        <v>0</v>
      </c>
    </row>
    <row r="1443" spans="1:24" x14ac:dyDescent="0.3">
      <c r="A1443" t="s">
        <v>3402</v>
      </c>
      <c r="B1443" t="s">
        <v>3403</v>
      </c>
      <c r="C1443">
        <v>1</v>
      </c>
      <c r="D1443" t="s">
        <v>11</v>
      </c>
      <c r="E1443" t="s">
        <v>21</v>
      </c>
      <c r="F1443" t="s">
        <v>22</v>
      </c>
      <c r="H1443" t="s">
        <v>71</v>
      </c>
      <c r="I1443" t="s">
        <v>3617</v>
      </c>
      <c r="J1443" t="s">
        <v>3402</v>
      </c>
      <c r="K1443" t="s">
        <v>868</v>
      </c>
      <c r="L1443" t="s">
        <v>3618</v>
      </c>
      <c r="M1443" t="s">
        <v>3402</v>
      </c>
      <c r="N1443" t="s">
        <v>3403</v>
      </c>
      <c r="Q1443" t="s">
        <v>3599</v>
      </c>
      <c r="R1443" t="s">
        <v>3599</v>
      </c>
      <c r="S1443" t="s">
        <v>3599</v>
      </c>
      <c r="T1443">
        <v>1</v>
      </c>
      <c r="U1443" t="s">
        <v>868</v>
      </c>
      <c r="V1443">
        <v>5</v>
      </c>
      <c r="W1443">
        <v>0</v>
      </c>
      <c r="X1443">
        <v>0</v>
      </c>
    </row>
    <row r="1444" spans="1:24" x14ac:dyDescent="0.3">
      <c r="A1444" t="s">
        <v>3404</v>
      </c>
      <c r="B1444" t="s">
        <v>3405</v>
      </c>
      <c r="C1444">
        <v>1</v>
      </c>
      <c r="D1444" t="s">
        <v>11</v>
      </c>
      <c r="E1444" t="s">
        <v>21</v>
      </c>
      <c r="F1444" t="s">
        <v>22</v>
      </c>
      <c r="H1444" t="s">
        <v>71</v>
      </c>
      <c r="I1444" t="s">
        <v>3617</v>
      </c>
      <c r="J1444" t="s">
        <v>3404</v>
      </c>
      <c r="K1444" t="s">
        <v>868</v>
      </c>
      <c r="L1444" t="s">
        <v>3618</v>
      </c>
      <c r="M1444" t="s">
        <v>3404</v>
      </c>
      <c r="N1444" t="s">
        <v>3405</v>
      </c>
      <c r="Q1444" t="s">
        <v>3599</v>
      </c>
      <c r="R1444" t="s">
        <v>3599</v>
      </c>
      <c r="S1444" t="s">
        <v>3599</v>
      </c>
      <c r="T1444">
        <v>1</v>
      </c>
      <c r="U1444" t="s">
        <v>868</v>
      </c>
      <c r="V1444">
        <v>5</v>
      </c>
      <c r="W1444">
        <v>0</v>
      </c>
      <c r="X1444">
        <v>0</v>
      </c>
    </row>
    <row r="1445" spans="1:24" x14ac:dyDescent="0.3">
      <c r="A1445" t="s">
        <v>3406</v>
      </c>
      <c r="B1445" t="s">
        <v>3407</v>
      </c>
      <c r="C1445">
        <v>1</v>
      </c>
      <c r="D1445" t="s">
        <v>11</v>
      </c>
      <c r="E1445" t="s">
        <v>21</v>
      </c>
      <c r="F1445" t="s">
        <v>22</v>
      </c>
      <c r="H1445" t="s">
        <v>71</v>
      </c>
      <c r="I1445" t="s">
        <v>3617</v>
      </c>
      <c r="J1445" t="s">
        <v>3406</v>
      </c>
      <c r="K1445" t="s">
        <v>868</v>
      </c>
      <c r="L1445" t="s">
        <v>3618</v>
      </c>
      <c r="M1445" t="s">
        <v>3406</v>
      </c>
      <c r="N1445" t="s">
        <v>3407</v>
      </c>
      <c r="Q1445" t="s">
        <v>3599</v>
      </c>
      <c r="R1445" t="s">
        <v>3599</v>
      </c>
      <c r="S1445" t="s">
        <v>3599</v>
      </c>
      <c r="T1445">
        <v>1</v>
      </c>
      <c r="U1445" t="s">
        <v>868</v>
      </c>
      <c r="V1445">
        <v>5</v>
      </c>
      <c r="W1445">
        <v>0</v>
      </c>
      <c r="X1445">
        <v>0</v>
      </c>
    </row>
    <row r="1446" spans="1:24" x14ac:dyDescent="0.3">
      <c r="A1446" t="s">
        <v>3408</v>
      </c>
      <c r="B1446" t="s">
        <v>3409</v>
      </c>
      <c r="C1446">
        <v>1</v>
      </c>
      <c r="D1446" t="s">
        <v>11</v>
      </c>
      <c r="E1446" t="s">
        <v>21</v>
      </c>
      <c r="F1446" t="s">
        <v>22</v>
      </c>
      <c r="H1446" t="s">
        <v>71</v>
      </c>
      <c r="I1446" t="s">
        <v>3617</v>
      </c>
      <c r="J1446" t="s">
        <v>3408</v>
      </c>
      <c r="K1446" t="s">
        <v>868</v>
      </c>
      <c r="L1446" t="s">
        <v>3618</v>
      </c>
      <c r="M1446" t="s">
        <v>3408</v>
      </c>
      <c r="N1446" t="s">
        <v>3409</v>
      </c>
      <c r="Q1446" t="s">
        <v>3599</v>
      </c>
      <c r="R1446" t="s">
        <v>3599</v>
      </c>
      <c r="S1446" t="s">
        <v>3599</v>
      </c>
      <c r="T1446">
        <v>1</v>
      </c>
      <c r="U1446" t="s">
        <v>868</v>
      </c>
      <c r="V1446">
        <v>5</v>
      </c>
      <c r="W1446">
        <v>0</v>
      </c>
      <c r="X1446">
        <v>0</v>
      </c>
    </row>
    <row r="1447" spans="1:24" x14ac:dyDescent="0.3">
      <c r="A1447" t="s">
        <v>3410</v>
      </c>
      <c r="B1447" t="s">
        <v>3411</v>
      </c>
      <c r="C1447">
        <v>1</v>
      </c>
      <c r="D1447" t="s">
        <v>11</v>
      </c>
      <c r="E1447" t="s">
        <v>21</v>
      </c>
      <c r="F1447" t="s">
        <v>22</v>
      </c>
      <c r="H1447" t="s">
        <v>71</v>
      </c>
      <c r="I1447" t="s">
        <v>3617</v>
      </c>
      <c r="J1447" t="s">
        <v>3410</v>
      </c>
      <c r="K1447" t="s">
        <v>868</v>
      </c>
      <c r="L1447" t="s">
        <v>3618</v>
      </c>
      <c r="M1447" t="s">
        <v>3410</v>
      </c>
      <c r="N1447" t="s">
        <v>3411</v>
      </c>
      <c r="Q1447" t="s">
        <v>3599</v>
      </c>
      <c r="R1447" t="s">
        <v>3599</v>
      </c>
      <c r="S1447" t="s">
        <v>3599</v>
      </c>
      <c r="T1447">
        <v>1</v>
      </c>
      <c r="U1447" t="s">
        <v>868</v>
      </c>
      <c r="V1447">
        <v>5</v>
      </c>
      <c r="W1447">
        <v>0</v>
      </c>
      <c r="X1447">
        <v>0</v>
      </c>
    </row>
    <row r="1448" spans="1:24" x14ac:dyDescent="0.3">
      <c r="A1448" t="s">
        <v>3412</v>
      </c>
      <c r="B1448" t="s">
        <v>3413</v>
      </c>
      <c r="C1448">
        <v>1</v>
      </c>
      <c r="D1448" t="s">
        <v>11</v>
      </c>
      <c r="E1448" t="s">
        <v>21</v>
      </c>
      <c r="F1448" t="s">
        <v>22</v>
      </c>
      <c r="H1448" t="s">
        <v>71</v>
      </c>
      <c r="I1448" t="s">
        <v>3617</v>
      </c>
      <c r="J1448" t="s">
        <v>3412</v>
      </c>
      <c r="K1448" t="s">
        <v>868</v>
      </c>
      <c r="L1448" t="s">
        <v>3618</v>
      </c>
      <c r="M1448" t="s">
        <v>3412</v>
      </c>
      <c r="N1448" t="s">
        <v>3413</v>
      </c>
      <c r="Q1448" t="s">
        <v>3599</v>
      </c>
      <c r="R1448" t="s">
        <v>3599</v>
      </c>
      <c r="S1448" t="s">
        <v>3599</v>
      </c>
      <c r="T1448">
        <v>1</v>
      </c>
      <c r="U1448" t="s">
        <v>868</v>
      </c>
      <c r="V1448">
        <v>5</v>
      </c>
      <c r="W1448">
        <v>0</v>
      </c>
      <c r="X1448">
        <v>0</v>
      </c>
    </row>
    <row r="1449" spans="1:24" x14ac:dyDescent="0.3">
      <c r="A1449" t="s">
        <v>3414</v>
      </c>
      <c r="B1449" t="s">
        <v>3415</v>
      </c>
      <c r="C1449">
        <v>1</v>
      </c>
      <c r="D1449" t="s">
        <v>11</v>
      </c>
      <c r="E1449" t="s">
        <v>21</v>
      </c>
      <c r="F1449" t="s">
        <v>22</v>
      </c>
      <c r="H1449" t="s">
        <v>71</v>
      </c>
      <c r="I1449" t="s">
        <v>3617</v>
      </c>
      <c r="J1449" t="s">
        <v>3414</v>
      </c>
      <c r="K1449" t="s">
        <v>868</v>
      </c>
      <c r="L1449" t="s">
        <v>3618</v>
      </c>
      <c r="M1449" t="s">
        <v>3414</v>
      </c>
      <c r="N1449" t="s">
        <v>3415</v>
      </c>
      <c r="Q1449" t="s">
        <v>3599</v>
      </c>
      <c r="R1449" t="s">
        <v>3599</v>
      </c>
      <c r="S1449" t="s">
        <v>3599</v>
      </c>
      <c r="T1449">
        <v>1</v>
      </c>
      <c r="U1449" t="s">
        <v>868</v>
      </c>
      <c r="V1449">
        <v>5</v>
      </c>
      <c r="W1449">
        <v>0</v>
      </c>
      <c r="X1449">
        <v>0</v>
      </c>
    </row>
    <row r="1450" spans="1:24" x14ac:dyDescent="0.3">
      <c r="A1450" t="s">
        <v>3416</v>
      </c>
      <c r="B1450" t="s">
        <v>3417</v>
      </c>
      <c r="C1450">
        <v>1</v>
      </c>
      <c r="D1450" t="s">
        <v>11</v>
      </c>
      <c r="E1450" t="s">
        <v>21</v>
      </c>
      <c r="F1450" t="s">
        <v>22</v>
      </c>
      <c r="H1450" t="s">
        <v>71</v>
      </c>
      <c r="I1450" t="s">
        <v>3617</v>
      </c>
      <c r="K1450" t="s">
        <v>868</v>
      </c>
      <c r="L1450" t="s">
        <v>3618</v>
      </c>
      <c r="N1450" t="s">
        <v>3417</v>
      </c>
      <c r="Q1450" t="s">
        <v>3599</v>
      </c>
      <c r="R1450" t="s">
        <v>3599</v>
      </c>
      <c r="S1450" t="s">
        <v>3599</v>
      </c>
      <c r="T1450">
        <v>1</v>
      </c>
      <c r="U1450" t="s">
        <v>868</v>
      </c>
      <c r="V1450">
        <v>5</v>
      </c>
      <c r="W1450">
        <v>0</v>
      </c>
      <c r="X1450">
        <v>0</v>
      </c>
    </row>
    <row r="1451" spans="1:24" x14ac:dyDescent="0.3">
      <c r="A1451" t="s">
        <v>3418</v>
      </c>
      <c r="B1451" t="s">
        <v>3419</v>
      </c>
      <c r="C1451">
        <v>1</v>
      </c>
      <c r="D1451" t="s">
        <v>11</v>
      </c>
      <c r="E1451" t="s">
        <v>21</v>
      </c>
      <c r="F1451" t="s">
        <v>22</v>
      </c>
      <c r="H1451" t="s">
        <v>71</v>
      </c>
      <c r="I1451" t="s">
        <v>3617</v>
      </c>
      <c r="J1451" t="s">
        <v>3418</v>
      </c>
      <c r="K1451" t="s">
        <v>868</v>
      </c>
      <c r="L1451" t="s">
        <v>3618</v>
      </c>
      <c r="M1451" t="s">
        <v>3418</v>
      </c>
      <c r="N1451" t="s">
        <v>3419</v>
      </c>
      <c r="Q1451" t="s">
        <v>3599</v>
      </c>
      <c r="R1451" t="s">
        <v>3599</v>
      </c>
      <c r="S1451" t="s">
        <v>3599</v>
      </c>
      <c r="T1451">
        <v>1</v>
      </c>
      <c r="U1451" t="s">
        <v>868</v>
      </c>
      <c r="V1451">
        <v>5</v>
      </c>
      <c r="W1451">
        <v>0</v>
      </c>
      <c r="X1451">
        <v>0</v>
      </c>
    </row>
    <row r="1452" spans="1:24" x14ac:dyDescent="0.3">
      <c r="A1452" t="s">
        <v>3420</v>
      </c>
      <c r="B1452" t="s">
        <v>3421</v>
      </c>
      <c r="C1452">
        <v>1</v>
      </c>
      <c r="D1452" t="s">
        <v>11</v>
      </c>
      <c r="E1452" t="s">
        <v>21</v>
      </c>
      <c r="F1452" t="s">
        <v>22</v>
      </c>
      <c r="H1452" t="s">
        <v>71</v>
      </c>
      <c r="I1452" t="s">
        <v>3617</v>
      </c>
      <c r="K1452" t="s">
        <v>868</v>
      </c>
      <c r="L1452" t="s">
        <v>3618</v>
      </c>
      <c r="N1452" t="s">
        <v>3421</v>
      </c>
      <c r="Q1452" t="s">
        <v>3599</v>
      </c>
      <c r="R1452" t="s">
        <v>3599</v>
      </c>
      <c r="S1452" t="s">
        <v>3599</v>
      </c>
      <c r="T1452">
        <v>1</v>
      </c>
      <c r="U1452" t="s">
        <v>868</v>
      </c>
      <c r="V1452">
        <v>5</v>
      </c>
      <c r="W1452">
        <v>0</v>
      </c>
      <c r="X1452">
        <v>0</v>
      </c>
    </row>
    <row r="1453" spans="1:24" x14ac:dyDescent="0.3">
      <c r="A1453" t="s">
        <v>3422</v>
      </c>
      <c r="B1453" t="s">
        <v>3423</v>
      </c>
      <c r="C1453">
        <v>1</v>
      </c>
      <c r="D1453" t="s">
        <v>11</v>
      </c>
      <c r="E1453" t="s">
        <v>21</v>
      </c>
      <c r="F1453" t="s">
        <v>22</v>
      </c>
      <c r="H1453" t="s">
        <v>71</v>
      </c>
      <c r="I1453" t="s">
        <v>3617</v>
      </c>
      <c r="J1453" t="s">
        <v>3422</v>
      </c>
      <c r="K1453" t="s">
        <v>868</v>
      </c>
      <c r="L1453" t="s">
        <v>3618</v>
      </c>
      <c r="M1453" t="s">
        <v>3422</v>
      </c>
      <c r="N1453" t="s">
        <v>3423</v>
      </c>
      <c r="Q1453" t="s">
        <v>3599</v>
      </c>
      <c r="R1453" t="s">
        <v>3599</v>
      </c>
      <c r="S1453" t="s">
        <v>3599</v>
      </c>
      <c r="T1453">
        <v>1</v>
      </c>
      <c r="U1453" t="s">
        <v>868</v>
      </c>
      <c r="V1453">
        <v>5</v>
      </c>
      <c r="W1453">
        <v>0</v>
      </c>
      <c r="X1453">
        <v>0</v>
      </c>
    </row>
    <row r="1454" spans="1:24" x14ac:dyDescent="0.3">
      <c r="A1454" t="s">
        <v>1692</v>
      </c>
      <c r="B1454" t="s">
        <v>1693</v>
      </c>
      <c r="C1454">
        <v>1</v>
      </c>
      <c r="D1454" t="s">
        <v>11</v>
      </c>
      <c r="E1454" t="s">
        <v>21</v>
      </c>
      <c r="F1454" t="s">
        <v>22</v>
      </c>
      <c r="H1454" t="s">
        <v>71</v>
      </c>
      <c r="I1454" t="s">
        <v>3617</v>
      </c>
      <c r="J1454" t="s">
        <v>1692</v>
      </c>
      <c r="K1454" t="s">
        <v>868</v>
      </c>
      <c r="L1454" t="s">
        <v>3618</v>
      </c>
      <c r="M1454" t="s">
        <v>1692</v>
      </c>
      <c r="N1454" t="s">
        <v>1693</v>
      </c>
      <c r="Q1454" t="s">
        <v>3599</v>
      </c>
      <c r="R1454" t="s">
        <v>3599</v>
      </c>
      <c r="S1454" t="s">
        <v>3599</v>
      </c>
      <c r="T1454">
        <v>1</v>
      </c>
      <c r="U1454" t="s">
        <v>868</v>
      </c>
      <c r="V1454">
        <v>5</v>
      </c>
      <c r="W1454">
        <v>0</v>
      </c>
      <c r="X1454">
        <v>0</v>
      </c>
    </row>
    <row r="1455" spans="1:24" x14ac:dyDescent="0.3">
      <c r="A1455" t="s">
        <v>3424</v>
      </c>
      <c r="B1455" t="s">
        <v>3425</v>
      </c>
      <c r="C1455">
        <v>1</v>
      </c>
      <c r="D1455" t="s">
        <v>11</v>
      </c>
      <c r="E1455" t="s">
        <v>21</v>
      </c>
      <c r="F1455" t="s">
        <v>22</v>
      </c>
      <c r="H1455" t="s">
        <v>71</v>
      </c>
      <c r="I1455" t="s">
        <v>3617</v>
      </c>
      <c r="J1455" t="s">
        <v>3424</v>
      </c>
      <c r="K1455" t="s">
        <v>868</v>
      </c>
      <c r="L1455" t="s">
        <v>3618</v>
      </c>
      <c r="M1455" t="s">
        <v>3424</v>
      </c>
      <c r="N1455" t="s">
        <v>3425</v>
      </c>
      <c r="Q1455" t="s">
        <v>3599</v>
      </c>
      <c r="R1455" t="s">
        <v>3599</v>
      </c>
      <c r="S1455" t="s">
        <v>3599</v>
      </c>
      <c r="T1455">
        <v>1</v>
      </c>
      <c r="U1455" t="s">
        <v>868</v>
      </c>
      <c r="V1455">
        <v>5</v>
      </c>
      <c r="W1455">
        <v>0</v>
      </c>
      <c r="X1455">
        <v>0</v>
      </c>
    </row>
    <row r="1456" spans="1:24" x14ac:dyDescent="0.3">
      <c r="A1456" t="s">
        <v>3426</v>
      </c>
      <c r="B1456" t="s">
        <v>3427</v>
      </c>
      <c r="C1456">
        <v>1</v>
      </c>
      <c r="D1456" t="s">
        <v>11</v>
      </c>
      <c r="E1456" t="s">
        <v>21</v>
      </c>
      <c r="F1456" t="s">
        <v>22</v>
      </c>
      <c r="H1456" t="s">
        <v>71</v>
      </c>
      <c r="I1456" t="s">
        <v>3617</v>
      </c>
      <c r="K1456" t="s">
        <v>868</v>
      </c>
      <c r="L1456" t="s">
        <v>3618</v>
      </c>
      <c r="N1456" t="s">
        <v>3427</v>
      </c>
      <c r="Q1456" t="s">
        <v>3599</v>
      </c>
      <c r="R1456" t="s">
        <v>3599</v>
      </c>
      <c r="S1456" t="s">
        <v>3599</v>
      </c>
      <c r="T1456">
        <v>1</v>
      </c>
      <c r="U1456" t="s">
        <v>868</v>
      </c>
      <c r="V1456">
        <v>5</v>
      </c>
      <c r="W1456">
        <v>0</v>
      </c>
      <c r="X1456">
        <v>0</v>
      </c>
    </row>
    <row r="1457" spans="1:24" x14ac:dyDescent="0.3">
      <c r="A1457" t="s">
        <v>3428</v>
      </c>
      <c r="B1457" t="s">
        <v>3429</v>
      </c>
      <c r="C1457">
        <v>1</v>
      </c>
      <c r="D1457" t="s">
        <v>11</v>
      </c>
      <c r="E1457" t="s">
        <v>21</v>
      </c>
      <c r="F1457" t="s">
        <v>22</v>
      </c>
      <c r="H1457" t="s">
        <v>71</v>
      </c>
      <c r="I1457" t="s">
        <v>3617</v>
      </c>
      <c r="J1457" t="s">
        <v>3428</v>
      </c>
      <c r="K1457" t="s">
        <v>868</v>
      </c>
      <c r="L1457" t="s">
        <v>3618</v>
      </c>
      <c r="M1457" t="s">
        <v>3428</v>
      </c>
      <c r="N1457" t="s">
        <v>3429</v>
      </c>
      <c r="Q1457" t="s">
        <v>3599</v>
      </c>
      <c r="R1457" t="s">
        <v>3599</v>
      </c>
      <c r="S1457" t="s">
        <v>3599</v>
      </c>
      <c r="T1457">
        <v>1</v>
      </c>
      <c r="U1457" t="s">
        <v>868</v>
      </c>
      <c r="V1457">
        <v>5</v>
      </c>
      <c r="W1457">
        <v>0</v>
      </c>
      <c r="X1457">
        <v>0</v>
      </c>
    </row>
    <row r="1458" spans="1:24" x14ac:dyDescent="0.3">
      <c r="A1458" t="s">
        <v>3430</v>
      </c>
      <c r="B1458" t="s">
        <v>3431</v>
      </c>
      <c r="C1458">
        <v>1</v>
      </c>
      <c r="D1458" t="s">
        <v>11</v>
      </c>
      <c r="E1458" t="s">
        <v>21</v>
      </c>
      <c r="F1458" t="s">
        <v>22</v>
      </c>
      <c r="H1458" t="s">
        <v>71</v>
      </c>
      <c r="I1458" t="s">
        <v>3617</v>
      </c>
      <c r="J1458" t="s">
        <v>3430</v>
      </c>
      <c r="K1458" t="s">
        <v>868</v>
      </c>
      <c r="L1458" t="s">
        <v>3618</v>
      </c>
      <c r="M1458" t="s">
        <v>3430</v>
      </c>
      <c r="N1458" t="s">
        <v>3431</v>
      </c>
      <c r="Q1458" t="s">
        <v>3599</v>
      </c>
      <c r="R1458" t="s">
        <v>3599</v>
      </c>
      <c r="S1458" t="s">
        <v>3599</v>
      </c>
      <c r="T1458">
        <v>1</v>
      </c>
      <c r="U1458" t="s">
        <v>868</v>
      </c>
      <c r="V1458">
        <v>5</v>
      </c>
      <c r="W1458">
        <v>0</v>
      </c>
      <c r="X1458">
        <v>0</v>
      </c>
    </row>
    <row r="1459" spans="1:24" x14ac:dyDescent="0.3">
      <c r="A1459" t="s">
        <v>3432</v>
      </c>
      <c r="B1459" t="s">
        <v>3433</v>
      </c>
      <c r="C1459">
        <v>1</v>
      </c>
      <c r="D1459" t="s">
        <v>11</v>
      </c>
      <c r="E1459" t="s">
        <v>21</v>
      </c>
      <c r="F1459" t="s">
        <v>22</v>
      </c>
      <c r="H1459" t="s">
        <v>71</v>
      </c>
      <c r="I1459" t="s">
        <v>3617</v>
      </c>
      <c r="J1459" t="s">
        <v>3432</v>
      </c>
      <c r="K1459" t="s">
        <v>868</v>
      </c>
      <c r="L1459" t="s">
        <v>3618</v>
      </c>
      <c r="M1459" t="s">
        <v>3432</v>
      </c>
      <c r="N1459" t="s">
        <v>3433</v>
      </c>
      <c r="Q1459" t="s">
        <v>3599</v>
      </c>
      <c r="R1459" t="s">
        <v>3599</v>
      </c>
      <c r="S1459" t="s">
        <v>3599</v>
      </c>
      <c r="T1459">
        <v>1</v>
      </c>
      <c r="U1459" t="s">
        <v>868</v>
      </c>
      <c r="V1459">
        <v>5</v>
      </c>
      <c r="W1459">
        <v>0</v>
      </c>
      <c r="X1459">
        <v>0</v>
      </c>
    </row>
    <row r="1460" spans="1:24" x14ac:dyDescent="0.3">
      <c r="A1460" t="s">
        <v>3434</v>
      </c>
      <c r="B1460" t="s">
        <v>3435</v>
      </c>
      <c r="C1460">
        <v>1</v>
      </c>
      <c r="D1460" t="s">
        <v>11</v>
      </c>
      <c r="E1460" t="s">
        <v>21</v>
      </c>
      <c r="F1460" t="s">
        <v>22</v>
      </c>
      <c r="H1460" t="s">
        <v>71</v>
      </c>
      <c r="I1460" t="s">
        <v>3617</v>
      </c>
      <c r="J1460" t="s">
        <v>3434</v>
      </c>
      <c r="K1460" t="s">
        <v>868</v>
      </c>
      <c r="L1460" t="s">
        <v>3618</v>
      </c>
      <c r="M1460" t="s">
        <v>3434</v>
      </c>
      <c r="N1460" t="s">
        <v>3435</v>
      </c>
      <c r="Q1460" t="s">
        <v>3599</v>
      </c>
      <c r="R1460" t="s">
        <v>3599</v>
      </c>
      <c r="S1460" t="s">
        <v>3599</v>
      </c>
      <c r="T1460">
        <v>1</v>
      </c>
      <c r="U1460" t="s">
        <v>868</v>
      </c>
      <c r="V1460">
        <v>5</v>
      </c>
      <c r="W1460">
        <v>0</v>
      </c>
      <c r="X1460">
        <v>0</v>
      </c>
    </row>
    <row r="1461" spans="1:24" x14ac:dyDescent="0.3">
      <c r="A1461" t="s">
        <v>3436</v>
      </c>
      <c r="B1461" t="s">
        <v>3437</v>
      </c>
      <c r="C1461">
        <v>1</v>
      </c>
      <c r="D1461" t="s">
        <v>11</v>
      </c>
      <c r="E1461" t="s">
        <v>21</v>
      </c>
      <c r="F1461" t="s">
        <v>22</v>
      </c>
      <c r="H1461" t="s">
        <v>71</v>
      </c>
      <c r="I1461" t="s">
        <v>3617</v>
      </c>
      <c r="K1461" t="s">
        <v>868</v>
      </c>
      <c r="L1461" t="s">
        <v>3618</v>
      </c>
      <c r="N1461" t="s">
        <v>3437</v>
      </c>
      <c r="Q1461" t="s">
        <v>3599</v>
      </c>
      <c r="R1461" t="s">
        <v>3599</v>
      </c>
      <c r="S1461" t="s">
        <v>3599</v>
      </c>
      <c r="T1461">
        <v>1</v>
      </c>
      <c r="U1461" t="s">
        <v>868</v>
      </c>
      <c r="V1461">
        <v>5</v>
      </c>
      <c r="W1461">
        <v>0</v>
      </c>
      <c r="X1461">
        <v>0</v>
      </c>
    </row>
    <row r="1462" spans="1:24" x14ac:dyDescent="0.3">
      <c r="A1462" t="s">
        <v>3438</v>
      </c>
      <c r="B1462" t="s">
        <v>3439</v>
      </c>
      <c r="C1462">
        <v>1</v>
      </c>
      <c r="D1462" t="s">
        <v>11</v>
      </c>
      <c r="E1462" t="s">
        <v>21</v>
      </c>
      <c r="F1462" t="s">
        <v>22</v>
      </c>
      <c r="H1462" t="s">
        <v>71</v>
      </c>
      <c r="I1462" t="s">
        <v>3617</v>
      </c>
      <c r="J1462" t="s">
        <v>3438</v>
      </c>
      <c r="K1462" t="s">
        <v>868</v>
      </c>
      <c r="L1462" t="s">
        <v>3618</v>
      </c>
      <c r="M1462" t="s">
        <v>3438</v>
      </c>
      <c r="N1462" t="s">
        <v>3439</v>
      </c>
      <c r="Q1462" t="s">
        <v>3599</v>
      </c>
      <c r="R1462" t="s">
        <v>3599</v>
      </c>
      <c r="S1462" t="s">
        <v>3599</v>
      </c>
      <c r="T1462">
        <v>1</v>
      </c>
      <c r="U1462" t="s">
        <v>868</v>
      </c>
      <c r="V1462">
        <v>5</v>
      </c>
      <c r="W1462">
        <v>0</v>
      </c>
      <c r="X1462">
        <v>0</v>
      </c>
    </row>
    <row r="1463" spans="1:24" x14ac:dyDescent="0.3">
      <c r="A1463" t="s">
        <v>1810</v>
      </c>
      <c r="B1463" t="s">
        <v>1811</v>
      </c>
      <c r="C1463">
        <v>1</v>
      </c>
      <c r="D1463" t="s">
        <v>11</v>
      </c>
      <c r="E1463" t="s">
        <v>21</v>
      </c>
      <c r="F1463" t="s">
        <v>22</v>
      </c>
      <c r="H1463" t="s">
        <v>71</v>
      </c>
      <c r="I1463" t="s">
        <v>3617</v>
      </c>
      <c r="J1463" t="s">
        <v>1810</v>
      </c>
      <c r="K1463" t="s">
        <v>868</v>
      </c>
      <c r="L1463" t="s">
        <v>3618</v>
      </c>
      <c r="M1463" t="s">
        <v>1810</v>
      </c>
      <c r="N1463" t="s">
        <v>1811</v>
      </c>
      <c r="Q1463" t="s">
        <v>3599</v>
      </c>
      <c r="R1463" t="s">
        <v>3599</v>
      </c>
      <c r="S1463" t="s">
        <v>3599</v>
      </c>
      <c r="T1463">
        <v>1</v>
      </c>
      <c r="U1463" t="s">
        <v>868</v>
      </c>
      <c r="V1463">
        <v>5</v>
      </c>
      <c r="W1463">
        <v>0</v>
      </c>
      <c r="X1463">
        <v>0</v>
      </c>
    </row>
    <row r="1464" spans="1:24" x14ac:dyDescent="0.3">
      <c r="A1464" t="s">
        <v>3440</v>
      </c>
      <c r="B1464" t="s">
        <v>3441</v>
      </c>
      <c r="C1464">
        <v>1</v>
      </c>
      <c r="D1464" t="s">
        <v>11</v>
      </c>
      <c r="E1464" t="s">
        <v>21</v>
      </c>
      <c r="F1464" t="s">
        <v>22</v>
      </c>
      <c r="H1464" t="s">
        <v>71</v>
      </c>
      <c r="I1464" t="s">
        <v>3617</v>
      </c>
      <c r="J1464" t="s">
        <v>3440</v>
      </c>
      <c r="K1464" t="s">
        <v>868</v>
      </c>
      <c r="L1464" t="s">
        <v>3618</v>
      </c>
      <c r="M1464" t="s">
        <v>3440</v>
      </c>
      <c r="N1464" t="s">
        <v>3441</v>
      </c>
      <c r="Q1464" t="s">
        <v>3599</v>
      </c>
      <c r="R1464" t="s">
        <v>3599</v>
      </c>
      <c r="S1464" t="s">
        <v>3599</v>
      </c>
      <c r="T1464">
        <v>1</v>
      </c>
      <c r="U1464" t="s">
        <v>868</v>
      </c>
      <c r="V1464">
        <v>5</v>
      </c>
      <c r="W1464">
        <v>0</v>
      </c>
      <c r="X1464">
        <v>0</v>
      </c>
    </row>
    <row r="1465" spans="1:24" x14ac:dyDescent="0.3">
      <c r="A1465" t="s">
        <v>3442</v>
      </c>
      <c r="B1465" t="s">
        <v>3443</v>
      </c>
      <c r="C1465">
        <v>1</v>
      </c>
      <c r="D1465" t="s">
        <v>11</v>
      </c>
      <c r="E1465" t="s">
        <v>21</v>
      </c>
      <c r="F1465" t="s">
        <v>22</v>
      </c>
      <c r="H1465" t="s">
        <v>71</v>
      </c>
      <c r="I1465" t="s">
        <v>3617</v>
      </c>
      <c r="J1465" t="s">
        <v>3442</v>
      </c>
      <c r="K1465" t="s">
        <v>868</v>
      </c>
      <c r="L1465" t="s">
        <v>3618</v>
      </c>
      <c r="M1465" t="s">
        <v>3442</v>
      </c>
      <c r="N1465" t="s">
        <v>3443</v>
      </c>
      <c r="Q1465" t="s">
        <v>3599</v>
      </c>
      <c r="R1465" t="s">
        <v>3599</v>
      </c>
      <c r="S1465" t="s">
        <v>3599</v>
      </c>
      <c r="T1465">
        <v>1</v>
      </c>
      <c r="U1465" t="s">
        <v>868</v>
      </c>
      <c r="V1465">
        <v>5</v>
      </c>
      <c r="W1465">
        <v>0</v>
      </c>
      <c r="X1465">
        <v>0</v>
      </c>
    </row>
    <row r="1466" spans="1:24" x14ac:dyDescent="0.3">
      <c r="A1466" t="s">
        <v>493</v>
      </c>
      <c r="B1466" t="s">
        <v>3444</v>
      </c>
      <c r="C1466">
        <v>1</v>
      </c>
      <c r="D1466" t="s">
        <v>11</v>
      </c>
      <c r="E1466" t="s">
        <v>21</v>
      </c>
      <c r="F1466" t="s">
        <v>22</v>
      </c>
      <c r="H1466" t="s">
        <v>71</v>
      </c>
      <c r="I1466" t="s">
        <v>3617</v>
      </c>
      <c r="J1466" t="s">
        <v>493</v>
      </c>
      <c r="K1466" t="s">
        <v>868</v>
      </c>
      <c r="L1466" t="s">
        <v>3618</v>
      </c>
      <c r="M1466" t="s">
        <v>493</v>
      </c>
      <c r="N1466" t="s">
        <v>3444</v>
      </c>
      <c r="Q1466" t="s">
        <v>3599</v>
      </c>
      <c r="R1466" t="s">
        <v>3599</v>
      </c>
      <c r="S1466" t="s">
        <v>3599</v>
      </c>
      <c r="T1466">
        <v>1</v>
      </c>
      <c r="U1466" t="s">
        <v>868</v>
      </c>
      <c r="V1466">
        <v>5</v>
      </c>
      <c r="W1466">
        <v>0</v>
      </c>
      <c r="X1466">
        <v>0</v>
      </c>
    </row>
    <row r="1467" spans="1:24" x14ac:dyDescent="0.3">
      <c r="A1467" t="s">
        <v>3445</v>
      </c>
      <c r="B1467" t="s">
        <v>3446</v>
      </c>
      <c r="C1467">
        <v>1</v>
      </c>
      <c r="D1467" t="s">
        <v>11</v>
      </c>
      <c r="E1467" t="s">
        <v>21</v>
      </c>
      <c r="F1467" t="s">
        <v>22</v>
      </c>
      <c r="H1467" t="s">
        <v>71</v>
      </c>
      <c r="I1467" t="s">
        <v>3617</v>
      </c>
      <c r="J1467" t="s">
        <v>3445</v>
      </c>
      <c r="K1467" t="s">
        <v>868</v>
      </c>
      <c r="L1467" t="s">
        <v>3618</v>
      </c>
      <c r="M1467" t="s">
        <v>3445</v>
      </c>
      <c r="N1467" t="s">
        <v>3446</v>
      </c>
      <c r="Q1467" t="s">
        <v>3599</v>
      </c>
      <c r="R1467" t="s">
        <v>3599</v>
      </c>
      <c r="S1467" t="s">
        <v>3599</v>
      </c>
      <c r="T1467">
        <v>1</v>
      </c>
      <c r="U1467" t="s">
        <v>868</v>
      </c>
      <c r="V1467">
        <v>5</v>
      </c>
      <c r="W1467">
        <v>0</v>
      </c>
      <c r="X1467">
        <v>0</v>
      </c>
    </row>
    <row r="1468" spans="1:24" x14ac:dyDescent="0.3">
      <c r="A1468" t="s">
        <v>3447</v>
      </c>
      <c r="B1468" t="s">
        <v>3448</v>
      </c>
      <c r="C1468">
        <v>1</v>
      </c>
      <c r="D1468" t="s">
        <v>11</v>
      </c>
      <c r="E1468" t="s">
        <v>21</v>
      </c>
      <c r="F1468" t="s">
        <v>22</v>
      </c>
      <c r="H1468" t="s">
        <v>71</v>
      </c>
      <c r="I1468" t="s">
        <v>3617</v>
      </c>
      <c r="J1468" t="s">
        <v>3447</v>
      </c>
      <c r="K1468" t="s">
        <v>868</v>
      </c>
      <c r="L1468" t="s">
        <v>3618</v>
      </c>
      <c r="M1468" t="s">
        <v>3447</v>
      </c>
      <c r="N1468" t="s">
        <v>3448</v>
      </c>
      <c r="Q1468" t="s">
        <v>3599</v>
      </c>
      <c r="R1468" t="s">
        <v>3599</v>
      </c>
      <c r="S1468" t="s">
        <v>3599</v>
      </c>
      <c r="T1468">
        <v>1</v>
      </c>
      <c r="U1468" t="s">
        <v>868</v>
      </c>
      <c r="V1468">
        <v>5</v>
      </c>
      <c r="W1468">
        <v>0</v>
      </c>
      <c r="X1468">
        <v>0</v>
      </c>
    </row>
    <row r="1469" spans="1:24" x14ac:dyDescent="0.3">
      <c r="A1469" t="s">
        <v>3449</v>
      </c>
      <c r="B1469" t="s">
        <v>3450</v>
      </c>
      <c r="C1469">
        <v>1</v>
      </c>
      <c r="D1469" t="s">
        <v>11</v>
      </c>
      <c r="E1469" t="s">
        <v>21</v>
      </c>
      <c r="F1469" t="s">
        <v>22</v>
      </c>
      <c r="H1469" t="s">
        <v>71</v>
      </c>
      <c r="I1469" t="s">
        <v>3617</v>
      </c>
      <c r="J1469" t="s">
        <v>3449</v>
      </c>
      <c r="K1469" t="s">
        <v>868</v>
      </c>
      <c r="L1469" t="s">
        <v>3618</v>
      </c>
      <c r="M1469" t="s">
        <v>3449</v>
      </c>
      <c r="N1469" t="s">
        <v>3450</v>
      </c>
      <c r="Q1469" t="s">
        <v>3599</v>
      </c>
      <c r="R1469" t="s">
        <v>3599</v>
      </c>
      <c r="S1469" t="s">
        <v>3599</v>
      </c>
      <c r="T1469">
        <v>1</v>
      </c>
      <c r="U1469" t="s">
        <v>868</v>
      </c>
      <c r="V1469">
        <v>5</v>
      </c>
      <c r="W1469">
        <v>0</v>
      </c>
      <c r="X1469">
        <v>0</v>
      </c>
    </row>
    <row r="1470" spans="1:24" x14ac:dyDescent="0.3">
      <c r="A1470" t="s">
        <v>3451</v>
      </c>
      <c r="B1470" t="s">
        <v>3452</v>
      </c>
      <c r="C1470">
        <v>1</v>
      </c>
      <c r="D1470" t="s">
        <v>11</v>
      </c>
      <c r="E1470" t="s">
        <v>21</v>
      </c>
      <c r="F1470" t="s">
        <v>22</v>
      </c>
      <c r="H1470" t="s">
        <v>71</v>
      </c>
      <c r="I1470" t="s">
        <v>3617</v>
      </c>
      <c r="J1470" t="s">
        <v>3451</v>
      </c>
      <c r="K1470" t="s">
        <v>868</v>
      </c>
      <c r="L1470" t="s">
        <v>3618</v>
      </c>
      <c r="M1470" t="s">
        <v>3451</v>
      </c>
      <c r="N1470" t="s">
        <v>3452</v>
      </c>
      <c r="Q1470" t="s">
        <v>3599</v>
      </c>
      <c r="R1470" t="s">
        <v>3599</v>
      </c>
      <c r="S1470" t="s">
        <v>3599</v>
      </c>
      <c r="T1470">
        <v>1</v>
      </c>
      <c r="U1470" t="s">
        <v>868</v>
      </c>
      <c r="V1470">
        <v>5</v>
      </c>
      <c r="W1470">
        <v>0</v>
      </c>
      <c r="X1470">
        <v>0</v>
      </c>
    </row>
    <row r="1471" spans="1:24" x14ac:dyDescent="0.3">
      <c r="A1471" t="s">
        <v>3453</v>
      </c>
      <c r="B1471" t="s">
        <v>3454</v>
      </c>
      <c r="C1471">
        <v>1</v>
      </c>
      <c r="D1471" t="s">
        <v>11</v>
      </c>
      <c r="E1471" t="s">
        <v>21</v>
      </c>
      <c r="F1471" t="s">
        <v>22</v>
      </c>
      <c r="H1471" t="s">
        <v>71</v>
      </c>
      <c r="I1471" t="s">
        <v>3617</v>
      </c>
      <c r="J1471" t="s">
        <v>3453</v>
      </c>
      <c r="K1471" t="s">
        <v>868</v>
      </c>
      <c r="L1471" t="s">
        <v>3618</v>
      </c>
      <c r="M1471" t="s">
        <v>3453</v>
      </c>
      <c r="N1471" t="s">
        <v>3454</v>
      </c>
      <c r="Q1471" t="s">
        <v>3599</v>
      </c>
      <c r="R1471" t="s">
        <v>3599</v>
      </c>
      <c r="S1471" t="s">
        <v>3599</v>
      </c>
      <c r="T1471">
        <v>1</v>
      </c>
      <c r="U1471" t="s">
        <v>868</v>
      </c>
      <c r="V1471">
        <v>5</v>
      </c>
      <c r="W1471">
        <v>0</v>
      </c>
      <c r="X1471">
        <v>0</v>
      </c>
    </row>
    <row r="1472" spans="1:24" x14ac:dyDescent="0.3">
      <c r="A1472" t="s">
        <v>3455</v>
      </c>
      <c r="B1472" t="s">
        <v>3456</v>
      </c>
      <c r="C1472">
        <v>1</v>
      </c>
      <c r="D1472" t="s">
        <v>11</v>
      </c>
      <c r="E1472" t="s">
        <v>21</v>
      </c>
      <c r="F1472" t="s">
        <v>22</v>
      </c>
      <c r="H1472" t="s">
        <v>71</v>
      </c>
      <c r="I1472" t="s">
        <v>3617</v>
      </c>
      <c r="J1472" t="s">
        <v>3455</v>
      </c>
      <c r="K1472" t="s">
        <v>868</v>
      </c>
      <c r="L1472" t="s">
        <v>3618</v>
      </c>
      <c r="M1472" t="s">
        <v>3455</v>
      </c>
      <c r="N1472" t="s">
        <v>3456</v>
      </c>
      <c r="Q1472" t="s">
        <v>3599</v>
      </c>
      <c r="R1472" t="s">
        <v>3599</v>
      </c>
      <c r="S1472" t="s">
        <v>3599</v>
      </c>
      <c r="T1472">
        <v>1</v>
      </c>
      <c r="U1472" t="s">
        <v>868</v>
      </c>
      <c r="V1472">
        <v>5</v>
      </c>
      <c r="W1472">
        <v>0</v>
      </c>
      <c r="X1472">
        <v>0</v>
      </c>
    </row>
    <row r="1473" spans="1:24" x14ac:dyDescent="0.3">
      <c r="A1473" t="s">
        <v>3457</v>
      </c>
      <c r="B1473" t="s">
        <v>3458</v>
      </c>
      <c r="C1473">
        <v>1</v>
      </c>
      <c r="D1473" t="s">
        <v>11</v>
      </c>
      <c r="E1473" t="s">
        <v>21</v>
      </c>
      <c r="F1473" t="s">
        <v>22</v>
      </c>
      <c r="H1473" t="s">
        <v>71</v>
      </c>
      <c r="I1473" t="s">
        <v>3617</v>
      </c>
      <c r="J1473" t="s">
        <v>3457</v>
      </c>
      <c r="K1473" t="s">
        <v>868</v>
      </c>
      <c r="L1473" t="s">
        <v>3618</v>
      </c>
      <c r="M1473" t="s">
        <v>3457</v>
      </c>
      <c r="N1473" t="s">
        <v>3458</v>
      </c>
      <c r="Q1473" t="s">
        <v>3599</v>
      </c>
      <c r="R1473" t="s">
        <v>3599</v>
      </c>
      <c r="S1473" t="s">
        <v>3599</v>
      </c>
      <c r="T1473">
        <v>1</v>
      </c>
      <c r="U1473" t="s">
        <v>868</v>
      </c>
      <c r="V1473">
        <v>5</v>
      </c>
      <c r="W1473">
        <v>0</v>
      </c>
      <c r="X1473">
        <v>0</v>
      </c>
    </row>
    <row r="1474" spans="1:24" x14ac:dyDescent="0.3">
      <c r="A1474" t="s">
        <v>3459</v>
      </c>
      <c r="B1474" t="s">
        <v>3460</v>
      </c>
      <c r="C1474">
        <v>1</v>
      </c>
      <c r="D1474" t="s">
        <v>11</v>
      </c>
      <c r="E1474" t="s">
        <v>21</v>
      </c>
      <c r="F1474" t="s">
        <v>22</v>
      </c>
      <c r="H1474" t="s">
        <v>71</v>
      </c>
      <c r="I1474" t="s">
        <v>3617</v>
      </c>
      <c r="K1474" t="s">
        <v>868</v>
      </c>
      <c r="L1474" t="s">
        <v>3618</v>
      </c>
      <c r="N1474" t="s">
        <v>3460</v>
      </c>
      <c r="Q1474" t="s">
        <v>3599</v>
      </c>
      <c r="R1474" t="s">
        <v>3599</v>
      </c>
      <c r="S1474" t="s">
        <v>3599</v>
      </c>
      <c r="T1474">
        <v>1</v>
      </c>
      <c r="U1474" t="s">
        <v>868</v>
      </c>
      <c r="V1474">
        <v>5</v>
      </c>
      <c r="W1474">
        <v>0</v>
      </c>
      <c r="X1474">
        <v>0</v>
      </c>
    </row>
    <row r="1475" spans="1:24" x14ac:dyDescent="0.3">
      <c r="A1475" t="s">
        <v>3461</v>
      </c>
      <c r="B1475" t="s">
        <v>3462</v>
      </c>
      <c r="C1475">
        <v>1</v>
      </c>
      <c r="D1475" t="s">
        <v>11</v>
      </c>
      <c r="E1475" t="s">
        <v>21</v>
      </c>
      <c r="F1475" t="s">
        <v>22</v>
      </c>
      <c r="H1475" t="s">
        <v>71</v>
      </c>
      <c r="I1475" t="s">
        <v>3617</v>
      </c>
      <c r="K1475" t="s">
        <v>868</v>
      </c>
      <c r="L1475" t="s">
        <v>3618</v>
      </c>
      <c r="N1475" t="s">
        <v>3462</v>
      </c>
      <c r="Q1475" t="s">
        <v>3599</v>
      </c>
      <c r="R1475" t="s">
        <v>3599</v>
      </c>
      <c r="S1475" t="s">
        <v>3599</v>
      </c>
      <c r="T1475">
        <v>1</v>
      </c>
      <c r="U1475" t="s">
        <v>868</v>
      </c>
      <c r="V1475">
        <v>5</v>
      </c>
      <c r="W1475">
        <v>0</v>
      </c>
      <c r="X1475">
        <v>0</v>
      </c>
    </row>
    <row r="1476" spans="1:24" x14ac:dyDescent="0.3">
      <c r="A1476" t="s">
        <v>3463</v>
      </c>
      <c r="B1476" t="s">
        <v>3464</v>
      </c>
      <c r="C1476">
        <v>1</v>
      </c>
      <c r="D1476" t="s">
        <v>11</v>
      </c>
      <c r="E1476" t="s">
        <v>21</v>
      </c>
      <c r="F1476" t="s">
        <v>22</v>
      </c>
      <c r="H1476" t="s">
        <v>71</v>
      </c>
      <c r="I1476" t="s">
        <v>3617</v>
      </c>
      <c r="K1476" t="s">
        <v>868</v>
      </c>
      <c r="L1476" t="s">
        <v>3618</v>
      </c>
      <c r="N1476" t="s">
        <v>3464</v>
      </c>
      <c r="Q1476" t="s">
        <v>3599</v>
      </c>
      <c r="R1476" t="s">
        <v>3599</v>
      </c>
      <c r="S1476" t="s">
        <v>3599</v>
      </c>
      <c r="T1476">
        <v>1</v>
      </c>
      <c r="U1476" t="s">
        <v>868</v>
      </c>
      <c r="V1476">
        <v>5</v>
      </c>
      <c r="W1476">
        <v>0</v>
      </c>
      <c r="X1476">
        <v>0</v>
      </c>
    </row>
    <row r="1477" spans="1:24" x14ac:dyDescent="0.3">
      <c r="A1477" t="s">
        <v>3465</v>
      </c>
      <c r="B1477" t="s">
        <v>3466</v>
      </c>
      <c r="C1477">
        <v>1</v>
      </c>
      <c r="D1477" t="s">
        <v>11</v>
      </c>
      <c r="E1477" t="s">
        <v>21</v>
      </c>
      <c r="F1477" t="s">
        <v>22</v>
      </c>
      <c r="H1477" t="s">
        <v>71</v>
      </c>
      <c r="I1477" t="s">
        <v>3617</v>
      </c>
      <c r="K1477" t="s">
        <v>868</v>
      </c>
      <c r="L1477" t="s">
        <v>3618</v>
      </c>
      <c r="N1477" t="s">
        <v>3466</v>
      </c>
      <c r="Q1477" t="s">
        <v>3599</v>
      </c>
      <c r="R1477" t="s">
        <v>3599</v>
      </c>
      <c r="S1477" t="s">
        <v>3599</v>
      </c>
      <c r="T1477">
        <v>1</v>
      </c>
      <c r="U1477" t="s">
        <v>868</v>
      </c>
      <c r="V1477">
        <v>5</v>
      </c>
      <c r="W1477">
        <v>0</v>
      </c>
      <c r="X1477">
        <v>0</v>
      </c>
    </row>
    <row r="1478" spans="1:24" x14ac:dyDescent="0.3">
      <c r="A1478" t="s">
        <v>3467</v>
      </c>
      <c r="B1478" t="s">
        <v>3468</v>
      </c>
      <c r="C1478">
        <v>1</v>
      </c>
      <c r="D1478" t="s">
        <v>11</v>
      </c>
      <c r="E1478" t="s">
        <v>21</v>
      </c>
      <c r="F1478" t="s">
        <v>22</v>
      </c>
      <c r="H1478" t="s">
        <v>71</v>
      </c>
      <c r="I1478" t="s">
        <v>3617</v>
      </c>
      <c r="K1478" t="s">
        <v>868</v>
      </c>
      <c r="L1478" t="s">
        <v>3618</v>
      </c>
      <c r="N1478" t="s">
        <v>3468</v>
      </c>
      <c r="Q1478" t="s">
        <v>3599</v>
      </c>
      <c r="R1478" t="s">
        <v>3599</v>
      </c>
      <c r="S1478" t="s">
        <v>3599</v>
      </c>
      <c r="T1478">
        <v>1</v>
      </c>
      <c r="U1478" t="s">
        <v>868</v>
      </c>
      <c r="V1478">
        <v>5</v>
      </c>
      <c r="W1478">
        <v>0</v>
      </c>
      <c r="X1478">
        <v>0</v>
      </c>
    </row>
    <row r="1479" spans="1:24" x14ac:dyDescent="0.3">
      <c r="A1479" t="s">
        <v>3469</v>
      </c>
      <c r="B1479" t="s">
        <v>3470</v>
      </c>
      <c r="C1479">
        <v>1</v>
      </c>
      <c r="D1479" t="s">
        <v>11</v>
      </c>
      <c r="E1479" t="s">
        <v>21</v>
      </c>
      <c r="F1479" t="s">
        <v>22</v>
      </c>
      <c r="H1479" t="s">
        <v>71</v>
      </c>
      <c r="I1479" t="s">
        <v>3617</v>
      </c>
      <c r="K1479" t="s">
        <v>868</v>
      </c>
      <c r="L1479" t="s">
        <v>3618</v>
      </c>
      <c r="N1479" t="s">
        <v>3470</v>
      </c>
      <c r="Q1479" t="s">
        <v>3599</v>
      </c>
      <c r="R1479" t="s">
        <v>3599</v>
      </c>
      <c r="S1479" t="s">
        <v>3599</v>
      </c>
      <c r="T1479">
        <v>1</v>
      </c>
      <c r="U1479" t="s">
        <v>868</v>
      </c>
      <c r="V1479">
        <v>5</v>
      </c>
      <c r="W1479">
        <v>0</v>
      </c>
      <c r="X1479">
        <v>0</v>
      </c>
    </row>
    <row r="1480" spans="1:24" x14ac:dyDescent="0.3">
      <c r="A1480" t="s">
        <v>3471</v>
      </c>
      <c r="B1480" t="s">
        <v>3472</v>
      </c>
      <c r="C1480">
        <v>1</v>
      </c>
      <c r="D1480" t="s">
        <v>11</v>
      </c>
      <c r="E1480" t="s">
        <v>21</v>
      </c>
      <c r="F1480" t="s">
        <v>22</v>
      </c>
      <c r="H1480" t="s">
        <v>71</v>
      </c>
      <c r="I1480" t="s">
        <v>3617</v>
      </c>
      <c r="K1480" t="s">
        <v>868</v>
      </c>
      <c r="L1480" t="s">
        <v>3618</v>
      </c>
      <c r="N1480" t="s">
        <v>3472</v>
      </c>
      <c r="Q1480" t="s">
        <v>3599</v>
      </c>
      <c r="R1480" t="s">
        <v>3599</v>
      </c>
      <c r="S1480" t="s">
        <v>3599</v>
      </c>
      <c r="T1480">
        <v>1</v>
      </c>
      <c r="U1480" t="s">
        <v>868</v>
      </c>
      <c r="V1480">
        <v>5</v>
      </c>
      <c r="W1480">
        <v>0</v>
      </c>
      <c r="X1480">
        <v>0</v>
      </c>
    </row>
    <row r="1481" spans="1:24" x14ac:dyDescent="0.3">
      <c r="A1481" t="s">
        <v>3473</v>
      </c>
      <c r="B1481" t="s">
        <v>3474</v>
      </c>
      <c r="C1481">
        <v>1</v>
      </c>
      <c r="D1481" t="s">
        <v>11</v>
      </c>
      <c r="E1481" t="s">
        <v>21</v>
      </c>
      <c r="F1481" t="s">
        <v>22</v>
      </c>
      <c r="H1481" t="s">
        <v>71</v>
      </c>
      <c r="I1481" t="s">
        <v>3617</v>
      </c>
      <c r="K1481" t="s">
        <v>868</v>
      </c>
      <c r="L1481" t="s">
        <v>3618</v>
      </c>
      <c r="N1481" t="s">
        <v>3474</v>
      </c>
      <c r="Q1481" t="s">
        <v>3599</v>
      </c>
      <c r="R1481" t="s">
        <v>3599</v>
      </c>
      <c r="S1481" t="s">
        <v>3599</v>
      </c>
      <c r="T1481">
        <v>1</v>
      </c>
      <c r="U1481" t="s">
        <v>868</v>
      </c>
      <c r="V1481">
        <v>5</v>
      </c>
      <c r="W1481">
        <v>0</v>
      </c>
      <c r="X1481">
        <v>0</v>
      </c>
    </row>
    <row r="1482" spans="1:24" x14ac:dyDescent="0.3">
      <c r="A1482" t="s">
        <v>3475</v>
      </c>
      <c r="B1482" t="s">
        <v>3476</v>
      </c>
      <c r="C1482">
        <v>1</v>
      </c>
      <c r="D1482" t="s">
        <v>11</v>
      </c>
      <c r="E1482" t="s">
        <v>21</v>
      </c>
      <c r="F1482" t="s">
        <v>22</v>
      </c>
      <c r="H1482" t="s">
        <v>71</v>
      </c>
      <c r="I1482" t="s">
        <v>3617</v>
      </c>
      <c r="K1482" t="s">
        <v>868</v>
      </c>
      <c r="L1482" t="s">
        <v>3618</v>
      </c>
      <c r="N1482" t="s">
        <v>3476</v>
      </c>
      <c r="Q1482" t="s">
        <v>3599</v>
      </c>
      <c r="R1482" t="s">
        <v>3599</v>
      </c>
      <c r="S1482" t="s">
        <v>3599</v>
      </c>
      <c r="T1482">
        <v>1</v>
      </c>
      <c r="U1482" t="s">
        <v>868</v>
      </c>
      <c r="V1482">
        <v>5</v>
      </c>
      <c r="W1482">
        <v>0</v>
      </c>
      <c r="X1482">
        <v>0</v>
      </c>
    </row>
    <row r="1483" spans="1:24" x14ac:dyDescent="0.3">
      <c r="A1483" t="s">
        <v>3477</v>
      </c>
      <c r="B1483" t="s">
        <v>3478</v>
      </c>
      <c r="C1483">
        <v>1</v>
      </c>
      <c r="D1483" t="s">
        <v>11</v>
      </c>
      <c r="E1483" t="s">
        <v>21</v>
      </c>
      <c r="F1483" t="s">
        <v>22</v>
      </c>
      <c r="H1483" t="s">
        <v>71</v>
      </c>
      <c r="I1483" t="s">
        <v>3617</v>
      </c>
      <c r="K1483" t="s">
        <v>868</v>
      </c>
      <c r="L1483" t="s">
        <v>3618</v>
      </c>
      <c r="N1483" t="s">
        <v>3478</v>
      </c>
      <c r="Q1483" t="s">
        <v>3599</v>
      </c>
      <c r="R1483" t="s">
        <v>3599</v>
      </c>
      <c r="S1483" t="s">
        <v>3599</v>
      </c>
      <c r="T1483">
        <v>1</v>
      </c>
      <c r="U1483" t="s">
        <v>868</v>
      </c>
      <c r="V1483">
        <v>5</v>
      </c>
      <c r="W1483">
        <v>0</v>
      </c>
      <c r="X1483">
        <v>0</v>
      </c>
    </row>
    <row r="1484" spans="1:24" x14ac:dyDescent="0.3">
      <c r="A1484" t="s">
        <v>3479</v>
      </c>
      <c r="B1484" t="s">
        <v>3480</v>
      </c>
      <c r="C1484">
        <v>1</v>
      </c>
      <c r="D1484" t="s">
        <v>11</v>
      </c>
      <c r="E1484" t="s">
        <v>21</v>
      </c>
      <c r="F1484" t="s">
        <v>22</v>
      </c>
      <c r="H1484" t="s">
        <v>71</v>
      </c>
      <c r="I1484" t="s">
        <v>3617</v>
      </c>
      <c r="K1484" t="s">
        <v>868</v>
      </c>
      <c r="L1484" t="s">
        <v>3618</v>
      </c>
      <c r="N1484" t="s">
        <v>3480</v>
      </c>
      <c r="Q1484" t="s">
        <v>3599</v>
      </c>
      <c r="R1484" t="s">
        <v>3599</v>
      </c>
      <c r="S1484" t="s">
        <v>3599</v>
      </c>
      <c r="T1484">
        <v>1</v>
      </c>
      <c r="U1484" t="s">
        <v>868</v>
      </c>
      <c r="V1484">
        <v>5</v>
      </c>
      <c r="W1484">
        <v>0</v>
      </c>
      <c r="X1484">
        <v>0</v>
      </c>
    </row>
    <row r="1485" spans="1:24" x14ac:dyDescent="0.3">
      <c r="A1485" t="s">
        <v>3481</v>
      </c>
      <c r="B1485" t="s">
        <v>3482</v>
      </c>
      <c r="C1485">
        <v>1</v>
      </c>
      <c r="D1485" t="s">
        <v>11</v>
      </c>
      <c r="E1485" t="s">
        <v>21</v>
      </c>
      <c r="F1485" t="s">
        <v>22</v>
      </c>
      <c r="H1485" t="s">
        <v>71</v>
      </c>
      <c r="I1485" t="s">
        <v>3617</v>
      </c>
      <c r="K1485" t="s">
        <v>868</v>
      </c>
      <c r="L1485" t="s">
        <v>3618</v>
      </c>
      <c r="N1485" t="s">
        <v>3482</v>
      </c>
      <c r="Q1485" t="s">
        <v>3599</v>
      </c>
      <c r="R1485" t="s">
        <v>3599</v>
      </c>
      <c r="S1485" t="s">
        <v>3599</v>
      </c>
      <c r="T1485">
        <v>1</v>
      </c>
      <c r="U1485" t="s">
        <v>868</v>
      </c>
      <c r="V1485">
        <v>5</v>
      </c>
      <c r="W1485">
        <v>0</v>
      </c>
      <c r="X1485">
        <v>0</v>
      </c>
    </row>
    <row r="1486" spans="1:24" x14ac:dyDescent="0.3">
      <c r="A1486" t="s">
        <v>3483</v>
      </c>
      <c r="B1486" t="s">
        <v>3484</v>
      </c>
      <c r="C1486">
        <v>1</v>
      </c>
      <c r="D1486" t="s">
        <v>11</v>
      </c>
      <c r="E1486" t="s">
        <v>21</v>
      </c>
      <c r="F1486" t="s">
        <v>22</v>
      </c>
      <c r="H1486" t="s">
        <v>71</v>
      </c>
      <c r="I1486" t="s">
        <v>3617</v>
      </c>
      <c r="K1486" t="s">
        <v>868</v>
      </c>
      <c r="L1486" t="s">
        <v>3618</v>
      </c>
      <c r="N1486" t="s">
        <v>3484</v>
      </c>
      <c r="Q1486" t="s">
        <v>3599</v>
      </c>
      <c r="R1486" t="s">
        <v>3599</v>
      </c>
      <c r="S1486" t="s">
        <v>3599</v>
      </c>
      <c r="T1486">
        <v>1</v>
      </c>
      <c r="U1486" t="s">
        <v>868</v>
      </c>
      <c r="V1486">
        <v>5</v>
      </c>
      <c r="W1486">
        <v>0</v>
      </c>
      <c r="X1486">
        <v>0</v>
      </c>
    </row>
    <row r="1487" spans="1:24" x14ac:dyDescent="0.3">
      <c r="A1487" t="s">
        <v>3485</v>
      </c>
      <c r="B1487" t="s">
        <v>3486</v>
      </c>
      <c r="C1487">
        <v>1</v>
      </c>
      <c r="D1487" t="s">
        <v>11</v>
      </c>
      <c r="E1487" t="s">
        <v>21</v>
      </c>
      <c r="F1487" t="s">
        <v>22</v>
      </c>
      <c r="H1487" t="s">
        <v>71</v>
      </c>
      <c r="I1487" t="s">
        <v>3617</v>
      </c>
      <c r="K1487" t="s">
        <v>868</v>
      </c>
      <c r="L1487" t="s">
        <v>3618</v>
      </c>
      <c r="N1487" t="s">
        <v>3486</v>
      </c>
      <c r="Q1487" t="s">
        <v>3599</v>
      </c>
      <c r="R1487" t="s">
        <v>3599</v>
      </c>
      <c r="S1487" t="s">
        <v>3599</v>
      </c>
      <c r="T1487">
        <v>1</v>
      </c>
      <c r="U1487" t="s">
        <v>868</v>
      </c>
      <c r="V1487">
        <v>5</v>
      </c>
      <c r="W1487">
        <v>0</v>
      </c>
      <c r="X1487">
        <v>0</v>
      </c>
    </row>
    <row r="1488" spans="1:24" x14ac:dyDescent="0.3">
      <c r="A1488" t="s">
        <v>3487</v>
      </c>
      <c r="B1488" t="s">
        <v>3488</v>
      </c>
      <c r="C1488">
        <v>1</v>
      </c>
      <c r="D1488" t="s">
        <v>11</v>
      </c>
      <c r="E1488" t="s">
        <v>21</v>
      </c>
      <c r="F1488" t="s">
        <v>22</v>
      </c>
      <c r="H1488" t="s">
        <v>71</v>
      </c>
      <c r="I1488" t="s">
        <v>3617</v>
      </c>
      <c r="K1488" t="s">
        <v>868</v>
      </c>
      <c r="L1488" t="s">
        <v>3618</v>
      </c>
      <c r="N1488" t="s">
        <v>3488</v>
      </c>
      <c r="Q1488" t="s">
        <v>3599</v>
      </c>
      <c r="R1488" t="s">
        <v>3599</v>
      </c>
      <c r="S1488" t="s">
        <v>3599</v>
      </c>
      <c r="T1488">
        <v>1</v>
      </c>
      <c r="U1488" t="s">
        <v>868</v>
      </c>
      <c r="V1488">
        <v>5</v>
      </c>
      <c r="W1488">
        <v>0</v>
      </c>
      <c r="X1488">
        <v>0</v>
      </c>
    </row>
    <row r="1489" spans="1:24" x14ac:dyDescent="0.3">
      <c r="A1489" t="s">
        <v>3489</v>
      </c>
      <c r="B1489" t="s">
        <v>3490</v>
      </c>
      <c r="C1489">
        <v>1</v>
      </c>
      <c r="D1489" t="s">
        <v>11</v>
      </c>
      <c r="E1489" t="s">
        <v>21</v>
      </c>
      <c r="F1489" t="s">
        <v>22</v>
      </c>
      <c r="H1489" t="s">
        <v>71</v>
      </c>
      <c r="I1489" t="s">
        <v>3617</v>
      </c>
      <c r="K1489" t="s">
        <v>868</v>
      </c>
      <c r="L1489" t="s">
        <v>3618</v>
      </c>
      <c r="N1489" t="s">
        <v>3490</v>
      </c>
      <c r="Q1489" t="s">
        <v>3599</v>
      </c>
      <c r="R1489" t="s">
        <v>3599</v>
      </c>
      <c r="S1489" t="s">
        <v>3599</v>
      </c>
      <c r="T1489">
        <v>1</v>
      </c>
      <c r="U1489" t="s">
        <v>868</v>
      </c>
      <c r="V1489">
        <v>5</v>
      </c>
      <c r="W1489">
        <v>0</v>
      </c>
      <c r="X1489">
        <v>0</v>
      </c>
    </row>
    <row r="1490" spans="1:24" x14ac:dyDescent="0.3">
      <c r="A1490" t="s">
        <v>3491</v>
      </c>
      <c r="B1490" t="s">
        <v>3492</v>
      </c>
      <c r="C1490">
        <v>1</v>
      </c>
      <c r="D1490" t="s">
        <v>11</v>
      </c>
      <c r="E1490" t="s">
        <v>21</v>
      </c>
      <c r="F1490" t="s">
        <v>22</v>
      </c>
      <c r="H1490" t="s">
        <v>71</v>
      </c>
      <c r="I1490" t="s">
        <v>3617</v>
      </c>
      <c r="K1490" t="s">
        <v>868</v>
      </c>
      <c r="L1490" t="s">
        <v>3618</v>
      </c>
      <c r="N1490" t="s">
        <v>3492</v>
      </c>
      <c r="Q1490" t="s">
        <v>3599</v>
      </c>
      <c r="R1490" t="s">
        <v>3599</v>
      </c>
      <c r="S1490" t="s">
        <v>3599</v>
      </c>
      <c r="T1490">
        <v>1</v>
      </c>
      <c r="U1490" t="s">
        <v>868</v>
      </c>
      <c r="V1490">
        <v>5</v>
      </c>
      <c r="W1490">
        <v>0</v>
      </c>
      <c r="X1490">
        <v>0</v>
      </c>
    </row>
    <row r="1491" spans="1:24" x14ac:dyDescent="0.3">
      <c r="A1491" t="s">
        <v>3493</v>
      </c>
      <c r="B1491" t="s">
        <v>3494</v>
      </c>
      <c r="C1491">
        <v>1</v>
      </c>
      <c r="D1491" t="s">
        <v>11</v>
      </c>
      <c r="E1491" t="s">
        <v>21</v>
      </c>
      <c r="F1491" t="s">
        <v>22</v>
      </c>
      <c r="H1491" t="s">
        <v>71</v>
      </c>
      <c r="I1491" t="s">
        <v>3617</v>
      </c>
      <c r="K1491" t="s">
        <v>868</v>
      </c>
      <c r="L1491" t="s">
        <v>3618</v>
      </c>
      <c r="N1491" t="s">
        <v>3494</v>
      </c>
      <c r="Q1491" t="s">
        <v>3599</v>
      </c>
      <c r="R1491" t="s">
        <v>3599</v>
      </c>
      <c r="S1491" t="s">
        <v>3599</v>
      </c>
      <c r="T1491">
        <v>1</v>
      </c>
      <c r="U1491" t="s">
        <v>868</v>
      </c>
      <c r="V1491">
        <v>5</v>
      </c>
      <c r="W1491">
        <v>0</v>
      </c>
      <c r="X1491">
        <v>0</v>
      </c>
    </row>
    <row r="1492" spans="1:24" x14ac:dyDescent="0.3">
      <c r="A1492" t="s">
        <v>3495</v>
      </c>
      <c r="B1492" t="s">
        <v>3496</v>
      </c>
      <c r="C1492">
        <v>1</v>
      </c>
      <c r="D1492" t="s">
        <v>11</v>
      </c>
      <c r="E1492" t="s">
        <v>21</v>
      </c>
      <c r="F1492" t="s">
        <v>22</v>
      </c>
      <c r="H1492" t="s">
        <v>71</v>
      </c>
      <c r="I1492" t="s">
        <v>3617</v>
      </c>
      <c r="K1492" t="s">
        <v>868</v>
      </c>
      <c r="L1492" t="s">
        <v>3618</v>
      </c>
      <c r="N1492" t="s">
        <v>3496</v>
      </c>
      <c r="Q1492" t="s">
        <v>3599</v>
      </c>
      <c r="R1492" t="s">
        <v>3599</v>
      </c>
      <c r="S1492" t="s">
        <v>3599</v>
      </c>
      <c r="T1492">
        <v>1</v>
      </c>
      <c r="U1492" t="s">
        <v>868</v>
      </c>
      <c r="V1492">
        <v>5</v>
      </c>
      <c r="W1492">
        <v>0</v>
      </c>
      <c r="X1492">
        <v>0</v>
      </c>
    </row>
    <row r="1493" spans="1:24" x14ac:dyDescent="0.3">
      <c r="A1493" t="s">
        <v>3497</v>
      </c>
      <c r="B1493" t="s">
        <v>3498</v>
      </c>
      <c r="C1493">
        <v>1</v>
      </c>
      <c r="D1493" t="s">
        <v>11</v>
      </c>
      <c r="E1493" t="s">
        <v>21</v>
      </c>
      <c r="F1493" t="s">
        <v>22</v>
      </c>
      <c r="H1493" t="s">
        <v>71</v>
      </c>
      <c r="I1493" t="s">
        <v>3617</v>
      </c>
      <c r="J1493" t="s">
        <v>3497</v>
      </c>
      <c r="K1493" t="s">
        <v>868</v>
      </c>
      <c r="L1493" t="s">
        <v>3618</v>
      </c>
      <c r="M1493" t="s">
        <v>3497</v>
      </c>
      <c r="N1493" t="s">
        <v>3498</v>
      </c>
      <c r="Q1493" t="s">
        <v>3599</v>
      </c>
      <c r="R1493" t="s">
        <v>3599</v>
      </c>
      <c r="S1493" t="s">
        <v>3599</v>
      </c>
      <c r="T1493">
        <v>1</v>
      </c>
      <c r="U1493" t="s">
        <v>868</v>
      </c>
      <c r="V1493">
        <v>5</v>
      </c>
      <c r="W1493">
        <v>0</v>
      </c>
      <c r="X1493">
        <v>0</v>
      </c>
    </row>
    <row r="1494" spans="1:24" x14ac:dyDescent="0.3">
      <c r="A1494" t="s">
        <v>3499</v>
      </c>
      <c r="B1494" t="s">
        <v>3500</v>
      </c>
      <c r="C1494">
        <v>1</v>
      </c>
      <c r="D1494" t="s">
        <v>11</v>
      </c>
      <c r="E1494" t="s">
        <v>21</v>
      </c>
      <c r="F1494" t="s">
        <v>22</v>
      </c>
      <c r="H1494" t="s">
        <v>71</v>
      </c>
      <c r="I1494" t="s">
        <v>3617</v>
      </c>
      <c r="J1494" t="s">
        <v>3499</v>
      </c>
      <c r="K1494" t="s">
        <v>868</v>
      </c>
      <c r="L1494" t="s">
        <v>3618</v>
      </c>
      <c r="M1494" t="s">
        <v>3499</v>
      </c>
      <c r="N1494" t="s">
        <v>3500</v>
      </c>
      <c r="Q1494" t="s">
        <v>3599</v>
      </c>
      <c r="R1494" t="s">
        <v>3599</v>
      </c>
      <c r="S1494" t="s">
        <v>3599</v>
      </c>
      <c r="T1494">
        <v>1</v>
      </c>
      <c r="U1494" t="s">
        <v>868</v>
      </c>
      <c r="V1494">
        <v>5</v>
      </c>
      <c r="W1494">
        <v>0</v>
      </c>
      <c r="X1494">
        <v>0</v>
      </c>
    </row>
    <row r="1495" spans="1:24" x14ac:dyDescent="0.3">
      <c r="A1495" t="s">
        <v>3501</v>
      </c>
      <c r="B1495" t="s">
        <v>3502</v>
      </c>
      <c r="C1495">
        <v>1</v>
      </c>
      <c r="D1495" t="s">
        <v>11</v>
      </c>
      <c r="E1495" t="s">
        <v>21</v>
      </c>
      <c r="F1495" t="s">
        <v>22</v>
      </c>
      <c r="H1495" t="s">
        <v>71</v>
      </c>
      <c r="I1495" t="s">
        <v>3617</v>
      </c>
      <c r="J1495" t="s">
        <v>3501</v>
      </c>
      <c r="K1495" t="s">
        <v>868</v>
      </c>
      <c r="L1495" t="s">
        <v>3618</v>
      </c>
      <c r="M1495" t="s">
        <v>3501</v>
      </c>
      <c r="N1495" t="s">
        <v>3502</v>
      </c>
      <c r="Q1495" t="s">
        <v>3599</v>
      </c>
      <c r="R1495" t="s">
        <v>3599</v>
      </c>
      <c r="S1495" t="s">
        <v>3599</v>
      </c>
      <c r="T1495">
        <v>1</v>
      </c>
      <c r="U1495" t="s">
        <v>868</v>
      </c>
      <c r="V1495">
        <v>5</v>
      </c>
      <c r="W1495">
        <v>0</v>
      </c>
      <c r="X1495">
        <v>0</v>
      </c>
    </row>
    <row r="1496" spans="1:24" x14ac:dyDescent="0.3">
      <c r="A1496" t="s">
        <v>3503</v>
      </c>
      <c r="B1496" t="s">
        <v>3504</v>
      </c>
      <c r="C1496">
        <v>1</v>
      </c>
      <c r="D1496" t="s">
        <v>11</v>
      </c>
      <c r="E1496" t="s">
        <v>21</v>
      </c>
      <c r="F1496" t="s">
        <v>22</v>
      </c>
      <c r="H1496" t="s">
        <v>71</v>
      </c>
      <c r="I1496" t="s">
        <v>3617</v>
      </c>
      <c r="J1496" t="s">
        <v>3503</v>
      </c>
      <c r="K1496" t="s">
        <v>868</v>
      </c>
      <c r="L1496" t="s">
        <v>3618</v>
      </c>
      <c r="M1496" t="s">
        <v>3503</v>
      </c>
      <c r="N1496" t="s">
        <v>3504</v>
      </c>
      <c r="Q1496" t="s">
        <v>3599</v>
      </c>
      <c r="R1496" t="s">
        <v>3599</v>
      </c>
      <c r="S1496" t="s">
        <v>3599</v>
      </c>
      <c r="T1496">
        <v>1</v>
      </c>
      <c r="U1496" t="s">
        <v>868</v>
      </c>
      <c r="V1496">
        <v>5</v>
      </c>
      <c r="W1496">
        <v>0</v>
      </c>
      <c r="X1496">
        <v>0</v>
      </c>
    </row>
    <row r="1497" spans="1:24" x14ac:dyDescent="0.3">
      <c r="A1497" t="s">
        <v>3505</v>
      </c>
      <c r="B1497" t="s">
        <v>3506</v>
      </c>
      <c r="C1497">
        <v>1</v>
      </c>
      <c r="D1497" t="s">
        <v>11</v>
      </c>
      <c r="E1497" t="s">
        <v>21</v>
      </c>
      <c r="F1497" t="s">
        <v>22</v>
      </c>
      <c r="H1497" t="s">
        <v>71</v>
      </c>
      <c r="I1497" t="s">
        <v>3617</v>
      </c>
      <c r="J1497" t="s">
        <v>3505</v>
      </c>
      <c r="K1497" t="s">
        <v>868</v>
      </c>
      <c r="L1497" t="s">
        <v>3618</v>
      </c>
      <c r="M1497" t="s">
        <v>3505</v>
      </c>
      <c r="N1497" t="s">
        <v>3506</v>
      </c>
      <c r="Q1497" t="s">
        <v>3599</v>
      </c>
      <c r="R1497" t="s">
        <v>3599</v>
      </c>
      <c r="S1497" t="s">
        <v>3599</v>
      </c>
      <c r="T1497">
        <v>1</v>
      </c>
      <c r="U1497" t="s">
        <v>868</v>
      </c>
      <c r="V1497">
        <v>5</v>
      </c>
      <c r="W1497">
        <v>0</v>
      </c>
      <c r="X1497">
        <v>0</v>
      </c>
    </row>
    <row r="1498" spans="1:24" x14ac:dyDescent="0.3">
      <c r="A1498" t="s">
        <v>3507</v>
      </c>
      <c r="B1498" t="s">
        <v>3508</v>
      </c>
      <c r="C1498">
        <v>1</v>
      </c>
      <c r="D1498" t="s">
        <v>11</v>
      </c>
      <c r="E1498" t="s">
        <v>21</v>
      </c>
      <c r="F1498" t="s">
        <v>22</v>
      </c>
      <c r="H1498" t="s">
        <v>71</v>
      </c>
      <c r="I1498" t="s">
        <v>3617</v>
      </c>
      <c r="J1498" t="s">
        <v>3507</v>
      </c>
      <c r="K1498" t="s">
        <v>868</v>
      </c>
      <c r="L1498" t="s">
        <v>3618</v>
      </c>
      <c r="M1498" t="s">
        <v>3507</v>
      </c>
      <c r="N1498" t="s">
        <v>3508</v>
      </c>
      <c r="Q1498" t="s">
        <v>3599</v>
      </c>
      <c r="R1498" t="s">
        <v>3599</v>
      </c>
      <c r="S1498" t="s">
        <v>3599</v>
      </c>
      <c r="T1498">
        <v>1</v>
      </c>
      <c r="U1498" t="s">
        <v>868</v>
      </c>
      <c r="V1498">
        <v>5</v>
      </c>
      <c r="W1498">
        <v>0</v>
      </c>
      <c r="X1498">
        <v>0</v>
      </c>
    </row>
    <row r="1499" spans="1:24" x14ac:dyDescent="0.3">
      <c r="A1499" t="s">
        <v>3509</v>
      </c>
      <c r="B1499" t="s">
        <v>3510</v>
      </c>
      <c r="C1499">
        <v>1</v>
      </c>
      <c r="D1499" t="s">
        <v>11</v>
      </c>
      <c r="E1499" t="s">
        <v>21</v>
      </c>
      <c r="F1499" t="s">
        <v>22</v>
      </c>
      <c r="H1499" t="s">
        <v>71</v>
      </c>
      <c r="I1499" t="s">
        <v>3617</v>
      </c>
      <c r="J1499" t="s">
        <v>3509</v>
      </c>
      <c r="K1499" t="s">
        <v>868</v>
      </c>
      <c r="L1499" t="s">
        <v>3618</v>
      </c>
      <c r="M1499" t="s">
        <v>3509</v>
      </c>
      <c r="N1499" t="s">
        <v>3510</v>
      </c>
      <c r="Q1499" t="s">
        <v>3599</v>
      </c>
      <c r="R1499" t="s">
        <v>3599</v>
      </c>
      <c r="S1499" t="s">
        <v>3599</v>
      </c>
      <c r="T1499">
        <v>1</v>
      </c>
      <c r="U1499" t="s">
        <v>868</v>
      </c>
      <c r="V1499">
        <v>5</v>
      </c>
      <c r="W1499">
        <v>0</v>
      </c>
      <c r="X1499">
        <v>0</v>
      </c>
    </row>
    <row r="1500" spans="1:24" x14ac:dyDescent="0.3">
      <c r="A1500" t="s">
        <v>3511</v>
      </c>
      <c r="B1500" t="s">
        <v>3512</v>
      </c>
      <c r="C1500">
        <v>1</v>
      </c>
      <c r="D1500" t="s">
        <v>11</v>
      </c>
      <c r="E1500" t="s">
        <v>21</v>
      </c>
      <c r="F1500" t="s">
        <v>22</v>
      </c>
      <c r="H1500" t="s">
        <v>71</v>
      </c>
      <c r="I1500" t="s">
        <v>3617</v>
      </c>
      <c r="J1500" t="s">
        <v>3511</v>
      </c>
      <c r="K1500" t="s">
        <v>868</v>
      </c>
      <c r="L1500" t="s">
        <v>3618</v>
      </c>
      <c r="M1500" t="s">
        <v>3511</v>
      </c>
      <c r="N1500" t="s">
        <v>3512</v>
      </c>
      <c r="Q1500" t="s">
        <v>3599</v>
      </c>
      <c r="R1500" t="s">
        <v>3599</v>
      </c>
      <c r="S1500" t="s">
        <v>3599</v>
      </c>
      <c r="T1500">
        <v>1</v>
      </c>
      <c r="U1500" t="s">
        <v>868</v>
      </c>
      <c r="V1500">
        <v>5</v>
      </c>
      <c r="W1500">
        <v>0</v>
      </c>
      <c r="X1500">
        <v>0</v>
      </c>
    </row>
    <row r="1501" spans="1:24" x14ac:dyDescent="0.3">
      <c r="A1501" t="s">
        <v>3513</v>
      </c>
      <c r="B1501" t="s">
        <v>3514</v>
      </c>
      <c r="C1501">
        <v>1</v>
      </c>
      <c r="D1501" t="s">
        <v>11</v>
      </c>
      <c r="E1501" t="s">
        <v>21</v>
      </c>
      <c r="F1501" t="s">
        <v>22</v>
      </c>
      <c r="H1501" t="s">
        <v>71</v>
      </c>
      <c r="I1501" t="s">
        <v>3617</v>
      </c>
      <c r="K1501" t="s">
        <v>868</v>
      </c>
      <c r="L1501" t="s">
        <v>3618</v>
      </c>
      <c r="N1501" t="s">
        <v>3514</v>
      </c>
      <c r="Q1501" t="s">
        <v>3599</v>
      </c>
      <c r="R1501" t="s">
        <v>3599</v>
      </c>
      <c r="S1501" t="s">
        <v>3599</v>
      </c>
      <c r="T1501">
        <v>1</v>
      </c>
      <c r="U1501" t="s">
        <v>868</v>
      </c>
      <c r="V1501">
        <v>5</v>
      </c>
      <c r="W1501">
        <v>0</v>
      </c>
      <c r="X1501">
        <v>0</v>
      </c>
    </row>
    <row r="1502" spans="1:24" x14ac:dyDescent="0.3">
      <c r="A1502" t="s">
        <v>3515</v>
      </c>
      <c r="B1502" t="s">
        <v>3516</v>
      </c>
      <c r="C1502">
        <v>1</v>
      </c>
      <c r="D1502" t="s">
        <v>11</v>
      </c>
      <c r="E1502" t="s">
        <v>21</v>
      </c>
      <c r="F1502" t="s">
        <v>22</v>
      </c>
      <c r="H1502" t="s">
        <v>71</v>
      </c>
      <c r="I1502" t="s">
        <v>3617</v>
      </c>
      <c r="J1502" t="s">
        <v>3515</v>
      </c>
      <c r="K1502" t="s">
        <v>868</v>
      </c>
      <c r="L1502" t="s">
        <v>3618</v>
      </c>
      <c r="M1502" t="s">
        <v>3515</v>
      </c>
      <c r="N1502" t="s">
        <v>3516</v>
      </c>
      <c r="Q1502" t="s">
        <v>3599</v>
      </c>
      <c r="R1502" t="s">
        <v>3599</v>
      </c>
      <c r="S1502" t="s">
        <v>3599</v>
      </c>
      <c r="T1502">
        <v>1</v>
      </c>
      <c r="U1502" t="s">
        <v>868</v>
      </c>
      <c r="V1502">
        <v>5</v>
      </c>
      <c r="W1502">
        <v>0</v>
      </c>
      <c r="X1502">
        <v>0</v>
      </c>
    </row>
    <row r="1503" spans="1:24" x14ac:dyDescent="0.3">
      <c r="A1503" t="s">
        <v>3517</v>
      </c>
      <c r="B1503" t="s">
        <v>3518</v>
      </c>
      <c r="C1503">
        <v>1</v>
      </c>
      <c r="D1503" t="s">
        <v>11</v>
      </c>
      <c r="E1503" t="s">
        <v>21</v>
      </c>
      <c r="F1503" t="s">
        <v>22</v>
      </c>
      <c r="H1503" t="s">
        <v>71</v>
      </c>
      <c r="I1503" t="s">
        <v>3617</v>
      </c>
      <c r="J1503" t="s">
        <v>3517</v>
      </c>
      <c r="K1503" t="s">
        <v>868</v>
      </c>
      <c r="L1503" t="s">
        <v>3618</v>
      </c>
      <c r="M1503" t="s">
        <v>3517</v>
      </c>
      <c r="N1503" t="s">
        <v>3518</v>
      </c>
      <c r="Q1503" t="s">
        <v>3599</v>
      </c>
      <c r="R1503" t="s">
        <v>3599</v>
      </c>
      <c r="S1503" t="s">
        <v>3599</v>
      </c>
      <c r="T1503">
        <v>1</v>
      </c>
      <c r="U1503" t="s">
        <v>868</v>
      </c>
      <c r="V1503">
        <v>5</v>
      </c>
      <c r="W1503">
        <v>0</v>
      </c>
      <c r="X1503">
        <v>0</v>
      </c>
    </row>
    <row r="1504" spans="1:24" x14ac:dyDescent="0.3">
      <c r="A1504" t="s">
        <v>3519</v>
      </c>
      <c r="B1504" t="s">
        <v>3520</v>
      </c>
      <c r="C1504">
        <v>1</v>
      </c>
      <c r="D1504" t="s">
        <v>11</v>
      </c>
      <c r="E1504" t="s">
        <v>21</v>
      </c>
      <c r="F1504" t="s">
        <v>22</v>
      </c>
      <c r="H1504" t="s">
        <v>71</v>
      </c>
      <c r="I1504" t="s">
        <v>3617</v>
      </c>
      <c r="J1504" t="s">
        <v>3519</v>
      </c>
      <c r="K1504" t="s">
        <v>868</v>
      </c>
      <c r="L1504" t="s">
        <v>3618</v>
      </c>
      <c r="M1504" t="s">
        <v>3519</v>
      </c>
      <c r="N1504" t="s">
        <v>3520</v>
      </c>
      <c r="Q1504" t="s">
        <v>3599</v>
      </c>
      <c r="R1504" t="s">
        <v>3599</v>
      </c>
      <c r="S1504" t="s">
        <v>3599</v>
      </c>
      <c r="T1504">
        <v>1</v>
      </c>
      <c r="U1504" t="s">
        <v>868</v>
      </c>
      <c r="V1504">
        <v>5</v>
      </c>
      <c r="W1504">
        <v>0</v>
      </c>
      <c r="X1504">
        <v>0</v>
      </c>
    </row>
    <row r="1505" spans="1:24" x14ac:dyDescent="0.3">
      <c r="A1505" t="s">
        <v>3521</v>
      </c>
      <c r="B1505" t="s">
        <v>3522</v>
      </c>
      <c r="C1505">
        <v>1</v>
      </c>
      <c r="D1505" t="s">
        <v>11</v>
      </c>
      <c r="E1505" t="s">
        <v>21</v>
      </c>
      <c r="F1505" t="s">
        <v>22</v>
      </c>
      <c r="H1505" t="s">
        <v>71</v>
      </c>
      <c r="I1505" t="s">
        <v>3617</v>
      </c>
      <c r="J1505" t="s">
        <v>3521</v>
      </c>
      <c r="K1505" t="s">
        <v>868</v>
      </c>
      <c r="L1505" t="s">
        <v>3618</v>
      </c>
      <c r="M1505" t="s">
        <v>3521</v>
      </c>
      <c r="N1505" t="s">
        <v>3522</v>
      </c>
      <c r="Q1505" t="s">
        <v>3599</v>
      </c>
      <c r="R1505" t="s">
        <v>3599</v>
      </c>
      <c r="S1505" t="s">
        <v>3599</v>
      </c>
      <c r="T1505">
        <v>1</v>
      </c>
      <c r="U1505" t="s">
        <v>868</v>
      </c>
      <c r="V1505">
        <v>5</v>
      </c>
      <c r="W1505">
        <v>0</v>
      </c>
      <c r="X1505">
        <v>0</v>
      </c>
    </row>
    <row r="1506" spans="1:24" x14ac:dyDescent="0.3">
      <c r="A1506" t="s">
        <v>3523</v>
      </c>
      <c r="B1506" t="s">
        <v>3524</v>
      </c>
      <c r="C1506">
        <v>1</v>
      </c>
      <c r="D1506" t="s">
        <v>11</v>
      </c>
      <c r="E1506" t="s">
        <v>21</v>
      </c>
      <c r="F1506" t="s">
        <v>22</v>
      </c>
      <c r="H1506" t="s">
        <v>71</v>
      </c>
      <c r="I1506" t="s">
        <v>3617</v>
      </c>
      <c r="J1506" t="s">
        <v>3523</v>
      </c>
      <c r="K1506" t="s">
        <v>868</v>
      </c>
      <c r="L1506" t="s">
        <v>3618</v>
      </c>
      <c r="M1506" t="s">
        <v>3523</v>
      </c>
      <c r="N1506" t="s">
        <v>3524</v>
      </c>
      <c r="Q1506" t="s">
        <v>3599</v>
      </c>
      <c r="R1506" t="s">
        <v>3599</v>
      </c>
      <c r="S1506" t="s">
        <v>3599</v>
      </c>
      <c r="T1506">
        <v>1</v>
      </c>
      <c r="U1506" t="s">
        <v>868</v>
      </c>
      <c r="V1506">
        <v>5</v>
      </c>
      <c r="W1506">
        <v>0</v>
      </c>
      <c r="X1506">
        <v>0</v>
      </c>
    </row>
    <row r="1507" spans="1:24" x14ac:dyDescent="0.3">
      <c r="A1507" t="s">
        <v>3525</v>
      </c>
      <c r="B1507" t="s">
        <v>3526</v>
      </c>
      <c r="C1507">
        <v>1</v>
      </c>
      <c r="D1507" t="s">
        <v>11</v>
      </c>
      <c r="E1507" t="s">
        <v>21</v>
      </c>
      <c r="F1507" t="s">
        <v>22</v>
      </c>
      <c r="H1507" t="s">
        <v>71</v>
      </c>
      <c r="I1507" t="s">
        <v>3617</v>
      </c>
      <c r="J1507" t="s">
        <v>3525</v>
      </c>
      <c r="K1507" t="s">
        <v>868</v>
      </c>
      <c r="L1507" t="s">
        <v>3618</v>
      </c>
      <c r="M1507" t="s">
        <v>3525</v>
      </c>
      <c r="N1507" t="s">
        <v>3526</v>
      </c>
      <c r="Q1507" t="s">
        <v>3599</v>
      </c>
      <c r="R1507" t="s">
        <v>3599</v>
      </c>
      <c r="S1507" t="s">
        <v>3599</v>
      </c>
      <c r="T1507">
        <v>1</v>
      </c>
      <c r="U1507" t="s">
        <v>868</v>
      </c>
      <c r="V1507">
        <v>5</v>
      </c>
      <c r="W1507">
        <v>0</v>
      </c>
      <c r="X1507">
        <v>0</v>
      </c>
    </row>
    <row r="1508" spans="1:24" x14ac:dyDescent="0.3">
      <c r="A1508" t="s">
        <v>3527</v>
      </c>
      <c r="B1508" t="s">
        <v>3528</v>
      </c>
      <c r="C1508">
        <v>1</v>
      </c>
      <c r="D1508" t="s">
        <v>11</v>
      </c>
      <c r="E1508" t="s">
        <v>21</v>
      </c>
      <c r="F1508" t="s">
        <v>22</v>
      </c>
      <c r="H1508" t="s">
        <v>71</v>
      </c>
      <c r="I1508" t="s">
        <v>3617</v>
      </c>
      <c r="J1508" t="s">
        <v>3527</v>
      </c>
      <c r="K1508" t="s">
        <v>868</v>
      </c>
      <c r="L1508" t="s">
        <v>3618</v>
      </c>
      <c r="M1508" t="s">
        <v>3527</v>
      </c>
      <c r="N1508" t="s">
        <v>3528</v>
      </c>
      <c r="Q1508" t="s">
        <v>3599</v>
      </c>
      <c r="R1508" t="s">
        <v>3599</v>
      </c>
      <c r="S1508" t="s">
        <v>3599</v>
      </c>
      <c r="T1508">
        <v>1</v>
      </c>
      <c r="U1508" t="s">
        <v>868</v>
      </c>
      <c r="V1508">
        <v>5</v>
      </c>
      <c r="W1508">
        <v>0</v>
      </c>
      <c r="X1508">
        <v>0</v>
      </c>
    </row>
    <row r="1509" spans="1:24" x14ac:dyDescent="0.3">
      <c r="A1509" t="s">
        <v>3529</v>
      </c>
      <c r="B1509" t="s">
        <v>3530</v>
      </c>
      <c r="C1509">
        <v>1</v>
      </c>
      <c r="D1509" t="s">
        <v>11</v>
      </c>
      <c r="E1509" t="s">
        <v>21</v>
      </c>
      <c r="F1509" t="s">
        <v>22</v>
      </c>
      <c r="H1509" t="s">
        <v>71</v>
      </c>
      <c r="I1509" t="s">
        <v>3617</v>
      </c>
      <c r="J1509" t="s">
        <v>3529</v>
      </c>
      <c r="K1509" t="s">
        <v>868</v>
      </c>
      <c r="L1509" t="s">
        <v>3618</v>
      </c>
      <c r="M1509" t="s">
        <v>3529</v>
      </c>
      <c r="N1509" t="s">
        <v>3530</v>
      </c>
      <c r="Q1509" t="s">
        <v>3599</v>
      </c>
      <c r="R1509" t="s">
        <v>3599</v>
      </c>
      <c r="S1509" t="s">
        <v>3599</v>
      </c>
      <c r="T1509">
        <v>1</v>
      </c>
      <c r="U1509" t="s">
        <v>868</v>
      </c>
      <c r="V1509">
        <v>5</v>
      </c>
      <c r="W1509">
        <v>0</v>
      </c>
      <c r="X1509">
        <v>0</v>
      </c>
    </row>
    <row r="1510" spans="1:24" x14ac:dyDescent="0.3">
      <c r="A1510" t="s">
        <v>3531</v>
      </c>
      <c r="B1510" t="s">
        <v>3532</v>
      </c>
      <c r="C1510">
        <v>1</v>
      </c>
      <c r="D1510" t="s">
        <v>11</v>
      </c>
      <c r="E1510" t="s">
        <v>21</v>
      </c>
      <c r="F1510" t="s">
        <v>22</v>
      </c>
      <c r="H1510" t="s">
        <v>71</v>
      </c>
      <c r="I1510" t="s">
        <v>3617</v>
      </c>
      <c r="J1510" t="s">
        <v>3531</v>
      </c>
      <c r="K1510" t="s">
        <v>868</v>
      </c>
      <c r="L1510" t="s">
        <v>3618</v>
      </c>
      <c r="M1510" t="s">
        <v>3531</v>
      </c>
      <c r="N1510" t="s">
        <v>3532</v>
      </c>
      <c r="Q1510" t="s">
        <v>3599</v>
      </c>
      <c r="R1510" t="s">
        <v>3599</v>
      </c>
      <c r="S1510" t="s">
        <v>3599</v>
      </c>
      <c r="T1510">
        <v>1</v>
      </c>
      <c r="U1510" t="s">
        <v>868</v>
      </c>
      <c r="V1510">
        <v>5</v>
      </c>
      <c r="W1510">
        <v>0</v>
      </c>
      <c r="X1510">
        <v>0</v>
      </c>
    </row>
    <row r="1511" spans="1:24" x14ac:dyDescent="0.3">
      <c r="A1511" t="s">
        <v>3533</v>
      </c>
      <c r="B1511" t="s">
        <v>3534</v>
      </c>
      <c r="C1511">
        <v>1</v>
      </c>
      <c r="D1511" t="s">
        <v>11</v>
      </c>
      <c r="E1511" t="s">
        <v>21</v>
      </c>
      <c r="F1511" t="s">
        <v>22</v>
      </c>
      <c r="H1511" t="s">
        <v>71</v>
      </c>
      <c r="I1511" t="s">
        <v>3617</v>
      </c>
      <c r="K1511" t="s">
        <v>868</v>
      </c>
      <c r="L1511" t="s">
        <v>3618</v>
      </c>
      <c r="N1511" t="s">
        <v>3534</v>
      </c>
      <c r="Q1511" t="s">
        <v>3599</v>
      </c>
      <c r="R1511" t="s">
        <v>3599</v>
      </c>
      <c r="S1511" t="s">
        <v>3599</v>
      </c>
      <c r="T1511">
        <v>1</v>
      </c>
      <c r="U1511" t="s">
        <v>868</v>
      </c>
      <c r="V1511">
        <v>5</v>
      </c>
      <c r="W1511">
        <v>0</v>
      </c>
      <c r="X1511">
        <v>0</v>
      </c>
    </row>
    <row r="1512" spans="1:24" x14ac:dyDescent="0.3">
      <c r="A1512" t="s">
        <v>3535</v>
      </c>
      <c r="B1512" t="s">
        <v>3536</v>
      </c>
      <c r="C1512">
        <v>1</v>
      </c>
      <c r="D1512" t="s">
        <v>11</v>
      </c>
      <c r="E1512" t="s">
        <v>21</v>
      </c>
      <c r="F1512" t="s">
        <v>22</v>
      </c>
      <c r="H1512" t="s">
        <v>71</v>
      </c>
      <c r="I1512" t="s">
        <v>3617</v>
      </c>
      <c r="J1512" t="s">
        <v>3535</v>
      </c>
      <c r="K1512" t="s">
        <v>868</v>
      </c>
      <c r="L1512" t="s">
        <v>3618</v>
      </c>
      <c r="M1512" t="s">
        <v>3535</v>
      </c>
      <c r="N1512" t="s">
        <v>3536</v>
      </c>
      <c r="Q1512" t="s">
        <v>3599</v>
      </c>
      <c r="R1512" t="s">
        <v>3599</v>
      </c>
      <c r="S1512" t="s">
        <v>3599</v>
      </c>
      <c r="T1512">
        <v>1</v>
      </c>
      <c r="U1512" t="s">
        <v>868</v>
      </c>
      <c r="V1512">
        <v>5</v>
      </c>
      <c r="W1512">
        <v>0</v>
      </c>
      <c r="X1512">
        <v>0</v>
      </c>
    </row>
    <row r="1513" spans="1:24" x14ac:dyDescent="0.3">
      <c r="A1513" t="s">
        <v>3537</v>
      </c>
      <c r="B1513" t="s">
        <v>3538</v>
      </c>
      <c r="C1513">
        <v>1</v>
      </c>
      <c r="D1513" t="s">
        <v>11</v>
      </c>
      <c r="E1513" t="s">
        <v>21</v>
      </c>
      <c r="F1513" t="s">
        <v>22</v>
      </c>
      <c r="H1513" t="s">
        <v>71</v>
      </c>
      <c r="I1513" t="s">
        <v>3617</v>
      </c>
      <c r="J1513" t="s">
        <v>3537</v>
      </c>
      <c r="K1513" t="s">
        <v>868</v>
      </c>
      <c r="L1513" t="s">
        <v>3618</v>
      </c>
      <c r="M1513" t="s">
        <v>3537</v>
      </c>
      <c r="N1513" t="s">
        <v>3538</v>
      </c>
      <c r="Q1513" t="s">
        <v>3599</v>
      </c>
      <c r="R1513" t="s">
        <v>3599</v>
      </c>
      <c r="S1513" t="s">
        <v>3599</v>
      </c>
      <c r="T1513">
        <v>1</v>
      </c>
      <c r="U1513" t="s">
        <v>868</v>
      </c>
      <c r="V1513">
        <v>5</v>
      </c>
      <c r="W1513">
        <v>0</v>
      </c>
      <c r="X1513">
        <v>0</v>
      </c>
    </row>
    <row r="1514" spans="1:24" x14ac:dyDescent="0.3">
      <c r="A1514" t="s">
        <v>3539</v>
      </c>
      <c r="B1514" t="s">
        <v>3540</v>
      </c>
      <c r="C1514">
        <v>1</v>
      </c>
      <c r="D1514" t="s">
        <v>11</v>
      </c>
      <c r="E1514" t="s">
        <v>21</v>
      </c>
      <c r="F1514" t="s">
        <v>22</v>
      </c>
      <c r="H1514" t="s">
        <v>71</v>
      </c>
      <c r="I1514" t="s">
        <v>3617</v>
      </c>
      <c r="J1514" t="s">
        <v>3539</v>
      </c>
      <c r="K1514" t="s">
        <v>868</v>
      </c>
      <c r="L1514" t="s">
        <v>3618</v>
      </c>
      <c r="M1514" t="s">
        <v>3539</v>
      </c>
      <c r="N1514" t="s">
        <v>3540</v>
      </c>
      <c r="Q1514" t="s">
        <v>3599</v>
      </c>
      <c r="R1514" t="s">
        <v>3599</v>
      </c>
      <c r="S1514" t="s">
        <v>3599</v>
      </c>
      <c r="T1514">
        <v>1</v>
      </c>
      <c r="U1514" t="s">
        <v>868</v>
      </c>
      <c r="V1514">
        <v>5</v>
      </c>
      <c r="W1514">
        <v>0</v>
      </c>
      <c r="X1514">
        <v>0</v>
      </c>
    </row>
    <row r="1515" spans="1:24" x14ac:dyDescent="0.3">
      <c r="A1515" t="s">
        <v>3541</v>
      </c>
      <c r="B1515" t="s">
        <v>3542</v>
      </c>
      <c r="C1515">
        <v>1</v>
      </c>
      <c r="D1515" t="s">
        <v>11</v>
      </c>
      <c r="E1515" t="s">
        <v>21</v>
      </c>
      <c r="F1515" t="s">
        <v>22</v>
      </c>
      <c r="H1515" t="s">
        <v>71</v>
      </c>
      <c r="I1515" t="s">
        <v>3617</v>
      </c>
      <c r="J1515" t="s">
        <v>3541</v>
      </c>
      <c r="K1515" t="s">
        <v>868</v>
      </c>
      <c r="L1515" t="s">
        <v>3618</v>
      </c>
      <c r="M1515" t="s">
        <v>3541</v>
      </c>
      <c r="N1515" t="s">
        <v>3542</v>
      </c>
      <c r="Q1515" t="s">
        <v>3599</v>
      </c>
      <c r="R1515" t="s">
        <v>3599</v>
      </c>
      <c r="S1515" t="s">
        <v>3599</v>
      </c>
      <c r="T1515">
        <v>1</v>
      </c>
      <c r="U1515" t="s">
        <v>868</v>
      </c>
      <c r="V1515">
        <v>5</v>
      </c>
      <c r="W1515">
        <v>0</v>
      </c>
      <c r="X1515">
        <v>0</v>
      </c>
    </row>
    <row r="1516" spans="1:24" x14ac:dyDescent="0.3">
      <c r="A1516" t="s">
        <v>3543</v>
      </c>
      <c r="B1516" t="s">
        <v>3544</v>
      </c>
      <c r="C1516">
        <v>1</v>
      </c>
      <c r="D1516" t="s">
        <v>11</v>
      </c>
      <c r="E1516" t="s">
        <v>21</v>
      </c>
      <c r="F1516" t="s">
        <v>22</v>
      </c>
      <c r="H1516" t="s">
        <v>71</v>
      </c>
      <c r="I1516" t="s">
        <v>3617</v>
      </c>
      <c r="J1516" t="s">
        <v>3543</v>
      </c>
      <c r="K1516" t="s">
        <v>868</v>
      </c>
      <c r="L1516" t="s">
        <v>3618</v>
      </c>
      <c r="M1516" t="s">
        <v>3543</v>
      </c>
      <c r="N1516" t="s">
        <v>3544</v>
      </c>
      <c r="Q1516" t="s">
        <v>3599</v>
      </c>
      <c r="R1516" t="s">
        <v>3599</v>
      </c>
      <c r="S1516" t="s">
        <v>3599</v>
      </c>
      <c r="T1516">
        <v>1</v>
      </c>
      <c r="U1516" t="s">
        <v>868</v>
      </c>
      <c r="V1516">
        <v>5</v>
      </c>
      <c r="W1516">
        <v>0</v>
      </c>
      <c r="X1516">
        <v>0</v>
      </c>
    </row>
    <row r="1517" spans="1:24" x14ac:dyDescent="0.3">
      <c r="A1517" t="s">
        <v>3545</v>
      </c>
      <c r="B1517" t="s">
        <v>3546</v>
      </c>
      <c r="C1517">
        <v>1</v>
      </c>
      <c r="D1517" t="s">
        <v>11</v>
      </c>
      <c r="E1517" t="s">
        <v>21</v>
      </c>
      <c r="F1517" t="s">
        <v>22</v>
      </c>
      <c r="H1517" t="s">
        <v>71</v>
      </c>
      <c r="I1517" t="s">
        <v>3617</v>
      </c>
      <c r="K1517" t="s">
        <v>868</v>
      </c>
      <c r="L1517" t="s">
        <v>3618</v>
      </c>
      <c r="N1517" t="s">
        <v>3546</v>
      </c>
      <c r="Q1517" t="s">
        <v>3599</v>
      </c>
      <c r="R1517" t="s">
        <v>3599</v>
      </c>
      <c r="S1517" t="s">
        <v>3599</v>
      </c>
      <c r="T1517">
        <v>1</v>
      </c>
      <c r="U1517" t="s">
        <v>868</v>
      </c>
      <c r="V1517">
        <v>5</v>
      </c>
      <c r="W1517">
        <v>0</v>
      </c>
      <c r="X1517">
        <v>0</v>
      </c>
    </row>
    <row r="1518" spans="1:24" x14ac:dyDescent="0.3">
      <c r="A1518" t="s">
        <v>3547</v>
      </c>
      <c r="B1518" t="s">
        <v>3548</v>
      </c>
      <c r="C1518">
        <v>1</v>
      </c>
      <c r="D1518" t="s">
        <v>11</v>
      </c>
      <c r="E1518" t="s">
        <v>21</v>
      </c>
      <c r="F1518" t="s">
        <v>22</v>
      </c>
      <c r="H1518" t="s">
        <v>71</v>
      </c>
      <c r="I1518" t="s">
        <v>3617</v>
      </c>
      <c r="J1518" t="s">
        <v>3547</v>
      </c>
      <c r="K1518" t="s">
        <v>868</v>
      </c>
      <c r="L1518" t="s">
        <v>3618</v>
      </c>
      <c r="M1518" t="s">
        <v>3547</v>
      </c>
      <c r="N1518" t="s">
        <v>3548</v>
      </c>
      <c r="Q1518" t="s">
        <v>3599</v>
      </c>
      <c r="R1518" t="s">
        <v>3599</v>
      </c>
      <c r="S1518" t="s">
        <v>3599</v>
      </c>
      <c r="T1518">
        <v>1</v>
      </c>
      <c r="U1518" t="s">
        <v>868</v>
      </c>
      <c r="V1518">
        <v>5</v>
      </c>
      <c r="W1518">
        <v>0</v>
      </c>
      <c r="X1518">
        <v>0</v>
      </c>
    </row>
    <row r="1519" spans="1:24" x14ac:dyDescent="0.3">
      <c r="A1519" t="s">
        <v>3549</v>
      </c>
      <c r="B1519" t="s">
        <v>3550</v>
      </c>
      <c r="C1519">
        <v>1</v>
      </c>
      <c r="D1519" t="s">
        <v>11</v>
      </c>
      <c r="E1519" t="s">
        <v>21</v>
      </c>
      <c r="F1519" t="s">
        <v>22</v>
      </c>
      <c r="H1519" t="s">
        <v>71</v>
      </c>
      <c r="I1519" t="s">
        <v>3617</v>
      </c>
      <c r="J1519" t="s">
        <v>3549</v>
      </c>
      <c r="K1519" t="s">
        <v>868</v>
      </c>
      <c r="L1519" t="s">
        <v>3618</v>
      </c>
      <c r="M1519" t="s">
        <v>3549</v>
      </c>
      <c r="N1519" t="s">
        <v>3550</v>
      </c>
      <c r="Q1519" t="s">
        <v>3599</v>
      </c>
      <c r="R1519" t="s">
        <v>3599</v>
      </c>
      <c r="S1519" t="s">
        <v>3599</v>
      </c>
      <c r="T1519">
        <v>1</v>
      </c>
      <c r="U1519" t="s">
        <v>868</v>
      </c>
      <c r="V1519">
        <v>5</v>
      </c>
      <c r="W1519">
        <v>0</v>
      </c>
      <c r="X1519">
        <v>0</v>
      </c>
    </row>
    <row r="1520" spans="1:24" x14ac:dyDescent="0.3">
      <c r="A1520" t="s">
        <v>3551</v>
      </c>
      <c r="B1520" t="s">
        <v>3552</v>
      </c>
      <c r="C1520">
        <v>1</v>
      </c>
      <c r="D1520" t="s">
        <v>11</v>
      </c>
      <c r="E1520" t="s">
        <v>21</v>
      </c>
      <c r="F1520" t="s">
        <v>22</v>
      </c>
      <c r="H1520" t="s">
        <v>71</v>
      </c>
      <c r="I1520" t="s">
        <v>3617</v>
      </c>
      <c r="J1520" t="s">
        <v>3551</v>
      </c>
      <c r="K1520" t="s">
        <v>868</v>
      </c>
      <c r="L1520" t="s">
        <v>3618</v>
      </c>
      <c r="M1520" t="s">
        <v>3551</v>
      </c>
      <c r="N1520" t="s">
        <v>3552</v>
      </c>
      <c r="Q1520" t="s">
        <v>3599</v>
      </c>
      <c r="R1520" t="s">
        <v>3599</v>
      </c>
      <c r="S1520" t="s">
        <v>3599</v>
      </c>
      <c r="T1520">
        <v>1</v>
      </c>
      <c r="U1520" t="s">
        <v>868</v>
      </c>
      <c r="V1520">
        <v>5</v>
      </c>
      <c r="W1520">
        <v>0</v>
      </c>
      <c r="X1520">
        <v>0</v>
      </c>
    </row>
    <row r="1521" spans="1:24" x14ac:dyDescent="0.3">
      <c r="A1521" t="s">
        <v>3553</v>
      </c>
      <c r="B1521" t="s">
        <v>3554</v>
      </c>
      <c r="C1521">
        <v>1</v>
      </c>
      <c r="D1521" t="s">
        <v>11</v>
      </c>
      <c r="E1521" t="s">
        <v>21</v>
      </c>
      <c r="F1521" t="s">
        <v>22</v>
      </c>
      <c r="H1521" t="s">
        <v>71</v>
      </c>
      <c r="I1521" t="s">
        <v>3617</v>
      </c>
      <c r="J1521" t="s">
        <v>3553</v>
      </c>
      <c r="K1521" t="s">
        <v>868</v>
      </c>
      <c r="L1521" t="s">
        <v>3618</v>
      </c>
      <c r="M1521" t="s">
        <v>3553</v>
      </c>
      <c r="N1521" t="s">
        <v>3554</v>
      </c>
      <c r="Q1521" t="s">
        <v>3599</v>
      </c>
      <c r="R1521" t="s">
        <v>3599</v>
      </c>
      <c r="S1521" t="s">
        <v>3599</v>
      </c>
      <c r="T1521">
        <v>1</v>
      </c>
      <c r="U1521" t="s">
        <v>868</v>
      </c>
      <c r="V1521">
        <v>5</v>
      </c>
      <c r="W1521">
        <v>0</v>
      </c>
      <c r="X1521">
        <v>0</v>
      </c>
    </row>
    <row r="1522" spans="1:24" x14ac:dyDescent="0.3">
      <c r="A1522" t="s">
        <v>3555</v>
      </c>
      <c r="B1522" t="s">
        <v>3556</v>
      </c>
      <c r="C1522">
        <v>1</v>
      </c>
      <c r="D1522" t="s">
        <v>11</v>
      </c>
      <c r="E1522" t="s">
        <v>21</v>
      </c>
      <c r="F1522" t="s">
        <v>22</v>
      </c>
      <c r="H1522" t="s">
        <v>71</v>
      </c>
      <c r="I1522" t="s">
        <v>3617</v>
      </c>
      <c r="J1522" t="s">
        <v>3555</v>
      </c>
      <c r="K1522" t="s">
        <v>868</v>
      </c>
      <c r="L1522" t="s">
        <v>3618</v>
      </c>
      <c r="M1522" t="s">
        <v>3555</v>
      </c>
      <c r="N1522" t="s">
        <v>3556</v>
      </c>
      <c r="Q1522" t="s">
        <v>3599</v>
      </c>
      <c r="R1522" t="s">
        <v>3599</v>
      </c>
      <c r="S1522" t="s">
        <v>3599</v>
      </c>
      <c r="T1522">
        <v>1</v>
      </c>
      <c r="U1522" t="s">
        <v>868</v>
      </c>
      <c r="V1522">
        <v>5</v>
      </c>
      <c r="W1522">
        <v>0</v>
      </c>
      <c r="X1522">
        <v>0</v>
      </c>
    </row>
    <row r="1523" spans="1:24" x14ac:dyDescent="0.3">
      <c r="A1523" t="s">
        <v>3557</v>
      </c>
      <c r="B1523" t="s">
        <v>3558</v>
      </c>
      <c r="C1523">
        <v>1</v>
      </c>
      <c r="D1523" t="s">
        <v>11</v>
      </c>
      <c r="E1523" t="s">
        <v>21</v>
      </c>
      <c r="F1523" t="s">
        <v>22</v>
      </c>
      <c r="H1523" t="s">
        <v>71</v>
      </c>
      <c r="I1523" t="s">
        <v>3617</v>
      </c>
      <c r="J1523" t="s">
        <v>3557</v>
      </c>
      <c r="K1523" t="s">
        <v>868</v>
      </c>
      <c r="L1523" t="s">
        <v>3618</v>
      </c>
      <c r="M1523" t="s">
        <v>3557</v>
      </c>
      <c r="N1523" t="s">
        <v>3558</v>
      </c>
      <c r="Q1523" t="s">
        <v>3599</v>
      </c>
      <c r="R1523" t="s">
        <v>3599</v>
      </c>
      <c r="S1523" t="s">
        <v>3599</v>
      </c>
      <c r="T1523">
        <v>1</v>
      </c>
      <c r="U1523" t="s">
        <v>868</v>
      </c>
      <c r="V1523">
        <v>5</v>
      </c>
      <c r="W1523">
        <v>0</v>
      </c>
      <c r="X1523">
        <v>0</v>
      </c>
    </row>
    <row r="1524" spans="1:24" x14ac:dyDescent="0.3">
      <c r="A1524" t="s">
        <v>2412</v>
      </c>
      <c r="B1524" t="s">
        <v>2413</v>
      </c>
      <c r="C1524">
        <v>1</v>
      </c>
      <c r="D1524" t="s">
        <v>11</v>
      </c>
      <c r="E1524" t="s">
        <v>21</v>
      </c>
      <c r="F1524" t="s">
        <v>22</v>
      </c>
      <c r="H1524" t="s">
        <v>71</v>
      </c>
      <c r="I1524" t="s">
        <v>3617</v>
      </c>
      <c r="J1524" t="s">
        <v>2412</v>
      </c>
      <c r="K1524" t="s">
        <v>868</v>
      </c>
      <c r="L1524" t="s">
        <v>3618</v>
      </c>
      <c r="M1524" t="s">
        <v>2412</v>
      </c>
      <c r="N1524" t="s">
        <v>2413</v>
      </c>
      <c r="Q1524" t="s">
        <v>3599</v>
      </c>
      <c r="R1524" t="s">
        <v>3599</v>
      </c>
      <c r="S1524" t="s">
        <v>3599</v>
      </c>
      <c r="T1524">
        <v>1</v>
      </c>
      <c r="U1524" t="s">
        <v>868</v>
      </c>
      <c r="V1524">
        <v>5</v>
      </c>
      <c r="X1524">
        <v>1335837352.73</v>
      </c>
    </row>
    <row r="1525" spans="1:24" x14ac:dyDescent="0.3">
      <c r="A1525" t="s">
        <v>3559</v>
      </c>
      <c r="B1525" t="s">
        <v>3560</v>
      </c>
      <c r="C1525">
        <v>1</v>
      </c>
      <c r="D1525" t="s">
        <v>11</v>
      </c>
      <c r="E1525" t="s">
        <v>21</v>
      </c>
      <c r="F1525" t="s">
        <v>22</v>
      </c>
      <c r="H1525" t="s">
        <v>71</v>
      </c>
      <c r="I1525" t="s">
        <v>3617</v>
      </c>
      <c r="J1525" t="s">
        <v>3559</v>
      </c>
      <c r="K1525" t="s">
        <v>868</v>
      </c>
      <c r="L1525" t="s">
        <v>3618</v>
      </c>
      <c r="M1525" t="s">
        <v>3559</v>
      </c>
      <c r="N1525" t="s">
        <v>3560</v>
      </c>
      <c r="Q1525" t="s">
        <v>3599</v>
      </c>
      <c r="R1525" t="s">
        <v>3599</v>
      </c>
      <c r="S1525" t="s">
        <v>3599</v>
      </c>
      <c r="T1525">
        <v>1</v>
      </c>
      <c r="U1525" t="s">
        <v>868</v>
      </c>
      <c r="V1525">
        <v>5</v>
      </c>
      <c r="X1525">
        <v>639566587.02999985</v>
      </c>
    </row>
    <row r="1526" spans="1:24" x14ac:dyDescent="0.3">
      <c r="A1526" t="s">
        <v>3561</v>
      </c>
      <c r="B1526" t="s">
        <v>3562</v>
      </c>
      <c r="C1526">
        <v>1</v>
      </c>
      <c r="D1526" t="s">
        <v>11</v>
      </c>
      <c r="E1526" t="s">
        <v>21</v>
      </c>
      <c r="F1526" t="s">
        <v>22</v>
      </c>
      <c r="H1526" t="s">
        <v>71</v>
      </c>
      <c r="I1526" t="s">
        <v>3617</v>
      </c>
      <c r="J1526" t="s">
        <v>3561</v>
      </c>
      <c r="K1526" t="s">
        <v>868</v>
      </c>
      <c r="L1526" t="s">
        <v>3618</v>
      </c>
      <c r="M1526" t="s">
        <v>3561</v>
      </c>
      <c r="N1526" t="s">
        <v>3562</v>
      </c>
      <c r="Q1526" t="s">
        <v>3599</v>
      </c>
      <c r="R1526" t="s">
        <v>3599</v>
      </c>
      <c r="S1526" t="s">
        <v>3599</v>
      </c>
      <c r="T1526">
        <v>1</v>
      </c>
      <c r="U1526" t="s">
        <v>868</v>
      </c>
      <c r="V1526">
        <v>5</v>
      </c>
      <c r="X1526">
        <v>540803638.25</v>
      </c>
    </row>
    <row r="1527" spans="1:24" x14ac:dyDescent="0.3">
      <c r="A1527" t="s">
        <v>3563</v>
      </c>
      <c r="B1527" t="s">
        <v>3564</v>
      </c>
      <c r="C1527">
        <v>1</v>
      </c>
      <c r="D1527" t="s">
        <v>11</v>
      </c>
      <c r="E1527" t="s">
        <v>21</v>
      </c>
      <c r="F1527" t="s">
        <v>22</v>
      </c>
      <c r="H1527" t="s">
        <v>71</v>
      </c>
      <c r="I1527" t="s">
        <v>3617</v>
      </c>
      <c r="J1527" t="s">
        <v>3563</v>
      </c>
      <c r="K1527" t="s">
        <v>868</v>
      </c>
      <c r="L1527" t="s">
        <v>3618</v>
      </c>
      <c r="M1527" t="s">
        <v>3563</v>
      </c>
      <c r="N1527" t="s">
        <v>3564</v>
      </c>
      <c r="Q1527" t="s">
        <v>3599</v>
      </c>
      <c r="R1527" t="s">
        <v>3599</v>
      </c>
      <c r="S1527" t="s">
        <v>3599</v>
      </c>
      <c r="T1527">
        <v>1</v>
      </c>
      <c r="U1527" t="s">
        <v>868</v>
      </c>
      <c r="V1527">
        <v>5</v>
      </c>
      <c r="X1527">
        <v>442334352.72999972</v>
      </c>
    </row>
    <row r="1528" spans="1:24" x14ac:dyDescent="0.3">
      <c r="A1528" t="s">
        <v>3565</v>
      </c>
      <c r="B1528" t="s">
        <v>3566</v>
      </c>
      <c r="C1528">
        <v>1</v>
      </c>
      <c r="D1528" t="s">
        <v>11</v>
      </c>
      <c r="E1528" t="s">
        <v>21</v>
      </c>
      <c r="F1528" t="s">
        <v>22</v>
      </c>
      <c r="H1528" t="s">
        <v>71</v>
      </c>
      <c r="I1528" t="s">
        <v>3617</v>
      </c>
      <c r="J1528" t="s">
        <v>3565</v>
      </c>
      <c r="K1528" t="s">
        <v>868</v>
      </c>
      <c r="L1528" t="s">
        <v>3618</v>
      </c>
      <c r="M1528" t="s">
        <v>3565</v>
      </c>
      <c r="N1528" t="s">
        <v>3566</v>
      </c>
      <c r="Q1528" t="s">
        <v>3599</v>
      </c>
      <c r="R1528" t="s">
        <v>3599</v>
      </c>
      <c r="S1528" t="s">
        <v>3599</v>
      </c>
      <c r="T1528">
        <v>1</v>
      </c>
      <c r="U1528" t="s">
        <v>868</v>
      </c>
      <c r="V1528">
        <v>5</v>
      </c>
      <c r="X1528">
        <v>412507282.59000003</v>
      </c>
    </row>
    <row r="1529" spans="1:24" x14ac:dyDescent="0.3">
      <c r="A1529" t="s">
        <v>3567</v>
      </c>
      <c r="B1529" t="s">
        <v>3568</v>
      </c>
      <c r="C1529">
        <v>1</v>
      </c>
      <c r="D1529" t="s">
        <v>11</v>
      </c>
      <c r="E1529" t="s">
        <v>21</v>
      </c>
      <c r="F1529" t="s">
        <v>22</v>
      </c>
      <c r="H1529" t="s">
        <v>71</v>
      </c>
      <c r="I1529" t="s">
        <v>3617</v>
      </c>
      <c r="J1529" t="s">
        <v>3567</v>
      </c>
      <c r="K1529" t="s">
        <v>868</v>
      </c>
      <c r="L1529" t="s">
        <v>3618</v>
      </c>
      <c r="M1529" t="s">
        <v>3567</v>
      </c>
      <c r="N1529" t="s">
        <v>3568</v>
      </c>
      <c r="Q1529" t="s">
        <v>3599</v>
      </c>
      <c r="R1529" t="s">
        <v>3599</v>
      </c>
      <c r="S1529" t="s">
        <v>3599</v>
      </c>
      <c r="T1529">
        <v>1</v>
      </c>
      <c r="U1529" t="s">
        <v>868</v>
      </c>
      <c r="V1529">
        <v>5</v>
      </c>
      <c r="X1529">
        <v>295072231.75999987</v>
      </c>
    </row>
    <row r="1530" spans="1:24" x14ac:dyDescent="0.3">
      <c r="A1530" t="s">
        <v>3569</v>
      </c>
      <c r="B1530" t="s">
        <v>3570</v>
      </c>
      <c r="C1530">
        <v>1</v>
      </c>
      <c r="D1530" t="s">
        <v>11</v>
      </c>
      <c r="E1530" t="s">
        <v>21</v>
      </c>
      <c r="F1530" t="s">
        <v>22</v>
      </c>
      <c r="H1530" t="s">
        <v>71</v>
      </c>
      <c r="I1530" t="s">
        <v>3617</v>
      </c>
      <c r="J1530" t="s">
        <v>3569</v>
      </c>
      <c r="K1530" t="s">
        <v>868</v>
      </c>
      <c r="L1530" t="s">
        <v>3618</v>
      </c>
      <c r="M1530" t="s">
        <v>3569</v>
      </c>
      <c r="N1530" t="s">
        <v>3570</v>
      </c>
      <c r="Q1530" t="s">
        <v>3599</v>
      </c>
      <c r="R1530" t="s">
        <v>3599</v>
      </c>
      <c r="S1530" t="s">
        <v>3599</v>
      </c>
      <c r="T1530">
        <v>1</v>
      </c>
      <c r="U1530" t="s">
        <v>868</v>
      </c>
      <c r="V1530">
        <v>5</v>
      </c>
      <c r="X1530">
        <v>264414060.05000001</v>
      </c>
    </row>
    <row r="1531" spans="1:24" x14ac:dyDescent="0.3">
      <c r="A1531" t="s">
        <v>3571</v>
      </c>
      <c r="B1531" t="s">
        <v>3572</v>
      </c>
      <c r="C1531">
        <v>1</v>
      </c>
      <c r="D1531" t="s">
        <v>11</v>
      </c>
      <c r="E1531" t="s">
        <v>21</v>
      </c>
      <c r="F1531" t="s">
        <v>22</v>
      </c>
      <c r="H1531" t="s">
        <v>71</v>
      </c>
      <c r="I1531" t="s">
        <v>3617</v>
      </c>
      <c r="J1531" t="s">
        <v>3571</v>
      </c>
      <c r="K1531" t="s">
        <v>868</v>
      </c>
      <c r="L1531" t="s">
        <v>3618</v>
      </c>
      <c r="M1531" t="s">
        <v>3571</v>
      </c>
      <c r="N1531" t="s">
        <v>3572</v>
      </c>
      <c r="Q1531" t="s">
        <v>3599</v>
      </c>
      <c r="R1531" t="s">
        <v>3599</v>
      </c>
      <c r="S1531" t="s">
        <v>3599</v>
      </c>
      <c r="T1531">
        <v>1</v>
      </c>
      <c r="U1531" t="s">
        <v>868</v>
      </c>
      <c r="V1531">
        <v>5</v>
      </c>
      <c r="X1531">
        <v>222416675</v>
      </c>
    </row>
    <row r="1532" spans="1:24" x14ac:dyDescent="0.3">
      <c r="A1532" t="s">
        <v>3573</v>
      </c>
      <c r="B1532" t="s">
        <v>3574</v>
      </c>
      <c r="C1532">
        <v>1</v>
      </c>
      <c r="D1532" t="s">
        <v>11</v>
      </c>
      <c r="E1532" t="s">
        <v>21</v>
      </c>
      <c r="F1532" t="s">
        <v>22</v>
      </c>
      <c r="H1532" t="s">
        <v>71</v>
      </c>
      <c r="I1532" t="s">
        <v>3617</v>
      </c>
      <c r="J1532" t="s">
        <v>3573</v>
      </c>
      <c r="K1532" t="s">
        <v>868</v>
      </c>
      <c r="L1532" t="s">
        <v>3618</v>
      </c>
      <c r="M1532" t="s">
        <v>3573</v>
      </c>
      <c r="N1532" t="s">
        <v>3574</v>
      </c>
      <c r="Q1532" t="s">
        <v>3599</v>
      </c>
      <c r="R1532" t="s">
        <v>3599</v>
      </c>
      <c r="S1532" t="s">
        <v>3599</v>
      </c>
      <c r="T1532">
        <v>1</v>
      </c>
      <c r="U1532" t="s">
        <v>868</v>
      </c>
      <c r="V1532">
        <v>5</v>
      </c>
      <c r="X1532">
        <v>155685895</v>
      </c>
    </row>
    <row r="1533" spans="1:24" x14ac:dyDescent="0.3">
      <c r="A1533" t="s">
        <v>3575</v>
      </c>
      <c r="B1533" t="s">
        <v>3576</v>
      </c>
      <c r="C1533">
        <v>1</v>
      </c>
      <c r="D1533" t="s">
        <v>11</v>
      </c>
      <c r="E1533" t="s">
        <v>21</v>
      </c>
      <c r="F1533" t="s">
        <v>22</v>
      </c>
      <c r="H1533" t="s">
        <v>71</v>
      </c>
      <c r="I1533" t="s">
        <v>3617</v>
      </c>
      <c r="J1533" t="s">
        <v>3575</v>
      </c>
      <c r="K1533" t="s">
        <v>868</v>
      </c>
      <c r="L1533" t="s">
        <v>3618</v>
      </c>
      <c r="M1533" t="s">
        <v>3575</v>
      </c>
      <c r="N1533" t="s">
        <v>3576</v>
      </c>
      <c r="Q1533" t="s">
        <v>3599</v>
      </c>
      <c r="R1533" t="s">
        <v>3599</v>
      </c>
      <c r="S1533" t="s">
        <v>3599</v>
      </c>
      <c r="T1533">
        <v>1</v>
      </c>
      <c r="U1533" t="s">
        <v>868</v>
      </c>
      <c r="V1533">
        <v>5</v>
      </c>
      <c r="X1533">
        <v>136751818.72</v>
      </c>
    </row>
    <row r="1534" spans="1:24" x14ac:dyDescent="0.3">
      <c r="A1534" t="s">
        <v>3577</v>
      </c>
      <c r="B1534" t="s">
        <v>3578</v>
      </c>
      <c r="C1534">
        <v>1</v>
      </c>
      <c r="D1534" t="s">
        <v>11</v>
      </c>
      <c r="E1534" t="s">
        <v>21</v>
      </c>
      <c r="F1534" t="s">
        <v>22</v>
      </c>
      <c r="H1534" t="s">
        <v>71</v>
      </c>
      <c r="I1534" t="s">
        <v>3617</v>
      </c>
      <c r="J1534" t="s">
        <v>3577</v>
      </c>
      <c r="K1534" t="s">
        <v>868</v>
      </c>
      <c r="L1534" t="s">
        <v>3618</v>
      </c>
      <c r="M1534" t="s">
        <v>3577</v>
      </c>
      <c r="N1534" t="s">
        <v>3578</v>
      </c>
      <c r="Q1534" t="s">
        <v>3599</v>
      </c>
      <c r="R1534" t="s">
        <v>3599</v>
      </c>
      <c r="S1534" t="s">
        <v>3599</v>
      </c>
      <c r="T1534">
        <v>1</v>
      </c>
      <c r="U1534" t="s">
        <v>868</v>
      </c>
      <c r="V1534">
        <v>5</v>
      </c>
      <c r="X1534">
        <v>110060127.22</v>
      </c>
    </row>
    <row r="1535" spans="1:24" x14ac:dyDescent="0.3">
      <c r="A1535" t="s">
        <v>3579</v>
      </c>
      <c r="B1535" t="s">
        <v>3580</v>
      </c>
      <c r="C1535">
        <v>1</v>
      </c>
      <c r="D1535" t="s">
        <v>11</v>
      </c>
      <c r="E1535" t="s">
        <v>21</v>
      </c>
      <c r="F1535" t="s">
        <v>22</v>
      </c>
      <c r="H1535" t="s">
        <v>71</v>
      </c>
      <c r="I1535" t="s">
        <v>3617</v>
      </c>
      <c r="K1535" t="s">
        <v>868</v>
      </c>
      <c r="L1535" t="s">
        <v>3618</v>
      </c>
      <c r="N1535" t="s">
        <v>3580</v>
      </c>
      <c r="Q1535" t="s">
        <v>3599</v>
      </c>
      <c r="R1535" t="s">
        <v>3599</v>
      </c>
      <c r="S1535" t="s">
        <v>3599</v>
      </c>
      <c r="T1535">
        <v>1</v>
      </c>
      <c r="U1535" t="s">
        <v>868</v>
      </c>
      <c r="V1535">
        <v>5</v>
      </c>
      <c r="X1535">
        <v>109262217.06999999</v>
      </c>
    </row>
    <row r="1536" spans="1:24" x14ac:dyDescent="0.3">
      <c r="A1536" t="s">
        <v>3581</v>
      </c>
      <c r="B1536" t="s">
        <v>3582</v>
      </c>
      <c r="C1536">
        <v>1</v>
      </c>
      <c r="D1536" t="s">
        <v>11</v>
      </c>
      <c r="E1536" t="s">
        <v>21</v>
      </c>
      <c r="F1536" t="s">
        <v>22</v>
      </c>
      <c r="H1536" t="s">
        <v>71</v>
      </c>
      <c r="I1536" t="s">
        <v>3617</v>
      </c>
      <c r="J1536" t="s">
        <v>3581</v>
      </c>
      <c r="K1536" t="s">
        <v>868</v>
      </c>
      <c r="L1536" t="s">
        <v>3618</v>
      </c>
      <c r="M1536" t="s">
        <v>3581</v>
      </c>
      <c r="N1536" t="s">
        <v>3582</v>
      </c>
      <c r="Q1536" t="s">
        <v>3599</v>
      </c>
      <c r="R1536" t="s">
        <v>3599</v>
      </c>
      <c r="S1536" t="s">
        <v>3599</v>
      </c>
      <c r="T1536">
        <v>1</v>
      </c>
      <c r="U1536" t="s">
        <v>868</v>
      </c>
      <c r="V1536">
        <v>5</v>
      </c>
      <c r="X1536">
        <v>99028637.349999994</v>
      </c>
    </row>
    <row r="1537" spans="1:24" x14ac:dyDescent="0.3">
      <c r="A1537" t="s">
        <v>3583</v>
      </c>
      <c r="B1537" t="s">
        <v>3584</v>
      </c>
      <c r="C1537">
        <v>1</v>
      </c>
      <c r="D1537" t="s">
        <v>11</v>
      </c>
      <c r="E1537" t="s">
        <v>21</v>
      </c>
      <c r="F1537" t="s">
        <v>22</v>
      </c>
      <c r="H1537" t="s">
        <v>71</v>
      </c>
      <c r="I1537" t="s">
        <v>3617</v>
      </c>
      <c r="K1537" t="s">
        <v>868</v>
      </c>
      <c r="L1537" t="s">
        <v>3618</v>
      </c>
      <c r="N1537" t="s">
        <v>3584</v>
      </c>
      <c r="Q1537" t="s">
        <v>3599</v>
      </c>
      <c r="R1537" t="s">
        <v>3599</v>
      </c>
      <c r="S1537" t="s">
        <v>3599</v>
      </c>
      <c r="T1537">
        <v>1</v>
      </c>
      <c r="U1537" t="s">
        <v>868</v>
      </c>
      <c r="V1537">
        <v>5</v>
      </c>
      <c r="X1537">
        <v>89096426.099999994</v>
      </c>
    </row>
    <row r="1538" spans="1:24" x14ac:dyDescent="0.3">
      <c r="A1538" t="s">
        <v>3585</v>
      </c>
      <c r="B1538" t="s">
        <v>3586</v>
      </c>
      <c r="C1538">
        <v>1</v>
      </c>
      <c r="D1538" t="s">
        <v>11</v>
      </c>
      <c r="E1538" t="s">
        <v>21</v>
      </c>
      <c r="F1538" t="s">
        <v>22</v>
      </c>
      <c r="H1538" t="s">
        <v>71</v>
      </c>
      <c r="I1538" t="s">
        <v>3617</v>
      </c>
      <c r="J1538" t="s">
        <v>3585</v>
      </c>
      <c r="K1538" t="s">
        <v>868</v>
      </c>
      <c r="L1538" t="s">
        <v>3618</v>
      </c>
      <c r="M1538" t="s">
        <v>3585</v>
      </c>
      <c r="N1538" t="s">
        <v>3586</v>
      </c>
      <c r="Q1538" t="s">
        <v>3599</v>
      </c>
      <c r="R1538" t="s">
        <v>3599</v>
      </c>
      <c r="S1538" t="s">
        <v>3599</v>
      </c>
      <c r="T1538">
        <v>1</v>
      </c>
      <c r="U1538" t="s">
        <v>868</v>
      </c>
      <c r="V1538">
        <v>5</v>
      </c>
      <c r="X1538">
        <v>65096730</v>
      </c>
    </row>
    <row r="1539" spans="1:24" x14ac:dyDescent="0.3">
      <c r="A1539" t="s">
        <v>3587</v>
      </c>
      <c r="B1539" t="s">
        <v>3588</v>
      </c>
      <c r="C1539">
        <v>1</v>
      </c>
      <c r="D1539" t="s">
        <v>11</v>
      </c>
      <c r="E1539" t="s">
        <v>21</v>
      </c>
      <c r="F1539" t="s">
        <v>22</v>
      </c>
      <c r="H1539" t="s">
        <v>71</v>
      </c>
      <c r="I1539" t="s">
        <v>3617</v>
      </c>
      <c r="J1539" t="s">
        <v>3587</v>
      </c>
      <c r="K1539" t="s">
        <v>868</v>
      </c>
      <c r="L1539" t="s">
        <v>3618</v>
      </c>
      <c r="M1539" t="s">
        <v>3587</v>
      </c>
      <c r="N1539" t="s">
        <v>3588</v>
      </c>
      <c r="Q1539" t="s">
        <v>3599</v>
      </c>
      <c r="R1539" t="s">
        <v>3599</v>
      </c>
      <c r="S1539" t="s">
        <v>3599</v>
      </c>
      <c r="T1539">
        <v>1</v>
      </c>
      <c r="U1539" t="s">
        <v>868</v>
      </c>
      <c r="V1539">
        <v>5</v>
      </c>
      <c r="X1539">
        <v>54410644.68</v>
      </c>
    </row>
    <row r="1540" spans="1:24" x14ac:dyDescent="0.3">
      <c r="A1540" t="s">
        <v>3589</v>
      </c>
      <c r="B1540" t="s">
        <v>3590</v>
      </c>
      <c r="C1540">
        <v>1</v>
      </c>
      <c r="D1540" t="s">
        <v>11</v>
      </c>
      <c r="E1540" t="s">
        <v>21</v>
      </c>
      <c r="F1540" t="s">
        <v>22</v>
      </c>
      <c r="H1540" t="s">
        <v>71</v>
      </c>
      <c r="I1540" t="s">
        <v>3617</v>
      </c>
      <c r="J1540" t="s">
        <v>3589</v>
      </c>
      <c r="K1540" t="s">
        <v>868</v>
      </c>
      <c r="L1540" t="s">
        <v>3618</v>
      </c>
      <c r="M1540" t="s">
        <v>3589</v>
      </c>
      <c r="N1540" t="s">
        <v>3590</v>
      </c>
      <c r="Q1540" t="s">
        <v>3599</v>
      </c>
      <c r="R1540" t="s">
        <v>3599</v>
      </c>
      <c r="S1540" t="s">
        <v>3599</v>
      </c>
      <c r="T1540">
        <v>1</v>
      </c>
      <c r="U1540" t="s">
        <v>868</v>
      </c>
      <c r="V1540">
        <v>5</v>
      </c>
      <c r="X1540">
        <v>45556500</v>
      </c>
    </row>
    <row r="1541" spans="1:24" x14ac:dyDescent="0.3">
      <c r="A1541" t="s">
        <v>3591</v>
      </c>
      <c r="B1541" t="s">
        <v>3592</v>
      </c>
      <c r="C1541">
        <v>1</v>
      </c>
      <c r="D1541" t="s">
        <v>11</v>
      </c>
      <c r="E1541" t="s">
        <v>21</v>
      </c>
      <c r="F1541" t="s">
        <v>22</v>
      </c>
      <c r="H1541" t="s">
        <v>71</v>
      </c>
      <c r="I1541" t="s">
        <v>3617</v>
      </c>
      <c r="K1541" t="s">
        <v>868</v>
      </c>
      <c r="L1541" t="s">
        <v>3618</v>
      </c>
      <c r="N1541" t="s">
        <v>3592</v>
      </c>
      <c r="Q1541" t="s">
        <v>3599</v>
      </c>
      <c r="R1541" t="s">
        <v>3599</v>
      </c>
      <c r="S1541" t="s">
        <v>3599</v>
      </c>
      <c r="T1541">
        <v>1</v>
      </c>
      <c r="U1541" t="s">
        <v>868</v>
      </c>
      <c r="V1541">
        <v>5</v>
      </c>
      <c r="X1541">
        <v>42275887.5</v>
      </c>
    </row>
    <row r="1542" spans="1:24" x14ac:dyDescent="0.3">
      <c r="A1542" t="s">
        <v>3593</v>
      </c>
      <c r="B1542" t="s">
        <v>3594</v>
      </c>
      <c r="C1542">
        <v>1</v>
      </c>
      <c r="D1542" t="s">
        <v>11</v>
      </c>
      <c r="E1542" t="s">
        <v>21</v>
      </c>
      <c r="F1542" t="s">
        <v>22</v>
      </c>
      <c r="H1542" t="s">
        <v>71</v>
      </c>
      <c r="I1542" t="s">
        <v>3617</v>
      </c>
      <c r="K1542" t="s">
        <v>868</v>
      </c>
      <c r="L1542" t="s">
        <v>3618</v>
      </c>
      <c r="N1542" t="s">
        <v>3594</v>
      </c>
      <c r="Q1542" t="s">
        <v>3599</v>
      </c>
      <c r="R1542" t="s">
        <v>3599</v>
      </c>
      <c r="S1542" t="s">
        <v>3599</v>
      </c>
      <c r="T1542">
        <v>1</v>
      </c>
      <c r="U1542" t="s">
        <v>868</v>
      </c>
      <c r="V1542">
        <v>5</v>
      </c>
      <c r="X1542">
        <v>40384887.859999999</v>
      </c>
    </row>
    <row r="1543" spans="1:24" x14ac:dyDescent="0.3">
      <c r="A1543" t="s">
        <v>3595</v>
      </c>
      <c r="B1543" t="s">
        <v>3596</v>
      </c>
      <c r="C1543">
        <v>1</v>
      </c>
      <c r="D1543" t="s">
        <v>11</v>
      </c>
      <c r="E1543" t="s">
        <v>21</v>
      </c>
      <c r="F1543" t="s">
        <v>22</v>
      </c>
      <c r="H1543" t="s">
        <v>71</v>
      </c>
      <c r="I1543" t="s">
        <v>3617</v>
      </c>
      <c r="K1543" t="s">
        <v>868</v>
      </c>
      <c r="L1543" t="s">
        <v>3618</v>
      </c>
      <c r="N1543" t="s">
        <v>3596</v>
      </c>
      <c r="Q1543" t="s">
        <v>3599</v>
      </c>
      <c r="R1543" t="s">
        <v>3599</v>
      </c>
      <c r="S1543" t="s">
        <v>3599</v>
      </c>
      <c r="T1543">
        <v>1</v>
      </c>
      <c r="U1543" t="s">
        <v>868</v>
      </c>
      <c r="V1543">
        <v>5</v>
      </c>
      <c r="X1543">
        <v>36686440.829999998</v>
      </c>
    </row>
    <row r="1544" spans="1:24" x14ac:dyDescent="0.3">
      <c r="A1544" t="s">
        <v>3597</v>
      </c>
      <c r="B1544" t="s">
        <v>3598</v>
      </c>
      <c r="C1544">
        <v>1</v>
      </c>
      <c r="D1544" t="s">
        <v>11</v>
      </c>
      <c r="E1544" t="s">
        <v>21</v>
      </c>
      <c r="F1544" t="s">
        <v>22</v>
      </c>
      <c r="H1544" t="s">
        <v>71</v>
      </c>
      <c r="I1544" t="s">
        <v>3617</v>
      </c>
      <c r="K1544" t="s">
        <v>868</v>
      </c>
      <c r="L1544" t="s">
        <v>3618</v>
      </c>
      <c r="N1544" t="s">
        <v>3598</v>
      </c>
      <c r="Q1544" t="s">
        <v>3599</v>
      </c>
      <c r="R1544" t="s">
        <v>3599</v>
      </c>
      <c r="S1544" t="s">
        <v>3599</v>
      </c>
      <c r="T1544">
        <v>1</v>
      </c>
      <c r="U1544" t="s">
        <v>868</v>
      </c>
      <c r="V1544">
        <v>5</v>
      </c>
      <c r="X1544">
        <v>35956054.900000006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F8F0-8016-4F01-85A6-F7A1A9ED7C76}">
  <dimension ref="A1:P110"/>
  <sheetViews>
    <sheetView zoomScale="110" zoomScaleNormal="110" workbookViewId="0"/>
  </sheetViews>
  <sheetFormatPr defaultColWidth="8.88671875" defaultRowHeight="13.8" x14ac:dyDescent="0.3"/>
  <cols>
    <col min="1" max="1" width="22.6640625" style="2" bestFit="1" customWidth="1"/>
    <col min="2" max="2" width="44.88671875" style="2" bestFit="1" customWidth="1"/>
    <col min="3" max="3" width="14.44140625" style="2" bestFit="1" customWidth="1"/>
    <col min="4" max="4" width="16.109375" style="2" bestFit="1" customWidth="1"/>
    <col min="5" max="5" width="80.88671875" style="2" bestFit="1" customWidth="1"/>
    <col min="6" max="6" width="24.44140625" style="2" bestFit="1" customWidth="1"/>
    <col min="7" max="7" width="28.88671875" style="2" bestFit="1" customWidth="1"/>
    <col min="8" max="8" width="31.77734375" style="2" bestFit="1" customWidth="1"/>
    <col min="9" max="9" width="24.5546875" style="2" bestFit="1" customWidth="1"/>
    <col min="10" max="10" width="10.88671875" style="2" bestFit="1" customWidth="1"/>
    <col min="11" max="12" width="15.109375" style="2" bestFit="1" customWidth="1"/>
    <col min="13" max="13" width="14.5546875" style="2" bestFit="1" customWidth="1"/>
    <col min="14" max="14" width="10.6640625" style="2" bestFit="1" customWidth="1"/>
    <col min="15" max="15" width="9.77734375" style="2" bestFit="1" customWidth="1"/>
    <col min="16" max="16" width="13.77734375" style="2" bestFit="1" customWidth="1"/>
    <col min="17" max="16384" width="8.88671875" style="2"/>
  </cols>
  <sheetData>
    <row r="1" spans="1:16" x14ac:dyDescent="0.3">
      <c r="A1" s="2" t="s">
        <v>295</v>
      </c>
      <c r="B1" s="2" t="s">
        <v>298</v>
      </c>
      <c r="C1" s="2" t="s">
        <v>299</v>
      </c>
      <c r="D1" s="17" t="s">
        <v>301</v>
      </c>
      <c r="E1" s="2" t="s">
        <v>305</v>
      </c>
      <c r="F1" s="2" t="s">
        <v>306</v>
      </c>
      <c r="G1" s="2" t="s">
        <v>307</v>
      </c>
      <c r="H1" s="2" t="s">
        <v>308</v>
      </c>
      <c r="I1" s="2" t="s">
        <v>3658</v>
      </c>
      <c r="J1" s="2" t="s">
        <v>3659</v>
      </c>
      <c r="K1" s="2" t="s">
        <v>3660</v>
      </c>
      <c r="L1" s="2" t="s">
        <v>3661</v>
      </c>
      <c r="M1" s="2" t="s">
        <v>3662</v>
      </c>
      <c r="N1" s="2" t="s">
        <v>3667</v>
      </c>
      <c r="O1" s="78" t="s">
        <v>3725</v>
      </c>
      <c r="P1" s="78" t="s">
        <v>3636</v>
      </c>
    </row>
    <row r="2" spans="1:16" hidden="1" x14ac:dyDescent="0.3">
      <c r="A2" s="81">
        <v>46112</v>
      </c>
      <c r="B2" s="79" t="s">
        <v>84</v>
      </c>
      <c r="C2" s="79" t="s">
        <v>83</v>
      </c>
      <c r="D2" s="80">
        <v>-178616961.60000002</v>
      </c>
      <c r="E2" s="79" t="s">
        <v>3831</v>
      </c>
      <c r="F2" s="79">
        <v>432780</v>
      </c>
      <c r="G2" s="79">
        <v>412.72</v>
      </c>
      <c r="H2" s="79" t="s">
        <v>3665</v>
      </c>
      <c r="I2" s="79" t="s">
        <v>72</v>
      </c>
      <c r="J2" s="79" t="s">
        <v>11</v>
      </c>
      <c r="K2" s="79" t="s">
        <v>22</v>
      </c>
      <c r="L2" s="79" t="s">
        <v>20</v>
      </c>
      <c r="M2" s="79"/>
      <c r="N2" s="79" t="s">
        <v>3668</v>
      </c>
      <c r="O2" s="79">
        <f>_xlfn.XLOOKUP(union_gastos[[#This Row],[Líneas de factura/Producto]],'concepto_id'!A:A,'concepto_id'!B:B)</f>
        <v>1</v>
      </c>
      <c r="P2" s="79" t="str">
        <f>_xlfn.XLOOKUP(union_gastos[[#This Row],[rubro_id]],rubros!B:B,rubros!A:A)</f>
        <v>NUTRICIÓN</v>
      </c>
    </row>
    <row r="3" spans="1:16" hidden="1" x14ac:dyDescent="0.3">
      <c r="A3" s="81">
        <v>46112</v>
      </c>
      <c r="B3" s="79" t="s">
        <v>81</v>
      </c>
      <c r="C3" s="79" t="s">
        <v>80</v>
      </c>
      <c r="D3" s="80">
        <v>-21985643.550000001</v>
      </c>
      <c r="E3" s="79" t="s">
        <v>171</v>
      </c>
      <c r="F3" s="79">
        <v>423330</v>
      </c>
      <c r="G3" s="79">
        <v>47</v>
      </c>
      <c r="H3" s="79" t="s">
        <v>3665</v>
      </c>
      <c r="I3" s="79" t="s">
        <v>72</v>
      </c>
      <c r="J3" s="79" t="s">
        <v>11</v>
      </c>
      <c r="K3" s="79" t="s">
        <v>22</v>
      </c>
      <c r="L3" s="79" t="s">
        <v>20</v>
      </c>
      <c r="M3" s="79"/>
      <c r="N3" s="79" t="s">
        <v>3668</v>
      </c>
      <c r="O3" s="79">
        <f>_xlfn.XLOOKUP(union_gastos[[#This Row],[Líneas de factura/Producto]],'concepto_id'!A:A,'concepto_id'!B:B)</f>
        <v>1</v>
      </c>
      <c r="P3" s="79" t="str">
        <f>_xlfn.XLOOKUP(union_gastos[[#This Row],[rubro_id]],rubros!B:B,rubros!A:A)</f>
        <v>NUTRICIÓN</v>
      </c>
    </row>
    <row r="4" spans="1:16" s="79" customFormat="1" ht="10.8" hidden="1" x14ac:dyDescent="0.25">
      <c r="A4" s="81">
        <v>46090</v>
      </c>
      <c r="B4" s="79" t="s">
        <v>103</v>
      </c>
      <c r="C4" s="79" t="s">
        <v>3982</v>
      </c>
      <c r="D4" s="82">
        <v>-12284041.65</v>
      </c>
      <c r="E4" s="79" t="s">
        <v>3621</v>
      </c>
      <c r="F4" s="79">
        <v>1</v>
      </c>
      <c r="G4" s="79">
        <v>8313807.3200000003</v>
      </c>
      <c r="H4" s="79" t="s">
        <v>34</v>
      </c>
      <c r="I4" s="79" t="s">
        <v>3621</v>
      </c>
      <c r="J4" s="79" t="s">
        <v>11</v>
      </c>
      <c r="K4" s="79" t="s">
        <v>22</v>
      </c>
      <c r="L4" s="79" t="s">
        <v>20</v>
      </c>
      <c r="N4" s="79" t="s">
        <v>3669</v>
      </c>
      <c r="O4" s="79">
        <f>_xlfn.XLOOKUP(union_gastos[[#This Row],[Líneas de factura/Producto]],'concepto_id'!A:A,'concepto_id'!B:B)</f>
        <v>11</v>
      </c>
      <c r="P4" s="79" t="str">
        <f>_xlfn.XLOOKUP(union_gastos[[#This Row],[rubro_id]],rubros!B:B,rubros!A:A)</f>
        <v>ENERGÍA</v>
      </c>
    </row>
    <row r="5" spans="1:16" s="79" customFormat="1" ht="10.8" hidden="1" x14ac:dyDescent="0.25">
      <c r="A5" s="81">
        <v>46104</v>
      </c>
      <c r="B5" s="79" t="s">
        <v>58</v>
      </c>
      <c r="C5" s="79" t="s">
        <v>3887</v>
      </c>
      <c r="D5" s="80">
        <v>-4849392.41</v>
      </c>
      <c r="E5" s="79" t="s">
        <v>3888</v>
      </c>
      <c r="F5" s="79">
        <v>20</v>
      </c>
      <c r="G5" s="79">
        <v>183017.71</v>
      </c>
      <c r="H5" s="79" t="s">
        <v>34</v>
      </c>
      <c r="I5" s="79" t="s">
        <v>55</v>
      </c>
      <c r="J5" s="79" t="s">
        <v>11</v>
      </c>
      <c r="K5" s="79" t="s">
        <v>22</v>
      </c>
      <c r="L5" s="79" t="s">
        <v>20</v>
      </c>
      <c r="N5" s="79" t="s">
        <v>3669</v>
      </c>
      <c r="O5" s="79">
        <f>_xlfn.XLOOKUP(union_gastos[[#This Row],[Líneas de factura/Producto]],'concepto_id'!A:A,'concepto_id'!B:B)</f>
        <v>3</v>
      </c>
      <c r="P5" s="79" t="str">
        <f>_xlfn.XLOOKUP(union_gastos[[#This Row],[rubro_id]],rubros!B:B,rubros!A:A)</f>
        <v>SANIDAD</v>
      </c>
    </row>
    <row r="6" spans="1:16" s="79" customFormat="1" ht="10.8" hidden="1" x14ac:dyDescent="0.25">
      <c r="A6" s="81">
        <v>46108</v>
      </c>
      <c r="B6" s="79" t="s">
        <v>3833</v>
      </c>
      <c r="C6" s="79" t="s">
        <v>3864</v>
      </c>
      <c r="D6" s="80">
        <v>-4772839.34</v>
      </c>
      <c r="E6" s="79" t="s">
        <v>3865</v>
      </c>
      <c r="F6" s="79">
        <v>1</v>
      </c>
      <c r="G6" s="79">
        <v>4772839.34</v>
      </c>
      <c r="H6" s="79" t="s">
        <v>34</v>
      </c>
      <c r="I6" s="79" t="s">
        <v>3663</v>
      </c>
      <c r="J6" s="79" t="s">
        <v>11</v>
      </c>
      <c r="K6" s="79" t="s">
        <v>22</v>
      </c>
      <c r="L6" s="79" t="s">
        <v>21</v>
      </c>
      <c r="N6" s="79" t="s">
        <v>3669</v>
      </c>
      <c r="O6" s="79">
        <f>_xlfn.XLOOKUP(union_gastos[[#This Row],[Líneas de factura/Producto]],'concepto_id'!A:A,'concepto_id'!B:B)</f>
        <v>8</v>
      </c>
      <c r="P6" s="79" t="str">
        <f>_xlfn.XLOOKUP(union_gastos[[#This Row],[rubro_id]],rubros!B:B,rubros!A:A)</f>
        <v>IMPUESTOS</v>
      </c>
    </row>
    <row r="7" spans="1:16" s="79" customFormat="1" ht="10.8" x14ac:dyDescent="0.25">
      <c r="A7" s="81">
        <v>46091</v>
      </c>
      <c r="B7" s="79" t="s">
        <v>66</v>
      </c>
      <c r="C7" s="79" t="s">
        <v>3973</v>
      </c>
      <c r="D7" s="80">
        <v>-4673960</v>
      </c>
      <c r="E7" s="79" t="s">
        <v>3974</v>
      </c>
      <c r="F7" s="79">
        <v>2000</v>
      </c>
      <c r="G7" s="79">
        <v>2278.48</v>
      </c>
      <c r="H7" s="79" t="s">
        <v>34</v>
      </c>
      <c r="I7" s="79" t="s">
        <v>51</v>
      </c>
      <c r="J7" s="79" t="s">
        <v>11</v>
      </c>
      <c r="K7" s="79" t="s">
        <v>36</v>
      </c>
      <c r="L7" s="79" t="s">
        <v>21</v>
      </c>
      <c r="N7" s="79" t="s">
        <v>3669</v>
      </c>
      <c r="O7" s="79">
        <f>_xlfn.XLOOKUP(union_gastos[[#This Row],[Líneas de factura/Producto]],'concepto_id'!A:A,'concepto_id'!B:B)</f>
        <v>7</v>
      </c>
      <c r="P7" s="79" t="str">
        <f>_xlfn.XLOOKUP(union_gastos[[#This Row],[rubro_id]],rubros!B:B,rubros!A:A)</f>
        <v>GASTOS OPERATIVOS</v>
      </c>
    </row>
    <row r="8" spans="1:16" s="79" customFormat="1" ht="10.8" hidden="1" x14ac:dyDescent="0.25">
      <c r="A8" s="81">
        <v>46094</v>
      </c>
      <c r="B8" s="79" t="s">
        <v>54</v>
      </c>
      <c r="C8" s="79" t="s">
        <v>3930</v>
      </c>
      <c r="D8" s="80">
        <v>-3748727.69</v>
      </c>
      <c r="E8" s="79" t="s">
        <v>3931</v>
      </c>
      <c r="F8" s="79">
        <v>26</v>
      </c>
      <c r="G8" s="79">
        <v>65042.2</v>
      </c>
      <c r="H8" s="79" t="s">
        <v>34</v>
      </c>
      <c r="I8" s="79" t="s">
        <v>55</v>
      </c>
      <c r="J8" s="79" t="s">
        <v>11</v>
      </c>
      <c r="K8" s="79" t="s">
        <v>22</v>
      </c>
      <c r="L8" s="79" t="s">
        <v>20</v>
      </c>
      <c r="N8" s="79" t="s">
        <v>3669</v>
      </c>
      <c r="O8" s="79">
        <f>_xlfn.XLOOKUP(union_gastos[[#This Row],[Líneas de factura/Producto]],'concepto_id'!A:A,'concepto_id'!B:B)</f>
        <v>3</v>
      </c>
      <c r="P8" s="79" t="str">
        <f>_xlfn.XLOOKUP(union_gastos[[#This Row],[rubro_id]],rubros!B:B,rubros!A:A)</f>
        <v>SANIDAD</v>
      </c>
    </row>
    <row r="9" spans="1:16" s="79" customFormat="1" ht="10.8" hidden="1" x14ac:dyDescent="0.25">
      <c r="A9" s="81">
        <v>46083</v>
      </c>
      <c r="B9" s="79" t="s">
        <v>60</v>
      </c>
      <c r="C9" s="79" t="s">
        <v>4021</v>
      </c>
      <c r="D9" s="80">
        <v>-3460600</v>
      </c>
      <c r="E9" s="79" t="s">
        <v>4022</v>
      </c>
      <c r="F9" s="79">
        <v>2</v>
      </c>
      <c r="G9" s="79">
        <v>550000</v>
      </c>
      <c r="H9" s="79" t="s">
        <v>34</v>
      </c>
      <c r="I9" s="79" t="s">
        <v>61</v>
      </c>
      <c r="J9" s="79" t="s">
        <v>11</v>
      </c>
      <c r="K9" s="79" t="s">
        <v>22</v>
      </c>
      <c r="L9" s="79" t="s">
        <v>21</v>
      </c>
      <c r="N9" s="79" t="s">
        <v>3669</v>
      </c>
      <c r="O9" s="79">
        <f>_xlfn.XLOOKUP(union_gastos[[#This Row],[Líneas de factura/Producto]],'concepto_id'!A:A,'concepto_id'!B:B)</f>
        <v>5</v>
      </c>
      <c r="P9" s="79" t="str">
        <f>_xlfn.XLOOKUP(union_gastos[[#This Row],[rubro_id]],rubros!B:B,rubros!A:A)</f>
        <v>FLETES</v>
      </c>
    </row>
    <row r="10" spans="1:16" s="79" customFormat="1" ht="10.8" hidden="1" x14ac:dyDescent="0.25">
      <c r="A10" s="81">
        <v>46092</v>
      </c>
      <c r="B10" s="79" t="s">
        <v>54</v>
      </c>
      <c r="C10" s="79" t="s">
        <v>3957</v>
      </c>
      <c r="D10" s="80">
        <v>-3042226.42</v>
      </c>
      <c r="E10" s="79" t="s">
        <v>3958</v>
      </c>
      <c r="F10" s="79">
        <v>44</v>
      </c>
      <c r="G10" s="79">
        <v>47926</v>
      </c>
      <c r="H10" s="79" t="s">
        <v>34</v>
      </c>
      <c r="I10" s="79" t="s">
        <v>55</v>
      </c>
      <c r="J10" s="79" t="s">
        <v>11</v>
      </c>
      <c r="K10" s="79" t="s">
        <v>22</v>
      </c>
      <c r="L10" s="79" t="s">
        <v>20</v>
      </c>
      <c r="N10" s="79" t="s">
        <v>3669</v>
      </c>
      <c r="O10" s="79">
        <f>_xlfn.XLOOKUP(union_gastos[[#This Row],[Líneas de factura/Producto]],'concepto_id'!A:A,'concepto_id'!B:B)</f>
        <v>3</v>
      </c>
      <c r="P10" s="79" t="str">
        <f>_xlfn.XLOOKUP(union_gastos[[#This Row],[rubro_id]],rubros!B:B,rubros!A:A)</f>
        <v>SANIDAD</v>
      </c>
    </row>
    <row r="11" spans="1:16" s="79" customFormat="1" ht="10.8" hidden="1" x14ac:dyDescent="0.25">
      <c r="A11" s="81">
        <v>46097</v>
      </c>
      <c r="B11" s="79" t="s">
        <v>58</v>
      </c>
      <c r="C11" s="79" t="s">
        <v>3919</v>
      </c>
      <c r="D11" s="80">
        <v>-3010390.43</v>
      </c>
      <c r="E11" s="79" t="s">
        <v>3920</v>
      </c>
      <c r="F11" s="79">
        <v>54</v>
      </c>
      <c r="G11" s="79">
        <v>45807.7</v>
      </c>
      <c r="H11" s="79" t="s">
        <v>34</v>
      </c>
      <c r="I11" s="79" t="s">
        <v>55</v>
      </c>
      <c r="J11" s="79" t="s">
        <v>11</v>
      </c>
      <c r="K11" s="79" t="s">
        <v>22</v>
      </c>
      <c r="L11" s="79" t="s">
        <v>20</v>
      </c>
      <c r="N11" s="79" t="s">
        <v>3669</v>
      </c>
      <c r="O11" s="79">
        <f>_xlfn.XLOOKUP(union_gastos[[#This Row],[Líneas de factura/Producto]],'concepto_id'!A:A,'concepto_id'!B:B)</f>
        <v>3</v>
      </c>
      <c r="P11" s="79" t="str">
        <f>_xlfn.XLOOKUP(union_gastos[[#This Row],[rubro_id]],rubros!B:B,rubros!A:A)</f>
        <v>SANIDAD</v>
      </c>
    </row>
    <row r="12" spans="1:16" s="79" customFormat="1" ht="10.8" hidden="1" x14ac:dyDescent="0.25">
      <c r="A12" s="81">
        <v>46092</v>
      </c>
      <c r="B12" s="79" t="s">
        <v>54</v>
      </c>
      <c r="C12" s="79" t="s">
        <v>3953</v>
      </c>
      <c r="D12" s="80">
        <v>-2889639</v>
      </c>
      <c r="E12" s="79" t="s">
        <v>3954</v>
      </c>
      <c r="F12" s="79">
        <v>54</v>
      </c>
      <c r="G12" s="79">
        <v>43307.449999900004</v>
      </c>
      <c r="H12" s="79" t="s">
        <v>34</v>
      </c>
      <c r="I12" s="79" t="s">
        <v>55</v>
      </c>
      <c r="J12" s="79" t="s">
        <v>11</v>
      </c>
      <c r="K12" s="79" t="s">
        <v>22</v>
      </c>
      <c r="L12" s="79" t="s">
        <v>20</v>
      </c>
      <c r="N12" s="79" t="s">
        <v>3669</v>
      </c>
      <c r="O12" s="79">
        <f>_xlfn.XLOOKUP(union_gastos[[#This Row],[Líneas de factura/Producto]],'concepto_id'!A:A,'concepto_id'!B:B)</f>
        <v>3</v>
      </c>
      <c r="P12" s="79" t="str">
        <f>_xlfn.XLOOKUP(union_gastos[[#This Row],[rubro_id]],rubros!B:B,rubros!A:A)</f>
        <v>SANIDAD</v>
      </c>
    </row>
    <row r="13" spans="1:16" hidden="1" x14ac:dyDescent="0.3">
      <c r="A13" s="81">
        <v>46094</v>
      </c>
      <c r="B13" s="79" t="s">
        <v>49</v>
      </c>
      <c r="C13" s="79" t="s">
        <v>3932</v>
      </c>
      <c r="D13" s="80">
        <v>-2494688.11</v>
      </c>
      <c r="E13" s="79" t="s">
        <v>3933</v>
      </c>
      <c r="F13" s="79">
        <v>1110</v>
      </c>
      <c r="G13" s="79">
        <v>1846.73</v>
      </c>
      <c r="H13" s="79" t="s">
        <v>34</v>
      </c>
      <c r="I13" s="79" t="s">
        <v>50</v>
      </c>
      <c r="J13" s="79" t="s">
        <v>11</v>
      </c>
      <c r="K13" s="79" t="s">
        <v>22</v>
      </c>
      <c r="L13" s="79" t="s">
        <v>20</v>
      </c>
      <c r="M13" s="79"/>
      <c r="N13" s="79" t="s">
        <v>3669</v>
      </c>
      <c r="O13" s="79">
        <f>_xlfn.XLOOKUP(union_gastos[[#This Row],[Líneas de factura/Producto]],'concepto_id'!A:A,'concepto_id'!B:B)</f>
        <v>4</v>
      </c>
      <c r="P13" s="79" t="str">
        <f>_xlfn.XLOOKUP(union_gastos[[#This Row],[rubro_id]],rubros!B:B,rubros!A:A)</f>
        <v>GENÉTICA</v>
      </c>
    </row>
    <row r="14" spans="1:16" hidden="1" x14ac:dyDescent="0.3">
      <c r="A14" s="81">
        <v>46093</v>
      </c>
      <c r="B14" s="79" t="s">
        <v>60</v>
      </c>
      <c r="C14" s="79" t="s">
        <v>3942</v>
      </c>
      <c r="D14" s="80">
        <v>-2129600</v>
      </c>
      <c r="E14" s="79" t="s">
        <v>3943</v>
      </c>
      <c r="F14" s="79">
        <v>4</v>
      </c>
      <c r="G14" s="79">
        <v>440000</v>
      </c>
      <c r="H14" s="79" t="s">
        <v>34</v>
      </c>
      <c r="I14" s="79" t="s">
        <v>61</v>
      </c>
      <c r="J14" s="79" t="s">
        <v>11</v>
      </c>
      <c r="K14" s="79" t="s">
        <v>22</v>
      </c>
      <c r="L14" s="79" t="s">
        <v>21</v>
      </c>
      <c r="M14" s="79"/>
      <c r="N14" s="79" t="s">
        <v>3669</v>
      </c>
      <c r="O14" s="79">
        <f>_xlfn.XLOOKUP(union_gastos[[#This Row],[Líneas de factura/Producto]],'concepto_id'!A:A,'concepto_id'!B:B)</f>
        <v>5</v>
      </c>
      <c r="P14" s="79" t="str">
        <f>_xlfn.XLOOKUP(union_gastos[[#This Row],[rubro_id]],rubros!B:B,rubros!A:A)</f>
        <v>FLETES</v>
      </c>
    </row>
    <row r="15" spans="1:16" hidden="1" x14ac:dyDescent="0.3">
      <c r="A15" s="81">
        <v>46092</v>
      </c>
      <c r="B15" s="79" t="s">
        <v>54</v>
      </c>
      <c r="C15" s="79" t="s">
        <v>3955</v>
      </c>
      <c r="D15" s="80">
        <v>-1814483.96</v>
      </c>
      <c r="E15" s="79" t="s">
        <v>3956</v>
      </c>
      <c r="F15" s="79">
        <v>14</v>
      </c>
      <c r="G15" s="79">
        <v>79129.3</v>
      </c>
      <c r="H15" s="79" t="s">
        <v>34</v>
      </c>
      <c r="I15" s="79" t="s">
        <v>55</v>
      </c>
      <c r="J15" s="79" t="s">
        <v>11</v>
      </c>
      <c r="K15" s="79" t="s">
        <v>22</v>
      </c>
      <c r="L15" s="79" t="s">
        <v>20</v>
      </c>
      <c r="M15" s="79"/>
      <c r="N15" s="79" t="s">
        <v>3669</v>
      </c>
      <c r="O15" s="79">
        <f>_xlfn.XLOOKUP(union_gastos[[#This Row],[Líneas de factura/Producto]],'concepto_id'!A:A,'concepto_id'!B:B)</f>
        <v>3</v>
      </c>
      <c r="P15" s="79" t="str">
        <f>_xlfn.XLOOKUP(union_gastos[[#This Row],[rubro_id]],rubros!B:B,rubros!A:A)</f>
        <v>SANIDAD</v>
      </c>
    </row>
    <row r="16" spans="1:16" x14ac:dyDescent="0.3">
      <c r="A16" s="81">
        <v>46084</v>
      </c>
      <c r="B16" s="79" t="s">
        <v>900</v>
      </c>
      <c r="C16" s="79" t="s">
        <v>4016</v>
      </c>
      <c r="D16" s="80">
        <v>-1615000</v>
      </c>
      <c r="E16" s="79" t="s">
        <v>3999</v>
      </c>
      <c r="F16" s="79">
        <v>95</v>
      </c>
      <c r="G16" s="79">
        <v>14049.59</v>
      </c>
      <c r="H16" s="79" t="s">
        <v>34</v>
      </c>
      <c r="I16" s="79" t="s">
        <v>51</v>
      </c>
      <c r="J16" s="79" t="s">
        <v>11</v>
      </c>
      <c r="K16" s="79" t="s">
        <v>22</v>
      </c>
      <c r="L16" s="79" t="s">
        <v>20</v>
      </c>
      <c r="M16" s="79"/>
      <c r="N16" s="79" t="s">
        <v>3669</v>
      </c>
      <c r="O16" s="79">
        <f>_xlfn.XLOOKUP(union_gastos[[#This Row],[Líneas de factura/Producto]],'concepto_id'!A:A,'concepto_id'!B:B)</f>
        <v>7</v>
      </c>
      <c r="P16" s="79" t="str">
        <f>_xlfn.XLOOKUP(union_gastos[[#This Row],[rubro_id]],rubros!B:B,rubros!A:A)</f>
        <v>GASTOS OPERATIVOS</v>
      </c>
    </row>
    <row r="17" spans="1:16" x14ac:dyDescent="0.3">
      <c r="A17" s="81">
        <v>46086</v>
      </c>
      <c r="B17" s="79" t="s">
        <v>900</v>
      </c>
      <c r="C17" s="79" t="s">
        <v>4000</v>
      </c>
      <c r="D17" s="80">
        <v>-1598000</v>
      </c>
      <c r="E17" s="79" t="s">
        <v>3875</v>
      </c>
      <c r="F17" s="79">
        <v>1</v>
      </c>
      <c r="G17" s="79">
        <v>1320661.1599999999</v>
      </c>
      <c r="H17" s="79" t="s">
        <v>34</v>
      </c>
      <c r="I17" s="79" t="s">
        <v>51</v>
      </c>
      <c r="J17" s="79" t="s">
        <v>11</v>
      </c>
      <c r="K17" s="79" t="s">
        <v>22</v>
      </c>
      <c r="L17" s="79" t="s">
        <v>20</v>
      </c>
      <c r="M17" s="79"/>
      <c r="N17" s="79" t="s">
        <v>3669</v>
      </c>
      <c r="O17" s="79">
        <f>_xlfn.XLOOKUP(union_gastos[[#This Row],[Líneas de factura/Producto]],'concepto_id'!A:A,'concepto_id'!B:B)</f>
        <v>7</v>
      </c>
      <c r="P17" s="79" t="str">
        <f>_xlfn.XLOOKUP(union_gastos[[#This Row],[rubro_id]],rubros!B:B,rubros!A:A)</f>
        <v>GASTOS OPERATIVOS</v>
      </c>
    </row>
    <row r="18" spans="1:16" s="79" customFormat="1" ht="10.8" x14ac:dyDescent="0.25">
      <c r="A18" s="81">
        <v>46091</v>
      </c>
      <c r="B18" s="79" t="s">
        <v>900</v>
      </c>
      <c r="C18" s="79" t="s">
        <v>3976</v>
      </c>
      <c r="D18" s="80">
        <v>-1564000</v>
      </c>
      <c r="E18" s="79" t="s">
        <v>3977</v>
      </c>
      <c r="F18" s="79">
        <v>1</v>
      </c>
      <c r="G18" s="79">
        <v>1292561.98</v>
      </c>
      <c r="H18" s="79" t="s">
        <v>34</v>
      </c>
      <c r="I18" s="79" t="s">
        <v>51</v>
      </c>
      <c r="J18" s="79" t="s">
        <v>11</v>
      </c>
      <c r="K18" s="79" t="s">
        <v>22</v>
      </c>
      <c r="L18" s="79" t="s">
        <v>20</v>
      </c>
      <c r="N18" s="79" t="s">
        <v>3669</v>
      </c>
      <c r="O18" s="79">
        <f>_xlfn.XLOOKUP(union_gastos[[#This Row],[Líneas de factura/Producto]],'concepto_id'!A:A,'concepto_id'!B:B)</f>
        <v>7</v>
      </c>
      <c r="P18" s="79" t="str">
        <f>_xlfn.XLOOKUP(union_gastos[[#This Row],[rubro_id]],rubros!B:B,rubros!A:A)</f>
        <v>GASTOS OPERATIVOS</v>
      </c>
    </row>
    <row r="19" spans="1:16" x14ac:dyDescent="0.3">
      <c r="A19" s="81">
        <v>46105</v>
      </c>
      <c r="B19" s="79" t="s">
        <v>900</v>
      </c>
      <c r="C19" s="79" t="s">
        <v>3885</v>
      </c>
      <c r="D19" s="80">
        <v>-1462000</v>
      </c>
      <c r="E19" s="79" t="s">
        <v>3875</v>
      </c>
      <c r="F19" s="79">
        <v>1</v>
      </c>
      <c r="G19" s="79">
        <v>1208264.46</v>
      </c>
      <c r="H19" s="79" t="s">
        <v>34</v>
      </c>
      <c r="I19" s="79" t="s">
        <v>51</v>
      </c>
      <c r="J19" s="79" t="s">
        <v>11</v>
      </c>
      <c r="K19" s="79" t="s">
        <v>22</v>
      </c>
      <c r="L19" s="79" t="s">
        <v>20</v>
      </c>
      <c r="M19" s="79"/>
      <c r="N19" s="79" t="s">
        <v>3669</v>
      </c>
      <c r="O19" s="79">
        <f>_xlfn.XLOOKUP(union_gastos[[#This Row],[Líneas de factura/Producto]],'concepto_id'!A:A,'concepto_id'!B:B)</f>
        <v>7</v>
      </c>
      <c r="P19" s="79" t="str">
        <f>_xlfn.XLOOKUP(union_gastos[[#This Row],[rubro_id]],rubros!B:B,rubros!A:A)</f>
        <v>GASTOS OPERATIVOS</v>
      </c>
    </row>
    <row r="20" spans="1:16" x14ac:dyDescent="0.3">
      <c r="A20" s="81">
        <v>46105</v>
      </c>
      <c r="B20" s="79" t="s">
        <v>900</v>
      </c>
      <c r="C20" s="79" t="s">
        <v>3886</v>
      </c>
      <c r="D20" s="80">
        <v>-1462000</v>
      </c>
      <c r="E20" s="79" t="s">
        <v>3875</v>
      </c>
      <c r="F20" s="79">
        <v>1</v>
      </c>
      <c r="G20" s="79">
        <v>1208264.46</v>
      </c>
      <c r="H20" s="79" t="s">
        <v>34</v>
      </c>
      <c r="I20" s="79" t="s">
        <v>51</v>
      </c>
      <c r="J20" s="79" t="s">
        <v>11</v>
      </c>
      <c r="K20" s="79" t="s">
        <v>22</v>
      </c>
      <c r="L20" s="79" t="s">
        <v>20</v>
      </c>
      <c r="M20" s="79"/>
      <c r="N20" s="79" t="s">
        <v>3669</v>
      </c>
      <c r="O20" s="79">
        <f>_xlfn.XLOOKUP(union_gastos[[#This Row],[Líneas de factura/Producto]],'concepto_id'!A:A,'concepto_id'!B:B)</f>
        <v>7</v>
      </c>
      <c r="P20" s="79" t="str">
        <f>_xlfn.XLOOKUP(union_gastos[[#This Row],[rubro_id]],rubros!B:B,rubros!A:A)</f>
        <v>GASTOS OPERATIVOS</v>
      </c>
    </row>
    <row r="21" spans="1:16" x14ac:dyDescent="0.3">
      <c r="A21" s="81">
        <v>46098</v>
      </c>
      <c r="B21" s="79" t="s">
        <v>900</v>
      </c>
      <c r="C21" s="79" t="s">
        <v>3916</v>
      </c>
      <c r="D21" s="80">
        <v>-1462000</v>
      </c>
      <c r="E21" s="79" t="s">
        <v>3875</v>
      </c>
      <c r="F21" s="79">
        <v>1</v>
      </c>
      <c r="G21" s="79">
        <v>1208264.46</v>
      </c>
      <c r="H21" s="79" t="s">
        <v>34</v>
      </c>
      <c r="I21" s="79" t="s">
        <v>51</v>
      </c>
      <c r="J21" s="79" t="s">
        <v>11</v>
      </c>
      <c r="K21" s="79" t="s">
        <v>22</v>
      </c>
      <c r="L21" s="79" t="s">
        <v>20</v>
      </c>
      <c r="M21" s="79"/>
      <c r="N21" s="79" t="s">
        <v>3669</v>
      </c>
      <c r="O21" s="79">
        <f>_xlfn.XLOOKUP(union_gastos[[#This Row],[Líneas de factura/Producto]],'concepto_id'!A:A,'concepto_id'!B:B)</f>
        <v>7</v>
      </c>
      <c r="P21" s="79" t="str">
        <f>_xlfn.XLOOKUP(union_gastos[[#This Row],[rubro_id]],rubros!B:B,rubros!A:A)</f>
        <v>GASTOS OPERATIVOS</v>
      </c>
    </row>
    <row r="22" spans="1:16" hidden="1" x14ac:dyDescent="0.3">
      <c r="A22" s="81">
        <v>46093</v>
      </c>
      <c r="B22" s="79" t="s">
        <v>60</v>
      </c>
      <c r="C22" s="79" t="s">
        <v>3944</v>
      </c>
      <c r="D22" s="80">
        <v>-1331000</v>
      </c>
      <c r="E22" s="79" t="s">
        <v>3945</v>
      </c>
      <c r="F22" s="79">
        <v>2</v>
      </c>
      <c r="G22" s="79">
        <v>550000</v>
      </c>
      <c r="H22" s="79" t="s">
        <v>34</v>
      </c>
      <c r="I22" s="79" t="s">
        <v>61</v>
      </c>
      <c r="J22" s="79" t="s">
        <v>11</v>
      </c>
      <c r="K22" s="79" t="s">
        <v>22</v>
      </c>
      <c r="L22" s="79" t="s">
        <v>21</v>
      </c>
      <c r="M22" s="79"/>
      <c r="N22" s="79" t="s">
        <v>3669</v>
      </c>
      <c r="O22" s="79">
        <f>_xlfn.XLOOKUP(union_gastos[[#This Row],[Líneas de factura/Producto]],'concepto_id'!A:A,'concepto_id'!B:B)</f>
        <v>5</v>
      </c>
      <c r="P22" s="79" t="str">
        <f>_xlfn.XLOOKUP(union_gastos[[#This Row],[rubro_id]],rubros!B:B,rubros!A:A)</f>
        <v>FLETES</v>
      </c>
    </row>
    <row r="23" spans="1:16" x14ac:dyDescent="0.3">
      <c r="A23" s="81">
        <v>46094</v>
      </c>
      <c r="B23" s="79" t="s">
        <v>562</v>
      </c>
      <c r="C23" s="79" t="s">
        <v>3934</v>
      </c>
      <c r="D23" s="80">
        <v>-1171280</v>
      </c>
      <c r="E23" s="79" t="s">
        <v>3935</v>
      </c>
      <c r="F23" s="79">
        <v>4</v>
      </c>
      <c r="G23" s="79">
        <v>242000</v>
      </c>
      <c r="H23" s="79" t="s">
        <v>34</v>
      </c>
      <c r="I23" s="79" t="s">
        <v>51</v>
      </c>
      <c r="J23" s="79" t="s">
        <v>11</v>
      </c>
      <c r="K23" s="79" t="s">
        <v>22</v>
      </c>
      <c r="L23" s="79" t="s">
        <v>21</v>
      </c>
      <c r="M23" s="79"/>
      <c r="N23" s="79" t="s">
        <v>3669</v>
      </c>
      <c r="O23" s="79">
        <f>_xlfn.XLOOKUP(union_gastos[[#This Row],[Líneas de factura/Producto]],'concepto_id'!A:A,'concepto_id'!B:B)</f>
        <v>7</v>
      </c>
      <c r="P23" s="79" t="str">
        <f>_xlfn.XLOOKUP(union_gastos[[#This Row],[rubro_id]],rubros!B:B,rubros!A:A)</f>
        <v>GASTOS OPERATIVOS</v>
      </c>
    </row>
    <row r="24" spans="1:16" hidden="1" x14ac:dyDescent="0.3">
      <c r="A24" s="81">
        <v>46100</v>
      </c>
      <c r="B24" s="79" t="s">
        <v>49</v>
      </c>
      <c r="C24" s="79" t="s">
        <v>3901</v>
      </c>
      <c r="D24" s="80">
        <v>-1163184.3600000001</v>
      </c>
      <c r="E24" s="79" t="s">
        <v>3849</v>
      </c>
      <c r="F24" s="79">
        <v>82</v>
      </c>
      <c r="G24" s="79">
        <v>10264.94</v>
      </c>
      <c r="H24" s="79" t="s">
        <v>34</v>
      </c>
      <c r="I24" s="79" t="s">
        <v>50</v>
      </c>
      <c r="J24" s="79" t="s">
        <v>11</v>
      </c>
      <c r="K24" s="79" t="s">
        <v>22</v>
      </c>
      <c r="L24" s="79" t="s">
        <v>20</v>
      </c>
      <c r="M24" s="79"/>
      <c r="N24" s="79" t="s">
        <v>3669</v>
      </c>
      <c r="O24" s="79">
        <f>_xlfn.XLOOKUP(union_gastos[[#This Row],[Líneas de factura/Producto]],'concepto_id'!A:A,'concepto_id'!B:B)</f>
        <v>4</v>
      </c>
      <c r="P24" s="79" t="str">
        <f>_xlfn.XLOOKUP(union_gastos[[#This Row],[rubro_id]],rubros!B:B,rubros!A:A)</f>
        <v>GENÉTICA</v>
      </c>
    </row>
    <row r="25" spans="1:16" x14ac:dyDescent="0.3">
      <c r="A25" s="81">
        <v>46107</v>
      </c>
      <c r="B25" s="79" t="s">
        <v>900</v>
      </c>
      <c r="C25" s="79" t="s">
        <v>3874</v>
      </c>
      <c r="D25" s="80">
        <v>-952000</v>
      </c>
      <c r="E25" s="79" t="s">
        <v>3875</v>
      </c>
      <c r="F25" s="79">
        <v>1</v>
      </c>
      <c r="G25" s="79">
        <v>786776.86</v>
      </c>
      <c r="H25" s="79" t="s">
        <v>34</v>
      </c>
      <c r="I25" s="79" t="s">
        <v>51</v>
      </c>
      <c r="J25" s="79" t="s">
        <v>11</v>
      </c>
      <c r="K25" s="79" t="s">
        <v>22</v>
      </c>
      <c r="L25" s="79" t="s">
        <v>20</v>
      </c>
      <c r="M25" s="79"/>
      <c r="N25" s="79" t="s">
        <v>3669</v>
      </c>
      <c r="O25" s="79">
        <f>_xlfn.XLOOKUP(union_gastos[[#This Row],[Líneas de factura/Producto]],'concepto_id'!A:A,'concepto_id'!B:B)</f>
        <v>7</v>
      </c>
      <c r="P25" s="79" t="str">
        <f>_xlfn.XLOOKUP(union_gastos[[#This Row],[rubro_id]],rubros!B:B,rubros!A:A)</f>
        <v>GASTOS OPERATIVOS</v>
      </c>
    </row>
    <row r="26" spans="1:16" x14ac:dyDescent="0.3">
      <c r="A26" s="81">
        <v>46101</v>
      </c>
      <c r="B26" s="79" t="s">
        <v>900</v>
      </c>
      <c r="C26" s="79" t="s">
        <v>3896</v>
      </c>
      <c r="D26" s="80">
        <v>-952000</v>
      </c>
      <c r="E26" s="79" t="s">
        <v>3875</v>
      </c>
      <c r="F26" s="79">
        <v>1</v>
      </c>
      <c r="G26" s="79">
        <v>786776.86</v>
      </c>
      <c r="H26" s="79" t="s">
        <v>34</v>
      </c>
      <c r="I26" s="79" t="s">
        <v>51</v>
      </c>
      <c r="J26" s="79" t="s">
        <v>11</v>
      </c>
      <c r="K26" s="79" t="s">
        <v>22</v>
      </c>
      <c r="L26" s="79" t="s">
        <v>20</v>
      </c>
      <c r="M26" s="79"/>
      <c r="N26" s="79" t="s">
        <v>3669</v>
      </c>
      <c r="O26" s="79">
        <f>_xlfn.XLOOKUP(union_gastos[[#This Row],[Líneas de factura/Producto]],'concepto_id'!A:A,'concepto_id'!B:B)</f>
        <v>7</v>
      </c>
      <c r="P26" s="79" t="str">
        <f>_xlfn.XLOOKUP(union_gastos[[#This Row],[rubro_id]],rubros!B:B,rubros!A:A)</f>
        <v>GASTOS OPERATIVOS</v>
      </c>
    </row>
    <row r="27" spans="1:16" hidden="1" x14ac:dyDescent="0.3">
      <c r="A27" s="81">
        <v>46112</v>
      </c>
      <c r="B27" s="79" t="s">
        <v>49</v>
      </c>
      <c r="C27" s="79" t="s">
        <v>3848</v>
      </c>
      <c r="D27" s="80">
        <v>-913335.72</v>
      </c>
      <c r="E27" s="79" t="s">
        <v>3849</v>
      </c>
      <c r="F27" s="79">
        <v>62</v>
      </c>
      <c r="G27" s="79">
        <v>10264.94</v>
      </c>
      <c r="H27" s="79" t="s">
        <v>34</v>
      </c>
      <c r="I27" s="79" t="s">
        <v>50</v>
      </c>
      <c r="J27" s="79" t="s">
        <v>11</v>
      </c>
      <c r="K27" s="79" t="s">
        <v>22</v>
      </c>
      <c r="L27" s="79" t="s">
        <v>20</v>
      </c>
      <c r="M27" s="79"/>
      <c r="N27" s="79" t="s">
        <v>3669</v>
      </c>
      <c r="O27" s="79">
        <f>_xlfn.XLOOKUP(union_gastos[[#This Row],[Líneas de factura/Producto]],'concepto_id'!A:A,'concepto_id'!B:B)</f>
        <v>4</v>
      </c>
      <c r="P27" s="79" t="str">
        <f>_xlfn.XLOOKUP(union_gastos[[#This Row],[rubro_id]],rubros!B:B,rubros!A:A)</f>
        <v>GENÉTICA</v>
      </c>
    </row>
    <row r="28" spans="1:16" hidden="1" x14ac:dyDescent="0.3">
      <c r="A28" s="81">
        <v>46109</v>
      </c>
      <c r="B28" s="79" t="s">
        <v>58</v>
      </c>
      <c r="C28" s="79" t="s">
        <v>3859</v>
      </c>
      <c r="D28" s="80">
        <v>-839050</v>
      </c>
      <c r="E28" s="79" t="s">
        <v>3860</v>
      </c>
      <c r="F28" s="79">
        <v>1</v>
      </c>
      <c r="G28" s="79">
        <v>839050</v>
      </c>
      <c r="H28" s="79" t="s">
        <v>34</v>
      </c>
      <c r="I28" s="79" t="s">
        <v>55</v>
      </c>
      <c r="J28" s="79" t="s">
        <v>11</v>
      </c>
      <c r="K28" s="79" t="s">
        <v>22</v>
      </c>
      <c r="L28" s="79" t="s">
        <v>20</v>
      </c>
      <c r="M28" s="79"/>
      <c r="N28" s="79" t="s">
        <v>3669</v>
      </c>
      <c r="O28" s="79">
        <f>_xlfn.XLOOKUP(union_gastos[[#This Row],[Líneas de factura/Producto]],'concepto_id'!A:A,'concepto_id'!B:B)</f>
        <v>3</v>
      </c>
      <c r="P28" s="79" t="str">
        <f>_xlfn.XLOOKUP(union_gastos[[#This Row],[rubro_id]],rubros!B:B,rubros!A:A)</f>
        <v>SANIDAD</v>
      </c>
    </row>
    <row r="29" spans="1:16" hidden="1" x14ac:dyDescent="0.3">
      <c r="A29" s="81">
        <v>46086</v>
      </c>
      <c r="B29" s="79" t="s">
        <v>49</v>
      </c>
      <c r="C29" s="79" t="s">
        <v>3992</v>
      </c>
      <c r="D29" s="80">
        <v>-804702.47</v>
      </c>
      <c r="E29" s="79" t="s">
        <v>3993</v>
      </c>
      <c r="F29" s="79">
        <v>60</v>
      </c>
      <c r="G29" s="79">
        <v>9975.65</v>
      </c>
      <c r="H29" s="79" t="s">
        <v>34</v>
      </c>
      <c r="I29" s="79" t="s">
        <v>50</v>
      </c>
      <c r="J29" s="79" t="s">
        <v>11</v>
      </c>
      <c r="K29" s="79" t="s">
        <v>22</v>
      </c>
      <c r="L29" s="79" t="s">
        <v>20</v>
      </c>
      <c r="M29" s="79"/>
      <c r="N29" s="79" t="s">
        <v>3669</v>
      </c>
      <c r="O29" s="79">
        <f>_xlfn.XLOOKUP(union_gastos[[#This Row],[Líneas de factura/Producto]],'concepto_id'!A:A,'concepto_id'!B:B)</f>
        <v>4</v>
      </c>
      <c r="P29" s="79" t="str">
        <f>_xlfn.XLOOKUP(union_gastos[[#This Row],[rubro_id]],rubros!B:B,rubros!A:A)</f>
        <v>GENÉTICA</v>
      </c>
    </row>
    <row r="30" spans="1:16" hidden="1" x14ac:dyDescent="0.3">
      <c r="A30" s="81">
        <v>46084</v>
      </c>
      <c r="B30" s="79" t="s">
        <v>30</v>
      </c>
      <c r="C30" s="79" t="s">
        <v>4017</v>
      </c>
      <c r="D30" s="80">
        <v>-800415</v>
      </c>
      <c r="E30" s="79" t="s">
        <v>4018</v>
      </c>
      <c r="F30" s="79">
        <v>1</v>
      </c>
      <c r="G30" s="79">
        <v>661500</v>
      </c>
      <c r="H30" s="79" t="s">
        <v>34</v>
      </c>
      <c r="I30" s="79" t="s">
        <v>227</v>
      </c>
      <c r="J30" s="79" t="s">
        <v>11</v>
      </c>
      <c r="K30" s="79" t="s">
        <v>22</v>
      </c>
      <c r="L30" s="79" t="s">
        <v>21</v>
      </c>
      <c r="M30" s="79"/>
      <c r="N30" s="79" t="s">
        <v>3669</v>
      </c>
      <c r="O30" s="79">
        <f>_xlfn.XLOOKUP(union_gastos[[#This Row],[Líneas de factura/Producto]],'concepto_id'!A:A,'concepto_id'!B:B)</f>
        <v>9</v>
      </c>
      <c r="P30" s="79" t="str">
        <f>_xlfn.XLOOKUP(union_gastos[[#This Row],[rubro_id]],rubros!B:B,rubros!A:A)</f>
        <v>HONORARIOS</v>
      </c>
    </row>
    <row r="31" spans="1:16" hidden="1" x14ac:dyDescent="0.3">
      <c r="A31" s="81">
        <v>46084</v>
      </c>
      <c r="B31" s="79" t="s">
        <v>68</v>
      </c>
      <c r="C31" s="79" t="s">
        <v>4019</v>
      </c>
      <c r="D31" s="80">
        <v>-800415</v>
      </c>
      <c r="E31" s="79" t="s">
        <v>69</v>
      </c>
      <c r="F31" s="79">
        <v>1</v>
      </c>
      <c r="G31" s="79">
        <v>661500</v>
      </c>
      <c r="H31" s="79" t="s">
        <v>34</v>
      </c>
      <c r="I31" s="79" t="s">
        <v>227</v>
      </c>
      <c r="J31" s="79" t="s">
        <v>11</v>
      </c>
      <c r="K31" s="79" t="s">
        <v>22</v>
      </c>
      <c r="L31" s="79" t="s">
        <v>21</v>
      </c>
      <c r="M31" s="79"/>
      <c r="N31" s="79" t="s">
        <v>3669</v>
      </c>
      <c r="O31" s="79">
        <f>_xlfn.XLOOKUP(union_gastos[[#This Row],[Líneas de factura/Producto]],'concepto_id'!A:A,'concepto_id'!B:B)</f>
        <v>9</v>
      </c>
      <c r="P31" s="79" t="str">
        <f>_xlfn.XLOOKUP(union_gastos[[#This Row],[rubro_id]],rubros!B:B,rubros!A:A)</f>
        <v>HONORARIOS</v>
      </c>
    </row>
    <row r="32" spans="1:16" hidden="1" x14ac:dyDescent="0.3">
      <c r="A32" s="81">
        <v>46093</v>
      </c>
      <c r="B32" s="79" t="s">
        <v>52</v>
      </c>
      <c r="C32" s="79" t="s">
        <v>3946</v>
      </c>
      <c r="D32" s="80">
        <v>-799184.24</v>
      </c>
      <c r="E32" s="79" t="s">
        <v>3947</v>
      </c>
      <c r="F32" s="79">
        <v>1</v>
      </c>
      <c r="G32" s="79">
        <v>660482.84</v>
      </c>
      <c r="H32" s="79" t="s">
        <v>34</v>
      </c>
      <c r="I32" s="79" t="s">
        <v>57</v>
      </c>
      <c r="J32" s="79" t="s">
        <v>11</v>
      </c>
      <c r="K32" s="79" t="s">
        <v>22</v>
      </c>
      <c r="L32" s="79" t="s">
        <v>21</v>
      </c>
      <c r="M32" s="79"/>
      <c r="N32" s="79" t="s">
        <v>3669</v>
      </c>
      <c r="O32" s="79">
        <f>_xlfn.XLOOKUP(union_gastos[[#This Row],[Líneas de factura/Producto]],'concepto_id'!A:A,'concepto_id'!B:B)</f>
        <v>6</v>
      </c>
      <c r="P32" s="79" t="str">
        <f>_xlfn.XLOOKUP(union_gastos[[#This Row],[rubro_id]],rubros!B:B,rubros!A:A)</f>
        <v>MANTENIMIENTO</v>
      </c>
    </row>
    <row r="33" spans="1:16" hidden="1" x14ac:dyDescent="0.3">
      <c r="A33" s="81">
        <v>46106</v>
      </c>
      <c r="B33" s="79" t="s">
        <v>824</v>
      </c>
      <c r="C33" s="79" t="s">
        <v>3879</v>
      </c>
      <c r="D33" s="82">
        <v>-795949.4</v>
      </c>
      <c r="E33" s="79" t="s">
        <v>3880</v>
      </c>
      <c r="F33" s="79">
        <v>10</v>
      </c>
      <c r="G33" s="79">
        <v>1175.44</v>
      </c>
      <c r="H33" s="79" t="s">
        <v>34</v>
      </c>
      <c r="I33" s="79" t="s">
        <v>57</v>
      </c>
      <c r="J33" s="79" t="s">
        <v>11</v>
      </c>
      <c r="K33" s="79" t="s">
        <v>22</v>
      </c>
      <c r="L33" s="79" t="s">
        <v>21</v>
      </c>
      <c r="M33" s="79"/>
      <c r="N33" s="79" t="s">
        <v>3669</v>
      </c>
      <c r="O33" s="79">
        <f>_xlfn.XLOOKUP(union_gastos[[#This Row],[Líneas de factura/Producto]],'concepto_id'!A:A,'concepto_id'!B:B)</f>
        <v>6</v>
      </c>
      <c r="P33" s="79" t="str">
        <f>_xlfn.XLOOKUP(union_gastos[[#This Row],[rubro_id]],rubros!B:B,rubros!A:A)</f>
        <v>MANTENIMIENTO</v>
      </c>
    </row>
    <row r="34" spans="1:16" x14ac:dyDescent="0.3">
      <c r="A34" s="81">
        <v>46094</v>
      </c>
      <c r="B34" s="79" t="s">
        <v>900</v>
      </c>
      <c r="C34" s="79" t="s">
        <v>3936</v>
      </c>
      <c r="D34" s="80">
        <v>-765000</v>
      </c>
      <c r="E34" s="79" t="s">
        <v>3875</v>
      </c>
      <c r="F34" s="79">
        <v>1</v>
      </c>
      <c r="G34" s="79">
        <v>632231.4</v>
      </c>
      <c r="H34" s="79" t="s">
        <v>34</v>
      </c>
      <c r="I34" s="79" t="s">
        <v>51</v>
      </c>
      <c r="J34" s="79" t="s">
        <v>11</v>
      </c>
      <c r="K34" s="79" t="s">
        <v>22</v>
      </c>
      <c r="L34" s="79" t="s">
        <v>20</v>
      </c>
      <c r="M34" s="79"/>
      <c r="N34" s="79" t="s">
        <v>3669</v>
      </c>
      <c r="O34" s="79">
        <f>_xlfn.XLOOKUP(union_gastos[[#This Row],[Líneas de factura/Producto]],'concepto_id'!A:A,'concepto_id'!B:B)</f>
        <v>7</v>
      </c>
      <c r="P34" s="79" t="str">
        <f>_xlfn.XLOOKUP(union_gastos[[#This Row],[rubro_id]],rubros!B:B,rubros!A:A)</f>
        <v>GASTOS OPERATIVOS</v>
      </c>
    </row>
    <row r="35" spans="1:16" x14ac:dyDescent="0.3">
      <c r="A35" s="81">
        <v>46086</v>
      </c>
      <c r="B35" s="79" t="s">
        <v>900</v>
      </c>
      <c r="C35" s="79" t="s">
        <v>3998</v>
      </c>
      <c r="D35" s="80">
        <v>-765000</v>
      </c>
      <c r="E35" s="79" t="s">
        <v>3999</v>
      </c>
      <c r="F35" s="79">
        <v>45</v>
      </c>
      <c r="G35" s="79">
        <v>14049.586777</v>
      </c>
      <c r="H35" s="79" t="s">
        <v>34</v>
      </c>
      <c r="I35" s="79" t="s">
        <v>51</v>
      </c>
      <c r="J35" s="79" t="s">
        <v>11</v>
      </c>
      <c r="K35" s="79" t="s">
        <v>22</v>
      </c>
      <c r="L35" s="79" t="s">
        <v>20</v>
      </c>
      <c r="M35" s="79"/>
      <c r="N35" s="79" t="s">
        <v>3669</v>
      </c>
      <c r="O35" s="79">
        <f>_xlfn.XLOOKUP(union_gastos[[#This Row],[Líneas de factura/Producto]],'concepto_id'!A:A,'concepto_id'!B:B)</f>
        <v>7</v>
      </c>
      <c r="P35" s="79" t="str">
        <f>_xlfn.XLOOKUP(union_gastos[[#This Row],[rubro_id]],rubros!B:B,rubros!A:A)</f>
        <v>GASTOS OPERATIVOS</v>
      </c>
    </row>
    <row r="36" spans="1:16" x14ac:dyDescent="0.3">
      <c r="A36" s="81">
        <v>46100</v>
      </c>
      <c r="B36" s="79" t="s">
        <v>3897</v>
      </c>
      <c r="C36" s="79" t="s">
        <v>3898</v>
      </c>
      <c r="D36" s="80">
        <v>-633000</v>
      </c>
      <c r="E36" s="79" t="s">
        <v>3899</v>
      </c>
      <c r="F36" s="79">
        <v>1</v>
      </c>
      <c r="G36" s="79">
        <v>633000</v>
      </c>
      <c r="H36" s="79" t="s">
        <v>34</v>
      </c>
      <c r="I36" s="79" t="s">
        <v>51</v>
      </c>
      <c r="J36" s="79" t="s">
        <v>11</v>
      </c>
      <c r="K36" s="79" t="s">
        <v>22</v>
      </c>
      <c r="L36" s="79" t="s">
        <v>21</v>
      </c>
      <c r="M36" s="79"/>
      <c r="N36" s="79" t="s">
        <v>3669</v>
      </c>
      <c r="O36" s="79">
        <f>_xlfn.XLOOKUP(union_gastos[[#This Row],[Líneas de factura/Producto]],'concepto_id'!A:A,'concepto_id'!B:B)</f>
        <v>7</v>
      </c>
      <c r="P36" s="79" t="str">
        <f>_xlfn.XLOOKUP(union_gastos[[#This Row],[rubro_id]],rubros!B:B,rubros!A:A)</f>
        <v>GASTOS OPERATIVOS</v>
      </c>
    </row>
    <row r="37" spans="1:16" s="79" customFormat="1" ht="10.8" hidden="1" x14ac:dyDescent="0.25">
      <c r="A37" s="81">
        <v>46091</v>
      </c>
      <c r="B37" s="79" t="s">
        <v>3959</v>
      </c>
      <c r="C37" s="79" t="s">
        <v>3960</v>
      </c>
      <c r="D37" s="80">
        <v>-610374.19999999995</v>
      </c>
      <c r="E37" s="79" t="s">
        <v>3961</v>
      </c>
      <c r="F37" s="79">
        <v>1</v>
      </c>
      <c r="G37" s="79">
        <v>610374.19999999995</v>
      </c>
      <c r="H37" s="79" t="s">
        <v>34</v>
      </c>
      <c r="I37" s="79" t="s">
        <v>3663</v>
      </c>
      <c r="J37" s="79" t="s">
        <v>11</v>
      </c>
      <c r="K37" s="79" t="s">
        <v>22</v>
      </c>
      <c r="L37" s="79" t="s">
        <v>21</v>
      </c>
      <c r="N37" s="79" t="s">
        <v>3669</v>
      </c>
      <c r="O37" s="79">
        <f>_xlfn.XLOOKUP(union_gastos[[#This Row],[Líneas de factura/Producto]],'concepto_id'!A:A,'concepto_id'!B:B)</f>
        <v>8</v>
      </c>
      <c r="P37" s="79" t="str">
        <f>_xlfn.XLOOKUP(union_gastos[[#This Row],[rubro_id]],rubros!B:B,rubros!A:A)</f>
        <v>IMPUESTOS</v>
      </c>
    </row>
    <row r="38" spans="1:16" s="79" customFormat="1" ht="10.8" hidden="1" x14ac:dyDescent="0.25">
      <c r="A38" s="81">
        <v>46101</v>
      </c>
      <c r="B38" s="79" t="s">
        <v>59</v>
      </c>
      <c r="C38" s="79" t="s">
        <v>3891</v>
      </c>
      <c r="D38" s="80">
        <v>-606706.28</v>
      </c>
      <c r="E38" s="79" t="s">
        <v>3892</v>
      </c>
      <c r="F38" s="79">
        <v>6</v>
      </c>
      <c r="G38" s="79">
        <v>51035.28</v>
      </c>
      <c r="H38" s="79" t="s">
        <v>34</v>
      </c>
      <c r="I38" s="79" t="s">
        <v>55</v>
      </c>
      <c r="J38" s="79" t="s">
        <v>11</v>
      </c>
      <c r="K38" s="79" t="s">
        <v>22</v>
      </c>
      <c r="L38" s="79" t="s">
        <v>20</v>
      </c>
      <c r="N38" s="79" t="s">
        <v>3669</v>
      </c>
      <c r="O38" s="79">
        <f>_xlfn.XLOOKUP(union_gastos[[#This Row],[Líneas de factura/Producto]],'concepto_id'!A:A,'concepto_id'!B:B)</f>
        <v>3</v>
      </c>
      <c r="P38" s="79" t="str">
        <f>_xlfn.XLOOKUP(union_gastos[[#This Row],[rubro_id]],rubros!B:B,rubros!A:A)</f>
        <v>SANIDAD</v>
      </c>
    </row>
    <row r="39" spans="1:16" s="79" customFormat="1" ht="10.8" hidden="1" x14ac:dyDescent="0.25">
      <c r="A39" s="81">
        <v>46098</v>
      </c>
      <c r="B39" s="79" t="s">
        <v>59</v>
      </c>
      <c r="C39" s="79" t="s">
        <v>3910</v>
      </c>
      <c r="D39" s="80">
        <v>-573094.5</v>
      </c>
      <c r="E39" s="79" t="s">
        <v>3911</v>
      </c>
      <c r="F39" s="79">
        <v>4</v>
      </c>
      <c r="G39" s="79">
        <v>3781.79</v>
      </c>
      <c r="H39" s="79" t="s">
        <v>34</v>
      </c>
      <c r="I39" s="79" t="s">
        <v>55</v>
      </c>
      <c r="J39" s="79" t="s">
        <v>11</v>
      </c>
      <c r="K39" s="79" t="s">
        <v>22</v>
      </c>
      <c r="L39" s="79" t="s">
        <v>20</v>
      </c>
      <c r="N39" s="79" t="s">
        <v>3669</v>
      </c>
      <c r="O39" s="79">
        <f>_xlfn.XLOOKUP(union_gastos[[#This Row],[Líneas de factura/Producto]],'concepto_id'!A:A,'concepto_id'!B:B)</f>
        <v>3</v>
      </c>
      <c r="P39" s="79" t="str">
        <f>_xlfn.XLOOKUP(union_gastos[[#This Row],[rubro_id]],rubros!B:B,rubros!A:A)</f>
        <v>SANIDAD</v>
      </c>
    </row>
    <row r="40" spans="1:16" s="79" customFormat="1" ht="10.8" hidden="1" x14ac:dyDescent="0.25">
      <c r="A40" s="81">
        <v>46099</v>
      </c>
      <c r="B40" s="79" t="s">
        <v>58</v>
      </c>
      <c r="C40" s="79" t="s">
        <v>3905</v>
      </c>
      <c r="D40" s="80">
        <v>-564063.19999999995</v>
      </c>
      <c r="E40" s="79" t="s">
        <v>3906</v>
      </c>
      <c r="F40" s="79">
        <v>5</v>
      </c>
      <c r="G40" s="79">
        <v>61491.3</v>
      </c>
      <c r="H40" s="79" t="s">
        <v>34</v>
      </c>
      <c r="I40" s="79" t="s">
        <v>55</v>
      </c>
      <c r="J40" s="79" t="s">
        <v>11</v>
      </c>
      <c r="K40" s="79" t="s">
        <v>22</v>
      </c>
      <c r="L40" s="79" t="s">
        <v>20</v>
      </c>
      <c r="N40" s="79" t="s">
        <v>3669</v>
      </c>
      <c r="O40" s="79">
        <f>_xlfn.XLOOKUP(union_gastos[[#This Row],[Líneas de factura/Producto]],'concepto_id'!A:A,'concepto_id'!B:B)</f>
        <v>3</v>
      </c>
      <c r="P40" s="79" t="str">
        <f>_xlfn.XLOOKUP(union_gastos[[#This Row],[rubro_id]],rubros!B:B,rubros!A:A)</f>
        <v>SANIDAD</v>
      </c>
    </row>
    <row r="41" spans="1:16" s="79" customFormat="1" ht="10.8" hidden="1" x14ac:dyDescent="0.25">
      <c r="A41" s="81">
        <v>46106</v>
      </c>
      <c r="B41" s="79" t="s">
        <v>824</v>
      </c>
      <c r="C41" s="79" t="s">
        <v>3881</v>
      </c>
      <c r="D41" s="80">
        <v>-561209.01</v>
      </c>
      <c r="E41" s="79" t="s">
        <v>3882</v>
      </c>
      <c r="F41" s="79">
        <v>1</v>
      </c>
      <c r="G41" s="79">
        <v>461141.34</v>
      </c>
      <c r="H41" s="79" t="s">
        <v>34</v>
      </c>
      <c r="I41" s="79" t="s">
        <v>57</v>
      </c>
      <c r="J41" s="79" t="s">
        <v>11</v>
      </c>
      <c r="K41" s="79" t="s">
        <v>22</v>
      </c>
      <c r="L41" s="79" t="s">
        <v>21</v>
      </c>
      <c r="N41" s="79" t="s">
        <v>3669</v>
      </c>
      <c r="O41" s="79">
        <f>_xlfn.XLOOKUP(union_gastos[[#This Row],[Líneas de factura/Producto]],'concepto_id'!A:A,'concepto_id'!B:B)</f>
        <v>6</v>
      </c>
      <c r="P41" s="79" t="str">
        <f>_xlfn.XLOOKUP(union_gastos[[#This Row],[rubro_id]],rubros!B:B,rubros!A:A)</f>
        <v>MANTENIMIENTO</v>
      </c>
    </row>
    <row r="42" spans="1:16" hidden="1" x14ac:dyDescent="0.3">
      <c r="A42" s="81">
        <v>46095</v>
      </c>
      <c r="B42" s="79" t="s">
        <v>58</v>
      </c>
      <c r="C42" s="79" t="s">
        <v>3927</v>
      </c>
      <c r="D42" s="80">
        <v>-551029.61</v>
      </c>
      <c r="E42" s="79" t="s">
        <v>3892</v>
      </c>
      <c r="F42" s="79">
        <v>10</v>
      </c>
      <c r="G42" s="79">
        <v>45277.7</v>
      </c>
      <c r="H42" s="79" t="s">
        <v>34</v>
      </c>
      <c r="I42" s="79" t="s">
        <v>55</v>
      </c>
      <c r="J42" s="79" t="s">
        <v>11</v>
      </c>
      <c r="K42" s="79" t="s">
        <v>22</v>
      </c>
      <c r="L42" s="79" t="s">
        <v>20</v>
      </c>
      <c r="M42" s="79"/>
      <c r="N42" s="79" t="s">
        <v>3669</v>
      </c>
      <c r="O42" s="79">
        <f>_xlfn.XLOOKUP(union_gastos[[#This Row],[Líneas de factura/Producto]],'concepto_id'!A:A,'concepto_id'!B:B)</f>
        <v>3</v>
      </c>
      <c r="P42" s="79" t="str">
        <f>_xlfn.XLOOKUP(union_gastos[[#This Row],[rubro_id]],rubros!B:B,rubros!A:A)</f>
        <v>SANIDAD</v>
      </c>
    </row>
    <row r="43" spans="1:16" s="79" customFormat="1" ht="10.8" x14ac:dyDescent="0.25">
      <c r="A43" s="81">
        <v>46108</v>
      </c>
      <c r="B43" s="79" t="s">
        <v>3834</v>
      </c>
      <c r="C43" s="79" t="s">
        <v>3862</v>
      </c>
      <c r="D43" s="80">
        <v>-522382.82</v>
      </c>
      <c r="E43" s="79" t="s">
        <v>3863</v>
      </c>
      <c r="F43" s="79">
        <v>1</v>
      </c>
      <c r="G43" s="79">
        <v>522382.82</v>
      </c>
      <c r="H43" s="79" t="s">
        <v>34</v>
      </c>
      <c r="I43" s="79" t="s">
        <v>51</v>
      </c>
      <c r="J43" s="79" t="s">
        <v>11</v>
      </c>
      <c r="K43" s="79" t="s">
        <v>22</v>
      </c>
      <c r="L43" s="79" t="s">
        <v>21</v>
      </c>
      <c r="N43" s="79" t="s">
        <v>3669</v>
      </c>
      <c r="O43" s="79">
        <f>_xlfn.XLOOKUP(union_gastos[[#This Row],[Líneas de factura/Producto]],'concepto_id'!A:A,'concepto_id'!B:B)</f>
        <v>7</v>
      </c>
      <c r="P43" s="79" t="str">
        <f>_xlfn.XLOOKUP(union_gastos[[#This Row],[rubro_id]],rubros!B:B,rubros!A:A)</f>
        <v>GASTOS OPERATIVOS</v>
      </c>
    </row>
    <row r="44" spans="1:16" s="79" customFormat="1" ht="10.8" hidden="1" x14ac:dyDescent="0.25">
      <c r="A44" s="81">
        <v>46108</v>
      </c>
      <c r="B44" s="79" t="s">
        <v>1750</v>
      </c>
      <c r="C44" s="79" t="s">
        <v>3866</v>
      </c>
      <c r="D44" s="80">
        <v>-520000</v>
      </c>
      <c r="E44" s="79" t="s">
        <v>3867</v>
      </c>
      <c r="F44" s="79">
        <v>1</v>
      </c>
      <c r="G44" s="79">
        <v>520000</v>
      </c>
      <c r="H44" s="79" t="s">
        <v>34</v>
      </c>
      <c r="I44" s="79" t="s">
        <v>57</v>
      </c>
      <c r="J44" s="79" t="s">
        <v>11</v>
      </c>
      <c r="K44" s="79" t="s">
        <v>22</v>
      </c>
      <c r="L44" s="79" t="s">
        <v>20</v>
      </c>
      <c r="N44" s="79" t="s">
        <v>3669</v>
      </c>
      <c r="O44" s="79">
        <f>_xlfn.XLOOKUP(union_gastos[[#This Row],[Líneas de factura/Producto]],'concepto_id'!A:A,'concepto_id'!B:B)</f>
        <v>6</v>
      </c>
      <c r="P44" s="79" t="str">
        <f>_xlfn.XLOOKUP(union_gastos[[#This Row],[rubro_id]],rubros!B:B,rubros!A:A)</f>
        <v>MANTENIMIENTO</v>
      </c>
    </row>
    <row r="45" spans="1:16" s="79" customFormat="1" ht="10.8" hidden="1" x14ac:dyDescent="0.25">
      <c r="A45" s="81">
        <v>46111</v>
      </c>
      <c r="B45" s="79" t="s">
        <v>49</v>
      </c>
      <c r="C45" s="79" t="s">
        <v>3856</v>
      </c>
      <c r="D45" s="80">
        <v>-513577.89</v>
      </c>
      <c r="E45" s="79" t="s">
        <v>3849</v>
      </c>
      <c r="F45" s="79">
        <v>30</v>
      </c>
      <c r="G45" s="79">
        <v>10264.94</v>
      </c>
      <c r="H45" s="79" t="s">
        <v>34</v>
      </c>
      <c r="I45" s="79" t="s">
        <v>50</v>
      </c>
      <c r="J45" s="79" t="s">
        <v>11</v>
      </c>
      <c r="K45" s="79" t="s">
        <v>22</v>
      </c>
      <c r="L45" s="79" t="s">
        <v>20</v>
      </c>
      <c r="N45" s="79" t="s">
        <v>3669</v>
      </c>
      <c r="O45" s="79">
        <f>_xlfn.XLOOKUP(union_gastos[[#This Row],[Líneas de factura/Producto]],'concepto_id'!A:A,'concepto_id'!B:B)</f>
        <v>4</v>
      </c>
      <c r="P45" s="79" t="str">
        <f>_xlfn.XLOOKUP(union_gastos[[#This Row],[rubro_id]],rubros!B:B,rubros!A:A)</f>
        <v>GENÉTICA</v>
      </c>
    </row>
    <row r="46" spans="1:16" hidden="1" x14ac:dyDescent="0.3">
      <c r="A46" s="81">
        <v>46097</v>
      </c>
      <c r="B46" s="79" t="s">
        <v>49</v>
      </c>
      <c r="C46" s="79" t="s">
        <v>3923</v>
      </c>
      <c r="D46" s="80">
        <v>-513577.89</v>
      </c>
      <c r="E46" s="79" t="s">
        <v>3849</v>
      </c>
      <c r="F46" s="79">
        <v>30</v>
      </c>
      <c r="G46" s="79">
        <v>10346.3179614</v>
      </c>
      <c r="H46" s="79" t="s">
        <v>34</v>
      </c>
      <c r="I46" s="79" t="s">
        <v>50</v>
      </c>
      <c r="J46" s="79" t="s">
        <v>11</v>
      </c>
      <c r="K46" s="79" t="s">
        <v>22</v>
      </c>
      <c r="L46" s="79" t="s">
        <v>20</v>
      </c>
      <c r="M46" s="79"/>
      <c r="N46" s="79" t="s">
        <v>3669</v>
      </c>
      <c r="O46" s="79">
        <f>_xlfn.XLOOKUP(union_gastos[[#This Row],[Líneas de factura/Producto]],'concepto_id'!A:A,'concepto_id'!B:B)</f>
        <v>4</v>
      </c>
      <c r="P46" s="79" t="str">
        <f>_xlfn.XLOOKUP(union_gastos[[#This Row],[rubro_id]],rubros!B:B,rubros!A:A)</f>
        <v>GENÉTICA</v>
      </c>
    </row>
    <row r="47" spans="1:16" x14ac:dyDescent="0.3">
      <c r="A47" s="81">
        <v>46091</v>
      </c>
      <c r="B47" s="79" t="s">
        <v>62</v>
      </c>
      <c r="C47" s="79" t="s">
        <v>3980</v>
      </c>
      <c r="D47" s="80">
        <v>-508200</v>
      </c>
      <c r="E47" s="79" t="s">
        <v>3981</v>
      </c>
      <c r="F47" s="79">
        <v>1</v>
      </c>
      <c r="G47" s="79">
        <v>420000</v>
      </c>
      <c r="H47" s="79" t="s">
        <v>34</v>
      </c>
      <c r="I47" s="79" t="s">
        <v>51</v>
      </c>
      <c r="J47" s="79" t="s">
        <v>11</v>
      </c>
      <c r="K47" s="79" t="s">
        <v>22</v>
      </c>
      <c r="L47" s="79" t="s">
        <v>21</v>
      </c>
      <c r="M47" s="79"/>
      <c r="N47" s="79" t="s">
        <v>3669</v>
      </c>
      <c r="O47" s="79">
        <f>_xlfn.XLOOKUP(union_gastos[[#This Row],[Líneas de factura/Producto]],'concepto_id'!A:A,'concepto_id'!B:B)</f>
        <v>7</v>
      </c>
      <c r="P47" s="79" t="str">
        <f>_xlfn.XLOOKUP(union_gastos[[#This Row],[rubro_id]],rubros!B:B,rubros!A:A)</f>
        <v>GASTOS OPERATIVOS</v>
      </c>
    </row>
    <row r="48" spans="1:16" x14ac:dyDescent="0.3">
      <c r="A48" s="81">
        <v>46093</v>
      </c>
      <c r="B48" s="79" t="s">
        <v>3939</v>
      </c>
      <c r="C48" s="79" t="s">
        <v>3940</v>
      </c>
      <c r="D48" s="80">
        <v>-500000</v>
      </c>
      <c r="E48" s="79" t="s">
        <v>3941</v>
      </c>
      <c r="F48" s="79">
        <v>1</v>
      </c>
      <c r="G48" s="79">
        <v>500000</v>
      </c>
      <c r="H48" s="79" t="s">
        <v>34</v>
      </c>
      <c r="I48" s="79" t="s">
        <v>51</v>
      </c>
      <c r="J48" s="79" t="s">
        <v>11</v>
      </c>
      <c r="K48" s="79" t="s">
        <v>22</v>
      </c>
      <c r="L48" s="79" t="s">
        <v>21</v>
      </c>
      <c r="M48" s="79"/>
      <c r="N48" s="79" t="s">
        <v>3669</v>
      </c>
      <c r="O48" s="79">
        <f>_xlfn.XLOOKUP(union_gastos[[#This Row],[Líneas de factura/Producto]],'concepto_id'!A:A,'concepto_id'!B:B)</f>
        <v>7</v>
      </c>
      <c r="P48" s="79" t="str">
        <f>_xlfn.XLOOKUP(union_gastos[[#This Row],[rubro_id]],rubros!B:B,rubros!A:A)</f>
        <v>GASTOS OPERATIVOS</v>
      </c>
    </row>
    <row r="49" spans="1:16" hidden="1" x14ac:dyDescent="0.3">
      <c r="A49" s="81">
        <v>46086</v>
      </c>
      <c r="B49" s="79" t="s">
        <v>800</v>
      </c>
      <c r="C49" s="79" t="s">
        <v>4001</v>
      </c>
      <c r="D49" s="80">
        <v>-460877.61</v>
      </c>
      <c r="E49" s="79" t="s">
        <v>4002</v>
      </c>
      <c r="F49" s="79">
        <v>8</v>
      </c>
      <c r="G49" s="79">
        <v>3212.07</v>
      </c>
      <c r="H49" s="79" t="s">
        <v>34</v>
      </c>
      <c r="I49" s="79" t="s">
        <v>57</v>
      </c>
      <c r="J49" s="79" t="s">
        <v>11</v>
      </c>
      <c r="K49" s="79" t="s">
        <v>22</v>
      </c>
      <c r="L49" s="79" t="s">
        <v>21</v>
      </c>
      <c r="M49" s="79"/>
      <c r="N49" s="79" t="s">
        <v>3669</v>
      </c>
      <c r="O49" s="79">
        <f>_xlfn.XLOOKUP(union_gastos[[#This Row],[Líneas de factura/Producto]],'concepto_id'!A:A,'concepto_id'!B:B)</f>
        <v>6</v>
      </c>
      <c r="P49" s="79" t="str">
        <f>_xlfn.XLOOKUP(union_gastos[[#This Row],[rubro_id]],rubros!B:B,rubros!A:A)</f>
        <v>MANTENIMIENTO</v>
      </c>
    </row>
    <row r="50" spans="1:16" hidden="1" x14ac:dyDescent="0.3">
      <c r="A50" s="81">
        <v>46112</v>
      </c>
      <c r="B50" s="79" t="s">
        <v>81</v>
      </c>
      <c r="C50" s="79" t="s">
        <v>170</v>
      </c>
      <c r="D50" s="80">
        <v>-454608</v>
      </c>
      <c r="E50" s="79" t="s">
        <v>172</v>
      </c>
      <c r="F50" s="79">
        <v>15785</v>
      </c>
      <c r="G50" s="79">
        <v>28.8</v>
      </c>
      <c r="H50" s="79" t="s">
        <v>3665</v>
      </c>
      <c r="I50" s="79" t="s">
        <v>72</v>
      </c>
      <c r="J50" s="79" t="s">
        <v>11</v>
      </c>
      <c r="K50" s="79" t="s">
        <v>11</v>
      </c>
      <c r="L50" s="79" t="s">
        <v>22</v>
      </c>
      <c r="M50" s="79"/>
      <c r="N50" s="79" t="s">
        <v>3668</v>
      </c>
      <c r="O50" s="79">
        <f>_xlfn.XLOOKUP(union_gastos[[#This Row],[Líneas de factura/Producto]],'concepto_id'!A:A,'concepto_id'!B:B)</f>
        <v>1</v>
      </c>
      <c r="P50" s="79" t="str">
        <f>_xlfn.XLOOKUP(union_gastos[[#This Row],[rubro_id]],rubros!B:B,rubros!A:A)</f>
        <v>NUTRICIÓN</v>
      </c>
    </row>
    <row r="51" spans="1:16" hidden="1" x14ac:dyDescent="0.3">
      <c r="A51" s="81">
        <v>46097</v>
      </c>
      <c r="B51" s="79" t="s">
        <v>75</v>
      </c>
      <c r="C51" s="79" t="s">
        <v>3921</v>
      </c>
      <c r="D51" s="80">
        <v>-448268.99</v>
      </c>
      <c r="E51" s="79" t="s">
        <v>3922</v>
      </c>
      <c r="F51" s="79">
        <v>168</v>
      </c>
      <c r="G51" s="79">
        <v>2205.1799999999998</v>
      </c>
      <c r="H51" s="79" t="s">
        <v>34</v>
      </c>
      <c r="I51" s="79" t="s">
        <v>50</v>
      </c>
      <c r="J51" s="79" t="s">
        <v>11</v>
      </c>
      <c r="K51" s="79" t="s">
        <v>22</v>
      </c>
      <c r="L51" s="79" t="s">
        <v>20</v>
      </c>
      <c r="M51" s="79"/>
      <c r="N51" s="79" t="s">
        <v>3669</v>
      </c>
      <c r="O51" s="79">
        <f>_xlfn.XLOOKUP(union_gastos[[#This Row],[Líneas de factura/Producto]],'concepto_id'!A:A,'concepto_id'!B:B)</f>
        <v>4</v>
      </c>
      <c r="P51" s="79" t="str">
        <f>_xlfn.XLOOKUP(union_gastos[[#This Row],[rubro_id]],rubros!B:B,rubros!A:A)</f>
        <v>GENÉTICA</v>
      </c>
    </row>
    <row r="52" spans="1:16" hidden="1" x14ac:dyDescent="0.3">
      <c r="A52" s="81">
        <v>46091</v>
      </c>
      <c r="B52" s="79" t="s">
        <v>3970</v>
      </c>
      <c r="C52" s="79" t="s">
        <v>3971</v>
      </c>
      <c r="D52" s="80">
        <v>-408084.6</v>
      </c>
      <c r="E52" s="79" t="s">
        <v>3972</v>
      </c>
      <c r="F52" s="79">
        <v>55</v>
      </c>
      <c r="G52" s="79">
        <v>6132</v>
      </c>
      <c r="H52" s="79" t="s">
        <v>34</v>
      </c>
      <c r="I52" s="79" t="s">
        <v>57</v>
      </c>
      <c r="J52" s="79" t="s">
        <v>11</v>
      </c>
      <c r="K52" s="79" t="s">
        <v>22</v>
      </c>
      <c r="L52" s="79" t="s">
        <v>21</v>
      </c>
      <c r="M52" s="79"/>
      <c r="N52" s="79" t="s">
        <v>3669</v>
      </c>
      <c r="O52" s="79">
        <f>_xlfn.XLOOKUP(union_gastos[[#This Row],[Líneas de factura/Producto]],'concepto_id'!A:A,'concepto_id'!B:B)</f>
        <v>6</v>
      </c>
      <c r="P52" s="79" t="str">
        <f>_xlfn.XLOOKUP(union_gastos[[#This Row],[rubro_id]],rubros!B:B,rubros!A:A)</f>
        <v>MANTENIMIENTO</v>
      </c>
    </row>
    <row r="53" spans="1:16" x14ac:dyDescent="0.3">
      <c r="A53" s="81">
        <v>46092</v>
      </c>
      <c r="B53" s="79" t="s">
        <v>3020</v>
      </c>
      <c r="C53" s="79" t="s">
        <v>3948</v>
      </c>
      <c r="D53" s="80">
        <v>-400000</v>
      </c>
      <c r="E53" s="79" t="s">
        <v>3949</v>
      </c>
      <c r="F53" s="79">
        <v>1</v>
      </c>
      <c r="G53" s="79">
        <v>400000</v>
      </c>
      <c r="H53" s="79" t="s">
        <v>34</v>
      </c>
      <c r="I53" s="79" t="s">
        <v>51</v>
      </c>
      <c r="J53" s="79" t="s">
        <v>11</v>
      </c>
      <c r="K53" s="79" t="s">
        <v>22</v>
      </c>
      <c r="L53" s="79" t="s">
        <v>21</v>
      </c>
      <c r="M53" s="79"/>
      <c r="N53" s="79" t="s">
        <v>3669</v>
      </c>
      <c r="O53" s="79">
        <f>_xlfn.XLOOKUP(union_gastos[[#This Row],[Líneas de factura/Producto]],'concepto_id'!A:A,'concepto_id'!B:B)</f>
        <v>7</v>
      </c>
      <c r="P53" s="79" t="str">
        <f>_xlfn.XLOOKUP(union_gastos[[#This Row],[rubro_id]],rubros!B:B,rubros!A:A)</f>
        <v>GASTOS OPERATIVOS</v>
      </c>
    </row>
    <row r="54" spans="1:16" hidden="1" x14ac:dyDescent="0.3">
      <c r="A54" s="81">
        <v>46091</v>
      </c>
      <c r="B54" s="79" t="s">
        <v>211</v>
      </c>
      <c r="C54" s="79" t="s">
        <v>3962</v>
      </c>
      <c r="D54" s="80">
        <v>-390334.33</v>
      </c>
      <c r="E54" s="79" t="s">
        <v>3663</v>
      </c>
      <c r="F54" s="79">
        <v>1</v>
      </c>
      <c r="G54" s="79">
        <v>390334.33</v>
      </c>
      <c r="H54" s="79" t="s">
        <v>34</v>
      </c>
      <c r="I54" s="79" t="s">
        <v>3663</v>
      </c>
      <c r="J54" s="79" t="s">
        <v>11</v>
      </c>
      <c r="K54" s="79" t="s">
        <v>22</v>
      </c>
      <c r="L54" s="79" t="s">
        <v>21</v>
      </c>
      <c r="M54" s="79"/>
      <c r="N54" s="79" t="s">
        <v>3669</v>
      </c>
      <c r="O54" s="79">
        <f>_xlfn.XLOOKUP(union_gastos[[#This Row],[Líneas de factura/Producto]],'concepto_id'!A:A,'concepto_id'!B:B)</f>
        <v>8</v>
      </c>
      <c r="P54" s="79" t="str">
        <f>_xlfn.XLOOKUP(union_gastos[[#This Row],[rubro_id]],rubros!B:B,rubros!A:A)</f>
        <v>IMPUESTOS</v>
      </c>
    </row>
    <row r="55" spans="1:16" hidden="1" x14ac:dyDescent="0.3">
      <c r="A55" s="81">
        <v>46085</v>
      </c>
      <c r="B55" s="79" t="s">
        <v>52</v>
      </c>
      <c r="C55" s="79" t="s">
        <v>4006</v>
      </c>
      <c r="D55" s="80">
        <v>-381962.3</v>
      </c>
      <c r="E55" s="79" t="s">
        <v>4007</v>
      </c>
      <c r="F55" s="79">
        <v>1</v>
      </c>
      <c r="G55" s="79">
        <v>315671.32</v>
      </c>
      <c r="H55" s="79" t="s">
        <v>34</v>
      </c>
      <c r="I55" s="79" t="s">
        <v>57</v>
      </c>
      <c r="J55" s="79" t="s">
        <v>11</v>
      </c>
      <c r="K55" s="79" t="s">
        <v>22</v>
      </c>
      <c r="L55" s="79" t="s">
        <v>21</v>
      </c>
      <c r="M55" s="79"/>
      <c r="N55" s="79" t="s">
        <v>3669</v>
      </c>
      <c r="O55" s="79">
        <f>_xlfn.XLOOKUP(union_gastos[[#This Row],[Líneas de factura/Producto]],'concepto_id'!A:A,'concepto_id'!B:B)</f>
        <v>6</v>
      </c>
      <c r="P55" s="79" t="str">
        <f>_xlfn.XLOOKUP(union_gastos[[#This Row],[rubro_id]],rubros!B:B,rubros!A:A)</f>
        <v>MANTENIMIENTO</v>
      </c>
    </row>
    <row r="56" spans="1:16" hidden="1" x14ac:dyDescent="0.3">
      <c r="A56" s="81">
        <v>46084</v>
      </c>
      <c r="B56" s="79" t="s">
        <v>26</v>
      </c>
      <c r="C56" s="79" t="s">
        <v>4012</v>
      </c>
      <c r="D56" s="80">
        <v>-365733.51</v>
      </c>
      <c r="E56" s="79" t="s">
        <v>4013</v>
      </c>
      <c r="F56" s="79">
        <v>149.5</v>
      </c>
      <c r="G56" s="79">
        <v>2021.8</v>
      </c>
      <c r="H56" s="79" t="s">
        <v>34</v>
      </c>
      <c r="I56" s="79" t="s">
        <v>57</v>
      </c>
      <c r="J56" s="79" t="s">
        <v>11</v>
      </c>
      <c r="K56" s="79" t="s">
        <v>22</v>
      </c>
      <c r="L56" s="79" t="s">
        <v>21</v>
      </c>
      <c r="M56" s="79"/>
      <c r="N56" s="79" t="s">
        <v>3669</v>
      </c>
      <c r="O56" s="79">
        <f>_xlfn.XLOOKUP(union_gastos[[#This Row],[Líneas de factura/Producto]],'concepto_id'!A:A,'concepto_id'!B:B)</f>
        <v>6</v>
      </c>
      <c r="P56" s="79" t="str">
        <f>_xlfn.XLOOKUP(union_gastos[[#This Row],[rubro_id]],rubros!B:B,rubros!A:A)</f>
        <v>MANTENIMIENTO</v>
      </c>
    </row>
    <row r="57" spans="1:16" hidden="1" x14ac:dyDescent="0.3">
      <c r="A57" s="81">
        <v>46090</v>
      </c>
      <c r="B57" s="79" t="s">
        <v>49</v>
      </c>
      <c r="C57" s="79" t="s">
        <v>3985</v>
      </c>
      <c r="D57" s="80">
        <v>-364210.99</v>
      </c>
      <c r="E57" s="79" t="s">
        <v>3986</v>
      </c>
      <c r="F57" s="79">
        <v>30</v>
      </c>
      <c r="G57" s="79">
        <v>9975.65</v>
      </c>
      <c r="H57" s="79" t="s">
        <v>34</v>
      </c>
      <c r="I57" s="79" t="s">
        <v>50</v>
      </c>
      <c r="J57" s="79" t="s">
        <v>11</v>
      </c>
      <c r="K57" s="79" t="s">
        <v>22</v>
      </c>
      <c r="L57" s="79" t="s">
        <v>20</v>
      </c>
      <c r="M57" s="79"/>
      <c r="N57" s="79" t="s">
        <v>3669</v>
      </c>
      <c r="O57" s="79">
        <f>_xlfn.XLOOKUP(union_gastos[[#This Row],[Líneas de factura/Producto]],'concepto_id'!A:A,'concepto_id'!B:B)</f>
        <v>4</v>
      </c>
      <c r="P57" s="79" t="str">
        <f>_xlfn.XLOOKUP(union_gastos[[#This Row],[rubro_id]],rubros!B:B,rubros!A:A)</f>
        <v>GENÉTICA</v>
      </c>
    </row>
    <row r="58" spans="1:16" hidden="1" x14ac:dyDescent="0.3">
      <c r="A58" s="81">
        <v>46097</v>
      </c>
      <c r="B58" s="79" t="s">
        <v>63</v>
      </c>
      <c r="C58" s="79" t="s">
        <v>3917</v>
      </c>
      <c r="D58" s="80">
        <v>-364000</v>
      </c>
      <c r="E58" s="79" t="s">
        <v>3918</v>
      </c>
      <c r="F58" s="79">
        <v>1</v>
      </c>
      <c r="G58" s="79">
        <v>364000</v>
      </c>
      <c r="H58" s="79" t="s">
        <v>34</v>
      </c>
      <c r="I58" s="79" t="s">
        <v>227</v>
      </c>
      <c r="J58" s="79" t="s">
        <v>11</v>
      </c>
      <c r="K58" s="79" t="s">
        <v>22</v>
      </c>
      <c r="L58" s="79" t="s">
        <v>20</v>
      </c>
      <c r="M58" s="79"/>
      <c r="N58" s="79" t="s">
        <v>3669</v>
      </c>
      <c r="O58" s="79">
        <f>_xlfn.XLOOKUP(union_gastos[[#This Row],[Líneas de factura/Producto]],'concepto_id'!A:A,'concepto_id'!B:B)</f>
        <v>9</v>
      </c>
      <c r="P58" s="79" t="str">
        <f>_xlfn.XLOOKUP(union_gastos[[#This Row],[rubro_id]],rubros!B:B,rubros!A:A)</f>
        <v>HONORARIOS</v>
      </c>
    </row>
    <row r="59" spans="1:16" hidden="1" x14ac:dyDescent="0.3">
      <c r="A59" s="81">
        <v>46099</v>
      </c>
      <c r="B59" s="79" t="s">
        <v>54</v>
      </c>
      <c r="C59" s="79" t="s">
        <v>3903</v>
      </c>
      <c r="D59" s="80">
        <v>-342889.64</v>
      </c>
      <c r="E59" s="79" t="s">
        <v>3904</v>
      </c>
      <c r="F59" s="79">
        <v>1</v>
      </c>
      <c r="G59" s="79">
        <v>25093.838</v>
      </c>
      <c r="H59" s="79" t="s">
        <v>34</v>
      </c>
      <c r="I59" s="79" t="s">
        <v>55</v>
      </c>
      <c r="J59" s="79" t="s">
        <v>11</v>
      </c>
      <c r="K59" s="79" t="s">
        <v>22</v>
      </c>
      <c r="L59" s="79" t="s">
        <v>20</v>
      </c>
      <c r="M59" s="79"/>
      <c r="N59" s="79" t="s">
        <v>3669</v>
      </c>
      <c r="O59" s="79">
        <f>_xlfn.XLOOKUP(union_gastos[[#This Row],[Líneas de factura/Producto]],'concepto_id'!A:A,'concepto_id'!B:B)</f>
        <v>3</v>
      </c>
      <c r="P59" s="79" t="str">
        <f>_xlfn.XLOOKUP(union_gastos[[#This Row],[rubro_id]],rubros!B:B,rubros!A:A)</f>
        <v>SANIDAD</v>
      </c>
    </row>
    <row r="60" spans="1:16" x14ac:dyDescent="0.3">
      <c r="A60" s="81">
        <v>46082</v>
      </c>
      <c r="B60" s="79" t="s">
        <v>70</v>
      </c>
      <c r="C60" s="79" t="s">
        <v>4023</v>
      </c>
      <c r="D60" s="80">
        <v>-337305.65</v>
      </c>
      <c r="E60" s="79" t="s">
        <v>51</v>
      </c>
      <c r="F60" s="79">
        <v>1</v>
      </c>
      <c r="G60" s="79">
        <v>278765</v>
      </c>
      <c r="H60" s="79" t="s">
        <v>34</v>
      </c>
      <c r="I60" s="79" t="s">
        <v>51</v>
      </c>
      <c r="J60" s="79" t="s">
        <v>11</v>
      </c>
      <c r="K60" s="79" t="s">
        <v>36</v>
      </c>
      <c r="L60" s="79" t="s">
        <v>21</v>
      </c>
      <c r="M60" s="79"/>
      <c r="N60" s="79" t="s">
        <v>3669</v>
      </c>
      <c r="O60" s="79">
        <f>_xlfn.XLOOKUP(union_gastos[[#This Row],[Líneas de factura/Producto]],'concepto_id'!A:A,'concepto_id'!B:B)</f>
        <v>7</v>
      </c>
      <c r="P60" s="79" t="str">
        <f>_xlfn.XLOOKUP(union_gastos[[#This Row],[rubro_id]],rubros!B:B,rubros!A:A)</f>
        <v>GASTOS OPERATIVOS</v>
      </c>
    </row>
    <row r="61" spans="1:16" hidden="1" x14ac:dyDescent="0.3">
      <c r="A61" s="81">
        <v>46091</v>
      </c>
      <c r="B61" s="79" t="s">
        <v>2691</v>
      </c>
      <c r="C61" s="79" t="s">
        <v>3966</v>
      </c>
      <c r="D61" s="82">
        <v>-324159</v>
      </c>
      <c r="E61" s="79" t="s">
        <v>3967</v>
      </c>
      <c r="F61" s="79">
        <v>2</v>
      </c>
      <c r="G61" s="79">
        <v>133950</v>
      </c>
      <c r="H61" s="79" t="s">
        <v>34</v>
      </c>
      <c r="I61" s="79" t="s">
        <v>57</v>
      </c>
      <c r="J61" s="79" t="s">
        <v>11</v>
      </c>
      <c r="K61" s="79" t="s">
        <v>22</v>
      </c>
      <c r="L61" s="79" t="s">
        <v>21</v>
      </c>
      <c r="M61" s="79"/>
      <c r="N61" s="79" t="s">
        <v>3669</v>
      </c>
      <c r="O61" s="79">
        <f>_xlfn.XLOOKUP(union_gastos[[#This Row],[Líneas de factura/Producto]],'concepto_id'!A:A,'concepto_id'!B:B)</f>
        <v>6</v>
      </c>
      <c r="P61" s="79" t="str">
        <f>_xlfn.XLOOKUP(union_gastos[[#This Row],[rubro_id]],rubros!B:B,rubros!A:A)</f>
        <v>MANTENIMIENTO</v>
      </c>
    </row>
    <row r="62" spans="1:16" hidden="1" x14ac:dyDescent="0.3">
      <c r="A62" s="81">
        <v>46111</v>
      </c>
      <c r="B62" s="79" t="s">
        <v>800</v>
      </c>
      <c r="C62" s="79" t="s">
        <v>3857</v>
      </c>
      <c r="D62" s="80">
        <v>-303732.45</v>
      </c>
      <c r="E62" s="79" t="s">
        <v>3858</v>
      </c>
      <c r="F62" s="79">
        <v>20</v>
      </c>
      <c r="G62" s="79">
        <v>1520.5178880000001</v>
      </c>
      <c r="H62" s="79" t="s">
        <v>34</v>
      </c>
      <c r="I62" s="79" t="s">
        <v>57</v>
      </c>
      <c r="J62" s="79" t="s">
        <v>11</v>
      </c>
      <c r="K62" s="79" t="s">
        <v>22</v>
      </c>
      <c r="L62" s="79" t="s">
        <v>21</v>
      </c>
      <c r="M62" s="79"/>
      <c r="N62" s="79" t="s">
        <v>3669</v>
      </c>
      <c r="O62" s="79">
        <f>_xlfn.XLOOKUP(union_gastos[[#This Row],[Líneas de factura/Producto]],'concepto_id'!A:A,'concepto_id'!B:B)</f>
        <v>6</v>
      </c>
      <c r="P62" s="79" t="str">
        <f>_xlfn.XLOOKUP(union_gastos[[#This Row],[rubro_id]],rubros!B:B,rubros!A:A)</f>
        <v>MANTENIMIENTO</v>
      </c>
    </row>
    <row r="63" spans="1:16" hidden="1" x14ac:dyDescent="0.3">
      <c r="A63" s="81">
        <v>46098</v>
      </c>
      <c r="B63" s="79" t="s">
        <v>59</v>
      </c>
      <c r="C63" s="79" t="s">
        <v>3912</v>
      </c>
      <c r="D63" s="82">
        <v>-303539.39</v>
      </c>
      <c r="E63" s="79" t="s">
        <v>3913</v>
      </c>
      <c r="F63" s="79">
        <v>3</v>
      </c>
      <c r="G63" s="79">
        <v>77767.66</v>
      </c>
      <c r="H63" s="79" t="s">
        <v>34</v>
      </c>
      <c r="I63" s="79" t="s">
        <v>55</v>
      </c>
      <c r="J63" s="79" t="s">
        <v>11</v>
      </c>
      <c r="K63" s="79" t="s">
        <v>22</v>
      </c>
      <c r="L63" s="79" t="s">
        <v>20</v>
      </c>
      <c r="M63" s="79"/>
      <c r="N63" s="79" t="s">
        <v>3669</v>
      </c>
      <c r="O63" s="79">
        <f>_xlfn.XLOOKUP(union_gastos[[#This Row],[Líneas de factura/Producto]],'concepto_id'!A:A,'concepto_id'!B:B)</f>
        <v>3</v>
      </c>
      <c r="P63" s="79" t="str">
        <f>_xlfn.XLOOKUP(union_gastos[[#This Row],[rubro_id]],rubros!B:B,rubros!A:A)</f>
        <v>SANIDAD</v>
      </c>
    </row>
    <row r="64" spans="1:16" x14ac:dyDescent="0.3">
      <c r="A64" s="81">
        <v>46094</v>
      </c>
      <c r="B64" s="79" t="s">
        <v>66</v>
      </c>
      <c r="C64" s="79" t="s">
        <v>3928</v>
      </c>
      <c r="D64" s="80">
        <v>-294097.61</v>
      </c>
      <c r="E64" s="79" t="s">
        <v>3929</v>
      </c>
      <c r="F64" s="79">
        <v>1</v>
      </c>
      <c r="G64" s="79">
        <v>294097.61</v>
      </c>
      <c r="H64" s="79" t="s">
        <v>34</v>
      </c>
      <c r="I64" s="79" t="s">
        <v>51</v>
      </c>
      <c r="J64" s="79" t="s">
        <v>11</v>
      </c>
      <c r="K64" s="79" t="s">
        <v>36</v>
      </c>
      <c r="L64" s="79" t="s">
        <v>21</v>
      </c>
      <c r="M64" s="79"/>
      <c r="N64" s="79" t="s">
        <v>3669</v>
      </c>
      <c r="O64" s="79">
        <f>_xlfn.XLOOKUP(union_gastos[[#This Row],[Líneas de factura/Producto]],'concepto_id'!A:A,'concepto_id'!B:B)</f>
        <v>7</v>
      </c>
      <c r="P64" s="79" t="str">
        <f>_xlfn.XLOOKUP(union_gastos[[#This Row],[rubro_id]],rubros!B:B,rubros!A:A)</f>
        <v>GASTOS OPERATIVOS</v>
      </c>
    </row>
    <row r="65" spans="1:16" hidden="1" x14ac:dyDescent="0.3">
      <c r="A65" s="81">
        <v>46112</v>
      </c>
      <c r="B65" s="79" t="s">
        <v>52</v>
      </c>
      <c r="C65" s="79" t="s">
        <v>3852</v>
      </c>
      <c r="D65" s="80">
        <v>-293208.43</v>
      </c>
      <c r="E65" s="79" t="s">
        <v>3853</v>
      </c>
      <c r="F65" s="79">
        <v>1</v>
      </c>
      <c r="G65" s="79">
        <v>242321.01999</v>
      </c>
      <c r="H65" s="79" t="s">
        <v>34</v>
      </c>
      <c r="I65" s="79" t="s">
        <v>57</v>
      </c>
      <c r="J65" s="79" t="s">
        <v>11</v>
      </c>
      <c r="K65" s="79" t="s">
        <v>22</v>
      </c>
      <c r="L65" s="79" t="s">
        <v>21</v>
      </c>
      <c r="M65" s="79"/>
      <c r="N65" s="79" t="s">
        <v>3669</v>
      </c>
      <c r="O65" s="79">
        <f>_xlfn.XLOOKUP(union_gastos[[#This Row],[Líneas de factura/Producto]],'concepto_id'!A:A,'concepto_id'!B:B)</f>
        <v>6</v>
      </c>
      <c r="P65" s="79" t="str">
        <f>_xlfn.XLOOKUP(union_gastos[[#This Row],[rubro_id]],rubros!B:B,rubros!A:A)</f>
        <v>MANTENIMIENTO</v>
      </c>
    </row>
    <row r="66" spans="1:16" x14ac:dyDescent="0.3">
      <c r="A66" s="81">
        <v>46091</v>
      </c>
      <c r="B66" s="79" t="s">
        <v>1438</v>
      </c>
      <c r="C66" s="79" t="s">
        <v>3968</v>
      </c>
      <c r="D66" s="80">
        <v>-286497.75</v>
      </c>
      <c r="E66" s="79" t="s">
        <v>3969</v>
      </c>
      <c r="F66" s="79">
        <v>1</v>
      </c>
      <c r="G66" s="79">
        <v>236775</v>
      </c>
      <c r="H66" s="79" t="s">
        <v>34</v>
      </c>
      <c r="I66" s="79" t="s">
        <v>51</v>
      </c>
      <c r="J66" s="79" t="s">
        <v>11</v>
      </c>
      <c r="K66" s="79" t="s">
        <v>22</v>
      </c>
      <c r="L66" s="79" t="s">
        <v>21</v>
      </c>
      <c r="M66" s="79"/>
      <c r="N66" s="79" t="s">
        <v>3669</v>
      </c>
      <c r="O66" s="79">
        <f>_xlfn.XLOOKUP(union_gastos[[#This Row],[Líneas de factura/Producto]],'concepto_id'!A:A,'concepto_id'!B:B)</f>
        <v>7</v>
      </c>
      <c r="P66" s="79" t="str">
        <f>_xlfn.XLOOKUP(union_gastos[[#This Row],[rubro_id]],rubros!B:B,rubros!A:A)</f>
        <v>GASTOS OPERATIVOS</v>
      </c>
    </row>
    <row r="67" spans="1:16" hidden="1" x14ac:dyDescent="0.3">
      <c r="A67" s="81">
        <v>46100</v>
      </c>
      <c r="B67" s="79" t="s">
        <v>49</v>
      </c>
      <c r="C67" s="79" t="s">
        <v>3900</v>
      </c>
      <c r="D67" s="80">
        <v>-280785.84999999998</v>
      </c>
      <c r="E67" s="79" t="s">
        <v>3851</v>
      </c>
      <c r="F67" s="79">
        <v>3</v>
      </c>
      <c r="G67" s="79">
        <v>77351.474600000001</v>
      </c>
      <c r="H67" s="79" t="s">
        <v>34</v>
      </c>
      <c r="I67" s="79" t="s">
        <v>50</v>
      </c>
      <c r="J67" s="79" t="s">
        <v>11</v>
      </c>
      <c r="K67" s="79" t="s">
        <v>22</v>
      </c>
      <c r="L67" s="79" t="s">
        <v>20</v>
      </c>
      <c r="M67" s="79"/>
      <c r="N67" s="79" t="s">
        <v>3669</v>
      </c>
      <c r="O67" s="79">
        <f>_xlfn.XLOOKUP(union_gastos[[#This Row],[Líneas de factura/Producto]],'concepto_id'!A:A,'concepto_id'!B:B)</f>
        <v>4</v>
      </c>
      <c r="P67" s="79" t="str">
        <f>_xlfn.XLOOKUP(union_gastos[[#This Row],[rubro_id]],rubros!B:B,rubros!A:A)</f>
        <v>GENÉTICA</v>
      </c>
    </row>
    <row r="68" spans="1:16" hidden="1" x14ac:dyDescent="0.3">
      <c r="A68" s="81">
        <v>46112</v>
      </c>
      <c r="B68" s="79" t="s">
        <v>49</v>
      </c>
      <c r="C68" s="79" t="s">
        <v>3850</v>
      </c>
      <c r="D68" s="80">
        <v>-279170.81</v>
      </c>
      <c r="E68" s="79" t="s">
        <v>3851</v>
      </c>
      <c r="F68" s="79">
        <v>3</v>
      </c>
      <c r="G68" s="79">
        <v>76906.559999999998</v>
      </c>
      <c r="H68" s="79" t="s">
        <v>34</v>
      </c>
      <c r="I68" s="79" t="s">
        <v>50</v>
      </c>
      <c r="J68" s="79" t="s">
        <v>11</v>
      </c>
      <c r="K68" s="79" t="s">
        <v>22</v>
      </c>
      <c r="L68" s="79" t="s">
        <v>20</v>
      </c>
      <c r="M68" s="79"/>
      <c r="N68" s="79" t="s">
        <v>3669</v>
      </c>
      <c r="O68" s="79">
        <f>_xlfn.XLOOKUP(union_gastos[[#This Row],[Líneas de factura/Producto]],'concepto_id'!A:A,'concepto_id'!B:B)</f>
        <v>4</v>
      </c>
      <c r="P68" s="79" t="str">
        <f>_xlfn.XLOOKUP(union_gastos[[#This Row],[rubro_id]],rubros!B:B,rubros!A:A)</f>
        <v>GENÉTICA</v>
      </c>
    </row>
    <row r="69" spans="1:16" hidden="1" x14ac:dyDescent="0.3">
      <c r="A69" s="81">
        <v>46085</v>
      </c>
      <c r="B69" s="79" t="s">
        <v>922</v>
      </c>
      <c r="C69" s="79" t="s">
        <v>4005</v>
      </c>
      <c r="D69" s="80">
        <v>-277000</v>
      </c>
      <c r="E69" s="79" t="s">
        <v>69</v>
      </c>
      <c r="F69" s="79">
        <v>1</v>
      </c>
      <c r="G69" s="79">
        <v>277000</v>
      </c>
      <c r="H69" s="79" t="s">
        <v>34</v>
      </c>
      <c r="I69" s="79" t="s">
        <v>227</v>
      </c>
      <c r="J69" s="79" t="s">
        <v>11</v>
      </c>
      <c r="K69" s="79" t="s">
        <v>22</v>
      </c>
      <c r="L69" s="79" t="s">
        <v>21</v>
      </c>
      <c r="M69" s="79"/>
      <c r="N69" s="79" t="s">
        <v>3669</v>
      </c>
      <c r="O69" s="79">
        <f>_xlfn.XLOOKUP(union_gastos[[#This Row],[Líneas de factura/Producto]],'concepto_id'!A:A,'concepto_id'!B:B)</f>
        <v>9</v>
      </c>
      <c r="P69" s="79" t="str">
        <f>_xlfn.XLOOKUP(union_gastos[[#This Row],[rubro_id]],rubros!B:B,rubros!A:A)</f>
        <v>HONORARIOS</v>
      </c>
    </row>
    <row r="70" spans="1:16" s="79" customFormat="1" ht="10.8" hidden="1" x14ac:dyDescent="0.25">
      <c r="A70" s="81">
        <v>46086</v>
      </c>
      <c r="B70" s="79" t="s">
        <v>49</v>
      </c>
      <c r="C70" s="79" t="s">
        <v>3991</v>
      </c>
      <c r="D70" s="80">
        <v>-272757.98</v>
      </c>
      <c r="E70" s="79" t="s">
        <v>3851</v>
      </c>
      <c r="F70" s="79">
        <v>3</v>
      </c>
      <c r="G70" s="79">
        <v>75139.94</v>
      </c>
      <c r="H70" s="79" t="s">
        <v>34</v>
      </c>
      <c r="I70" s="79" t="s">
        <v>50</v>
      </c>
      <c r="J70" s="79" t="s">
        <v>11</v>
      </c>
      <c r="K70" s="79" t="s">
        <v>22</v>
      </c>
      <c r="L70" s="79" t="s">
        <v>20</v>
      </c>
      <c r="N70" s="79" t="s">
        <v>3669</v>
      </c>
      <c r="O70" s="79">
        <f>_xlfn.XLOOKUP(union_gastos[[#This Row],[Líneas de factura/Producto]],'concepto_id'!A:A,'concepto_id'!B:B)</f>
        <v>4</v>
      </c>
      <c r="P70" s="79" t="str">
        <f>_xlfn.XLOOKUP(union_gastos[[#This Row],[rubro_id]],rubros!B:B,rubros!A:A)</f>
        <v>GENÉTICA</v>
      </c>
    </row>
    <row r="71" spans="1:16" s="79" customFormat="1" ht="10.8" hidden="1" x14ac:dyDescent="0.25">
      <c r="A71" s="81">
        <v>46090</v>
      </c>
      <c r="B71" s="79" t="s">
        <v>91</v>
      </c>
      <c r="C71" s="79" t="s">
        <v>3987</v>
      </c>
      <c r="D71" s="80">
        <v>-270870.59999999998</v>
      </c>
      <c r="E71" s="79" t="s">
        <v>3988</v>
      </c>
      <c r="F71" s="79">
        <v>20</v>
      </c>
      <c r="G71" s="79">
        <v>11193</v>
      </c>
      <c r="H71" s="79" t="s">
        <v>34</v>
      </c>
      <c r="I71" s="79" t="s">
        <v>57</v>
      </c>
      <c r="J71" s="79" t="s">
        <v>11</v>
      </c>
      <c r="K71" s="79" t="s">
        <v>22</v>
      </c>
      <c r="L71" s="79" t="s">
        <v>21</v>
      </c>
      <c r="N71" s="79" t="s">
        <v>3669</v>
      </c>
      <c r="O71" s="79">
        <f>_xlfn.XLOOKUP(union_gastos[[#This Row],[Líneas de factura/Producto]],'concepto_id'!A:A,'concepto_id'!B:B)</f>
        <v>6</v>
      </c>
      <c r="P71" s="79" t="str">
        <f>_xlfn.XLOOKUP(union_gastos[[#This Row],[rubro_id]],rubros!B:B,rubros!A:A)</f>
        <v>MANTENIMIENTO</v>
      </c>
    </row>
    <row r="72" spans="1:16" s="79" customFormat="1" ht="10.8" x14ac:dyDescent="0.25">
      <c r="A72" s="81">
        <v>46101</v>
      </c>
      <c r="B72" s="79" t="s">
        <v>3893</v>
      </c>
      <c r="C72" s="79" t="s">
        <v>3894</v>
      </c>
      <c r="D72" s="80">
        <v>-269011.94</v>
      </c>
      <c r="E72" s="79" t="s">
        <v>3895</v>
      </c>
      <c r="F72" s="79">
        <v>1</v>
      </c>
      <c r="G72" s="79">
        <v>222323.92</v>
      </c>
      <c r="H72" s="79" t="s">
        <v>34</v>
      </c>
      <c r="I72" s="79" t="s">
        <v>51</v>
      </c>
      <c r="J72" s="79" t="s">
        <v>11</v>
      </c>
      <c r="K72" s="79" t="s">
        <v>22</v>
      </c>
      <c r="L72" s="79" t="s">
        <v>21</v>
      </c>
      <c r="N72" s="79" t="s">
        <v>3669</v>
      </c>
      <c r="O72" s="79">
        <f>_xlfn.XLOOKUP(union_gastos[[#This Row],[Líneas de factura/Producto]],'concepto_id'!A:A,'concepto_id'!B:B)</f>
        <v>7</v>
      </c>
      <c r="P72" s="79" t="str">
        <f>_xlfn.XLOOKUP(union_gastos[[#This Row],[rubro_id]],rubros!B:B,rubros!A:A)</f>
        <v>GASTOS OPERATIVOS</v>
      </c>
    </row>
    <row r="73" spans="1:16" s="79" customFormat="1" ht="10.8" hidden="1" x14ac:dyDescent="0.25">
      <c r="A73" s="81">
        <v>46111</v>
      </c>
      <c r="B73" s="79" t="s">
        <v>75</v>
      </c>
      <c r="C73" s="79" t="s">
        <v>3854</v>
      </c>
      <c r="D73" s="80">
        <v>-265043.43</v>
      </c>
      <c r="E73" s="79" t="s">
        <v>3855</v>
      </c>
      <c r="F73" s="79">
        <v>96</v>
      </c>
      <c r="G73" s="79">
        <v>2281.71</v>
      </c>
      <c r="H73" s="79" t="s">
        <v>34</v>
      </c>
      <c r="I73" s="79" t="s">
        <v>50</v>
      </c>
      <c r="J73" s="79" t="s">
        <v>11</v>
      </c>
      <c r="K73" s="79" t="s">
        <v>22</v>
      </c>
      <c r="L73" s="79" t="s">
        <v>20</v>
      </c>
      <c r="N73" s="79" t="s">
        <v>3669</v>
      </c>
      <c r="O73" s="79">
        <f>_xlfn.XLOOKUP(union_gastos[[#This Row],[Líneas de factura/Producto]],'concepto_id'!A:A,'concepto_id'!B:B)</f>
        <v>4</v>
      </c>
      <c r="P73" s="79" t="str">
        <f>_xlfn.XLOOKUP(union_gastos[[#This Row],[rubro_id]],rubros!B:B,rubros!A:A)</f>
        <v>GENÉTICA</v>
      </c>
    </row>
    <row r="74" spans="1:16" s="79" customFormat="1" ht="10.8" x14ac:dyDescent="0.25">
      <c r="A74" s="81">
        <v>46086</v>
      </c>
      <c r="B74" s="79" t="s">
        <v>28</v>
      </c>
      <c r="C74" s="79" t="s">
        <v>3996</v>
      </c>
      <c r="D74" s="80">
        <v>-253660.31</v>
      </c>
      <c r="E74" s="79" t="s">
        <v>3997</v>
      </c>
      <c r="F74" s="79">
        <v>1</v>
      </c>
      <c r="G74" s="79">
        <v>209636.62</v>
      </c>
      <c r="H74" s="79" t="s">
        <v>34</v>
      </c>
      <c r="I74" s="79" t="s">
        <v>51</v>
      </c>
      <c r="J74" s="79" t="s">
        <v>11</v>
      </c>
      <c r="K74" s="79" t="s">
        <v>22</v>
      </c>
      <c r="L74" s="79" t="s">
        <v>21</v>
      </c>
      <c r="N74" s="79" t="s">
        <v>3669</v>
      </c>
      <c r="O74" s="79">
        <f>_xlfn.XLOOKUP(union_gastos[[#This Row],[Líneas de factura/Producto]],'concepto_id'!A:A,'concepto_id'!B:B)</f>
        <v>7</v>
      </c>
      <c r="P74" s="79" t="str">
        <f>_xlfn.XLOOKUP(union_gastos[[#This Row],[rubro_id]],rubros!B:B,rubros!A:A)</f>
        <v>GASTOS OPERATIVOS</v>
      </c>
    </row>
    <row r="75" spans="1:16" s="79" customFormat="1" ht="10.8" x14ac:dyDescent="0.25">
      <c r="A75" s="81">
        <v>46097</v>
      </c>
      <c r="B75" s="79" t="s">
        <v>3924</v>
      </c>
      <c r="C75" s="79" t="s">
        <v>3925</v>
      </c>
      <c r="D75" s="82">
        <v>-225721.37</v>
      </c>
      <c r="E75" s="79" t="s">
        <v>3926</v>
      </c>
      <c r="F75" s="79">
        <v>1</v>
      </c>
      <c r="G75" s="79">
        <v>225721.37</v>
      </c>
      <c r="H75" s="79" t="s">
        <v>34</v>
      </c>
      <c r="I75" s="79" t="s">
        <v>51</v>
      </c>
      <c r="J75" s="79" t="s">
        <v>113</v>
      </c>
      <c r="K75" s="79" t="s">
        <v>22</v>
      </c>
      <c r="L75" s="79" t="s">
        <v>21</v>
      </c>
      <c r="N75" s="79" t="s">
        <v>3669</v>
      </c>
      <c r="O75" s="79">
        <f>_xlfn.XLOOKUP(union_gastos[[#This Row],[Líneas de factura/Producto]],'concepto_id'!A:A,'concepto_id'!B:B)</f>
        <v>7</v>
      </c>
      <c r="P75" s="79" t="str">
        <f>_xlfn.XLOOKUP(union_gastos[[#This Row],[rubro_id]],rubros!B:B,rubros!A:A)</f>
        <v>GASTOS OPERATIVOS</v>
      </c>
    </row>
    <row r="76" spans="1:16" s="79" customFormat="1" ht="10.8" x14ac:dyDescent="0.25">
      <c r="A76" s="81">
        <v>46112</v>
      </c>
      <c r="B76" s="79" t="s">
        <v>175</v>
      </c>
      <c r="C76" s="79" t="s">
        <v>3845</v>
      </c>
      <c r="D76" s="82">
        <v>-225600</v>
      </c>
      <c r="E76" s="79" t="s">
        <v>51</v>
      </c>
      <c r="F76" s="79">
        <v>47</v>
      </c>
      <c r="G76" s="79">
        <v>4800</v>
      </c>
      <c r="H76" s="79" t="s">
        <v>34</v>
      </c>
      <c r="I76" s="79" t="s">
        <v>51</v>
      </c>
      <c r="J76" s="79" t="s">
        <v>11</v>
      </c>
      <c r="K76" s="79" t="s">
        <v>22</v>
      </c>
      <c r="L76" s="79" t="s">
        <v>21</v>
      </c>
      <c r="N76" s="79" t="s">
        <v>3669</v>
      </c>
      <c r="O76" s="79">
        <f>_xlfn.XLOOKUP(union_gastos[[#This Row],[Líneas de factura/Producto]],'concepto_id'!A:A,'concepto_id'!B:B)</f>
        <v>7</v>
      </c>
      <c r="P76" s="79" t="str">
        <f>_xlfn.XLOOKUP(union_gastos[[#This Row],[rubro_id]],rubros!B:B,rubros!A:A)</f>
        <v>GASTOS OPERATIVOS</v>
      </c>
    </row>
    <row r="77" spans="1:16" s="79" customFormat="1" ht="10.8" hidden="1" x14ac:dyDescent="0.25">
      <c r="A77" s="81">
        <v>46098</v>
      </c>
      <c r="B77" s="79" t="s">
        <v>75</v>
      </c>
      <c r="C77" s="79" t="s">
        <v>3914</v>
      </c>
      <c r="D77" s="80">
        <v>-198501.18</v>
      </c>
      <c r="E77" s="79" t="s">
        <v>3915</v>
      </c>
      <c r="F77" s="79">
        <v>72</v>
      </c>
      <c r="G77" s="79">
        <v>2278.48</v>
      </c>
      <c r="H77" s="79" t="s">
        <v>34</v>
      </c>
      <c r="I77" s="79" t="s">
        <v>50</v>
      </c>
      <c r="J77" s="79" t="s">
        <v>11</v>
      </c>
      <c r="K77" s="79" t="s">
        <v>22</v>
      </c>
      <c r="L77" s="79" t="s">
        <v>20</v>
      </c>
      <c r="N77" s="79" t="s">
        <v>3669</v>
      </c>
      <c r="O77" s="79">
        <f>_xlfn.XLOOKUP(union_gastos[[#This Row],[Líneas de factura/Producto]],'concepto_id'!A:A,'concepto_id'!B:B)</f>
        <v>4</v>
      </c>
      <c r="P77" s="79" t="str">
        <f>_xlfn.XLOOKUP(union_gastos[[#This Row],[rubro_id]],rubros!B:B,rubros!A:A)</f>
        <v>GENÉTICA</v>
      </c>
    </row>
    <row r="78" spans="1:16" s="79" customFormat="1" ht="10.8" x14ac:dyDescent="0.25">
      <c r="A78" s="81">
        <v>46084</v>
      </c>
      <c r="B78" s="79" t="s">
        <v>65</v>
      </c>
      <c r="C78" s="79" t="s">
        <v>4014</v>
      </c>
      <c r="D78" s="80">
        <v>-128744</v>
      </c>
      <c r="E78" s="79" t="s">
        <v>4015</v>
      </c>
      <c r="F78" s="79">
        <v>1</v>
      </c>
      <c r="G78" s="79">
        <v>106400</v>
      </c>
      <c r="H78" s="79" t="s">
        <v>34</v>
      </c>
      <c r="I78" s="79" t="s">
        <v>51</v>
      </c>
      <c r="J78" s="79" t="s">
        <v>11</v>
      </c>
      <c r="K78" s="79" t="s">
        <v>36</v>
      </c>
      <c r="L78" s="79" t="s">
        <v>21</v>
      </c>
      <c r="N78" s="79" t="s">
        <v>3669</v>
      </c>
      <c r="O78" s="79">
        <f>_xlfn.XLOOKUP(union_gastos[[#This Row],[Líneas de factura/Producto]],'concepto_id'!A:A,'concepto_id'!B:B)</f>
        <v>7</v>
      </c>
      <c r="P78" s="79" t="str">
        <f>_xlfn.XLOOKUP(union_gastos[[#This Row],[rubro_id]],rubros!B:B,rubros!A:A)</f>
        <v>GASTOS OPERATIVOS</v>
      </c>
    </row>
    <row r="79" spans="1:16" hidden="1" x14ac:dyDescent="0.3">
      <c r="A79" s="81">
        <v>46112</v>
      </c>
      <c r="B79" s="79" t="s">
        <v>59</v>
      </c>
      <c r="C79" s="79" t="s">
        <v>3846</v>
      </c>
      <c r="D79" s="82">
        <v>-127060.24</v>
      </c>
      <c r="E79" s="79" t="s">
        <v>3847</v>
      </c>
      <c r="F79" s="79">
        <v>1</v>
      </c>
      <c r="G79" s="79">
        <v>105008.46</v>
      </c>
      <c r="H79" s="79" t="s">
        <v>34</v>
      </c>
      <c r="I79" s="79" t="s">
        <v>55</v>
      </c>
      <c r="J79" s="79" t="s">
        <v>11</v>
      </c>
      <c r="K79" s="79" t="s">
        <v>22</v>
      </c>
      <c r="L79" s="79" t="s">
        <v>20</v>
      </c>
      <c r="M79" s="79"/>
      <c r="N79" s="79" t="s">
        <v>3669</v>
      </c>
      <c r="O79" s="79">
        <f>_xlfn.XLOOKUP(union_gastos[[#This Row],[Líneas de factura/Producto]],'concepto_id'!A:A,'concepto_id'!B:B)</f>
        <v>3</v>
      </c>
      <c r="P79" s="79" t="str">
        <f>_xlfn.XLOOKUP(union_gastos[[#This Row],[rubro_id]],rubros!B:B,rubros!A:A)</f>
        <v>SANIDAD</v>
      </c>
    </row>
    <row r="80" spans="1:16" x14ac:dyDescent="0.3">
      <c r="A80" s="81">
        <v>46108</v>
      </c>
      <c r="B80" s="79" t="s">
        <v>1311</v>
      </c>
      <c r="C80" s="79" t="s">
        <v>3868</v>
      </c>
      <c r="D80" s="82">
        <v>-104544</v>
      </c>
      <c r="E80" s="79" t="s">
        <v>51</v>
      </c>
      <c r="F80" s="79">
        <v>20</v>
      </c>
      <c r="G80" s="79">
        <v>4320</v>
      </c>
      <c r="H80" s="79" t="s">
        <v>34</v>
      </c>
      <c r="I80" s="79" t="s">
        <v>51</v>
      </c>
      <c r="J80" s="79" t="s">
        <v>11</v>
      </c>
      <c r="K80" s="79" t="s">
        <v>22</v>
      </c>
      <c r="L80" s="79" t="s">
        <v>20</v>
      </c>
      <c r="M80" s="79"/>
      <c r="N80" s="79" t="s">
        <v>3669</v>
      </c>
      <c r="O80" s="79">
        <f>_xlfn.XLOOKUP(union_gastos[[#This Row],[Líneas de factura/Producto]],'concepto_id'!A:A,'concepto_id'!B:B)</f>
        <v>7</v>
      </c>
      <c r="P80" s="79" t="str">
        <f>_xlfn.XLOOKUP(union_gastos[[#This Row],[rubro_id]],rubros!B:B,rubros!A:A)</f>
        <v>GASTOS OPERATIVOS</v>
      </c>
    </row>
    <row r="81" spans="1:16" x14ac:dyDescent="0.3">
      <c r="A81" s="81">
        <v>46092</v>
      </c>
      <c r="B81" s="79" t="s">
        <v>3950</v>
      </c>
      <c r="C81" s="79" t="s">
        <v>3951</v>
      </c>
      <c r="D81" s="82">
        <v>-100000</v>
      </c>
      <c r="E81" s="79" t="s">
        <v>3952</v>
      </c>
      <c r="F81" s="79">
        <v>1</v>
      </c>
      <c r="G81" s="79">
        <v>100000</v>
      </c>
      <c r="H81" s="79" t="s">
        <v>34</v>
      </c>
      <c r="I81" s="79" t="s">
        <v>51</v>
      </c>
      <c r="J81" s="79" t="s">
        <v>11</v>
      </c>
      <c r="K81" s="79" t="s">
        <v>22</v>
      </c>
      <c r="L81" s="79" t="s">
        <v>21</v>
      </c>
      <c r="M81" s="79"/>
      <c r="N81" s="79" t="s">
        <v>3669</v>
      </c>
      <c r="O81" s="79">
        <f>_xlfn.XLOOKUP(union_gastos[[#This Row],[Líneas de factura/Producto]],'concepto_id'!A:A,'concepto_id'!B:B)</f>
        <v>7</v>
      </c>
      <c r="P81" s="79" t="str">
        <f>_xlfn.XLOOKUP(union_gastos[[#This Row],[rubro_id]],rubros!B:B,rubros!A:A)</f>
        <v>GASTOS OPERATIVOS</v>
      </c>
    </row>
    <row r="82" spans="1:16" hidden="1" x14ac:dyDescent="0.3">
      <c r="A82" s="81">
        <v>46091</v>
      </c>
      <c r="B82" s="79" t="s">
        <v>824</v>
      </c>
      <c r="C82" s="79" t="s">
        <v>3964</v>
      </c>
      <c r="D82" s="82">
        <v>-83154.23</v>
      </c>
      <c r="E82" s="79" t="s">
        <v>3965</v>
      </c>
      <c r="F82" s="79">
        <v>30</v>
      </c>
      <c r="G82" s="79">
        <v>2290.75</v>
      </c>
      <c r="H82" s="79" t="s">
        <v>34</v>
      </c>
      <c r="I82" s="79" t="s">
        <v>57</v>
      </c>
      <c r="J82" s="79" t="s">
        <v>11</v>
      </c>
      <c r="K82" s="79" t="s">
        <v>22</v>
      </c>
      <c r="L82" s="79" t="s">
        <v>21</v>
      </c>
      <c r="M82" s="79"/>
      <c r="N82" s="79" t="s">
        <v>3669</v>
      </c>
      <c r="O82" s="79">
        <f>_xlfn.XLOOKUP(union_gastos[[#This Row],[Líneas de factura/Producto]],'concepto_id'!A:A,'concepto_id'!B:B)</f>
        <v>6</v>
      </c>
      <c r="P82" s="79" t="str">
        <f>_xlfn.XLOOKUP(union_gastos[[#This Row],[rubro_id]],rubros!B:B,rubros!A:A)</f>
        <v>MANTENIMIENTO</v>
      </c>
    </row>
    <row r="83" spans="1:16" x14ac:dyDescent="0.3">
      <c r="A83" s="81">
        <v>46099</v>
      </c>
      <c r="B83" s="79" t="s">
        <v>3893</v>
      </c>
      <c r="C83" s="79" t="s">
        <v>3907</v>
      </c>
      <c r="D83" s="82">
        <v>-80094.33</v>
      </c>
      <c r="E83" s="79" t="s">
        <v>51</v>
      </c>
      <c r="F83" s="79">
        <v>1</v>
      </c>
      <c r="G83" s="79">
        <v>66193.66</v>
      </c>
      <c r="H83" s="79" t="s">
        <v>34</v>
      </c>
      <c r="I83" s="79" t="s">
        <v>51</v>
      </c>
      <c r="J83" s="79" t="s">
        <v>11</v>
      </c>
      <c r="K83" s="79" t="s">
        <v>22</v>
      </c>
      <c r="L83" s="79" t="s">
        <v>21</v>
      </c>
      <c r="M83" s="79"/>
      <c r="N83" s="79" t="s">
        <v>3669</v>
      </c>
      <c r="O83" s="79">
        <f>_xlfn.XLOOKUP(union_gastos[[#This Row],[Líneas de factura/Producto]],'concepto_id'!A:A,'concepto_id'!B:B)</f>
        <v>7</v>
      </c>
      <c r="P83" s="79" t="str">
        <f>_xlfn.XLOOKUP(union_gastos[[#This Row],[rubro_id]],rubros!B:B,rubros!A:A)</f>
        <v>GASTOS OPERATIVOS</v>
      </c>
    </row>
    <row r="84" spans="1:16" x14ac:dyDescent="0.3">
      <c r="A84" s="81">
        <v>46099</v>
      </c>
      <c r="B84" s="79" t="s">
        <v>3893</v>
      </c>
      <c r="C84" s="79" t="s">
        <v>3908</v>
      </c>
      <c r="D84" s="82">
        <v>-80094.33</v>
      </c>
      <c r="E84" s="79" t="s">
        <v>51</v>
      </c>
      <c r="F84" s="79">
        <v>1</v>
      </c>
      <c r="G84" s="79">
        <v>66193.66</v>
      </c>
      <c r="H84" s="79" t="s">
        <v>34</v>
      </c>
      <c r="I84" s="79" t="s">
        <v>51</v>
      </c>
      <c r="J84" s="79" t="s">
        <v>11</v>
      </c>
      <c r="K84" s="79" t="s">
        <v>22</v>
      </c>
      <c r="L84" s="79" t="s">
        <v>21</v>
      </c>
      <c r="M84" s="79"/>
      <c r="N84" s="79" t="s">
        <v>3669</v>
      </c>
      <c r="O84" s="79">
        <f>_xlfn.XLOOKUP(union_gastos[[#This Row],[Líneas de factura/Producto]],'concepto_id'!A:A,'concepto_id'!B:B)</f>
        <v>7</v>
      </c>
      <c r="P84" s="79" t="str">
        <f>_xlfn.XLOOKUP(union_gastos[[#This Row],[rubro_id]],rubros!B:B,rubros!A:A)</f>
        <v>GASTOS OPERATIVOS</v>
      </c>
    </row>
    <row r="85" spans="1:16" hidden="1" x14ac:dyDescent="0.3">
      <c r="A85" s="81">
        <v>46106</v>
      </c>
      <c r="B85" s="79" t="s">
        <v>824</v>
      </c>
      <c r="C85" s="79" t="s">
        <v>3877</v>
      </c>
      <c r="D85" s="82">
        <v>-77157.17</v>
      </c>
      <c r="E85" s="79" t="s">
        <v>3878</v>
      </c>
      <c r="F85" s="79">
        <v>45</v>
      </c>
      <c r="G85" s="79">
        <v>1541.91</v>
      </c>
      <c r="H85" s="79" t="s">
        <v>34</v>
      </c>
      <c r="I85" s="79" t="s">
        <v>57</v>
      </c>
      <c r="J85" s="79" t="s">
        <v>11</v>
      </c>
      <c r="K85" s="79" t="s">
        <v>22</v>
      </c>
      <c r="L85" s="79" t="s">
        <v>21</v>
      </c>
      <c r="M85" s="79"/>
      <c r="N85" s="79" t="s">
        <v>3669</v>
      </c>
      <c r="O85" s="79">
        <f>_xlfn.XLOOKUP(union_gastos[[#This Row],[Líneas de factura/Producto]],'concepto_id'!A:A,'concepto_id'!B:B)</f>
        <v>6</v>
      </c>
      <c r="P85" s="79" t="str">
        <f>_xlfn.XLOOKUP(union_gastos[[#This Row],[rubro_id]],rubros!B:B,rubros!A:A)</f>
        <v>MANTENIMIENTO</v>
      </c>
    </row>
    <row r="86" spans="1:16" x14ac:dyDescent="0.3">
      <c r="A86" s="81">
        <v>46084</v>
      </c>
      <c r="B86" s="79" t="s">
        <v>47</v>
      </c>
      <c r="C86" s="79" t="s">
        <v>4008</v>
      </c>
      <c r="D86" s="82">
        <v>-62999</v>
      </c>
      <c r="E86" s="79" t="s">
        <v>4009</v>
      </c>
      <c r="F86" s="79">
        <v>1</v>
      </c>
      <c r="G86" s="79">
        <v>62999</v>
      </c>
      <c r="H86" s="79" t="s">
        <v>34</v>
      </c>
      <c r="I86" s="79" t="s">
        <v>51</v>
      </c>
      <c r="J86" s="79" t="s">
        <v>11</v>
      </c>
      <c r="K86" s="79" t="s">
        <v>36</v>
      </c>
      <c r="L86" s="79" t="s">
        <v>21</v>
      </c>
      <c r="M86" s="79"/>
      <c r="N86" s="79" t="s">
        <v>3669</v>
      </c>
      <c r="O86" s="79">
        <f>_xlfn.XLOOKUP(union_gastos[[#This Row],[Líneas de factura/Producto]],'concepto_id'!A:A,'concepto_id'!B:B)</f>
        <v>7</v>
      </c>
      <c r="P86" s="79" t="str">
        <f>_xlfn.XLOOKUP(union_gastos[[#This Row],[rubro_id]],rubros!B:B,rubros!A:A)</f>
        <v>GASTOS OPERATIVOS</v>
      </c>
    </row>
    <row r="87" spans="1:16" hidden="1" x14ac:dyDescent="0.3">
      <c r="A87" s="81">
        <v>46091</v>
      </c>
      <c r="B87" s="79" t="s">
        <v>800</v>
      </c>
      <c r="C87" s="79" t="s">
        <v>3978</v>
      </c>
      <c r="D87" s="82">
        <v>-57200.25</v>
      </c>
      <c r="E87" s="79" t="s">
        <v>3979</v>
      </c>
      <c r="F87" s="79">
        <v>1</v>
      </c>
      <c r="G87" s="79">
        <v>47272.93</v>
      </c>
      <c r="H87" s="79" t="s">
        <v>34</v>
      </c>
      <c r="I87" s="79" t="s">
        <v>57</v>
      </c>
      <c r="J87" s="79" t="s">
        <v>11</v>
      </c>
      <c r="K87" s="79" t="s">
        <v>22</v>
      </c>
      <c r="L87" s="79" t="s">
        <v>21</v>
      </c>
      <c r="M87" s="79"/>
      <c r="N87" s="79" t="s">
        <v>3669</v>
      </c>
      <c r="O87" s="79">
        <f>_xlfn.XLOOKUP(union_gastos[[#This Row],[Líneas de factura/Producto]],'concepto_id'!A:A,'concepto_id'!B:B)</f>
        <v>6</v>
      </c>
      <c r="P87" s="79" t="str">
        <f>_xlfn.XLOOKUP(union_gastos[[#This Row],[rubro_id]],rubros!B:B,rubros!A:A)</f>
        <v>MANTENIMIENTO</v>
      </c>
    </row>
    <row r="88" spans="1:16" hidden="1" x14ac:dyDescent="0.3">
      <c r="A88" s="81">
        <v>46112</v>
      </c>
      <c r="B88" s="79" t="s">
        <v>3843</v>
      </c>
      <c r="C88" s="79" t="s">
        <v>3844</v>
      </c>
      <c r="D88" s="80">
        <v>-51343.54</v>
      </c>
      <c r="E88" s="79" t="s">
        <v>227</v>
      </c>
      <c r="F88" s="79">
        <v>1</v>
      </c>
      <c r="G88" s="79">
        <v>51343.54</v>
      </c>
      <c r="H88" s="79" t="s">
        <v>34</v>
      </c>
      <c r="I88" s="79" t="s">
        <v>227</v>
      </c>
      <c r="J88" s="79" t="s">
        <v>11</v>
      </c>
      <c r="K88" s="79" t="s">
        <v>22</v>
      </c>
      <c r="L88" s="79" t="s">
        <v>21</v>
      </c>
      <c r="M88" s="79"/>
      <c r="N88" s="79" t="s">
        <v>3669</v>
      </c>
      <c r="O88" s="79">
        <f>_xlfn.XLOOKUP(union_gastos[[#This Row],[Líneas de factura/Producto]],'concepto_id'!A:A,'concepto_id'!B:B)</f>
        <v>9</v>
      </c>
      <c r="P88" s="79" t="str">
        <f>_xlfn.XLOOKUP(union_gastos[[#This Row],[rubro_id]],rubros!B:B,rubros!A:A)</f>
        <v>HONORARIOS</v>
      </c>
    </row>
    <row r="89" spans="1:16" x14ac:dyDescent="0.3">
      <c r="A89" s="81">
        <v>46091</v>
      </c>
      <c r="B89" s="79" t="s">
        <v>900</v>
      </c>
      <c r="C89" s="79" t="s">
        <v>3975</v>
      </c>
      <c r="D89" s="80">
        <v>-51000.01</v>
      </c>
      <c r="E89" s="79" t="s">
        <v>3875</v>
      </c>
      <c r="F89" s="79">
        <v>3</v>
      </c>
      <c r="G89" s="79">
        <v>14049.59</v>
      </c>
      <c r="H89" s="79" t="s">
        <v>34</v>
      </c>
      <c r="I89" s="79" t="s">
        <v>51</v>
      </c>
      <c r="J89" s="79" t="s">
        <v>11</v>
      </c>
      <c r="K89" s="79" t="s">
        <v>22</v>
      </c>
      <c r="L89" s="79" t="s">
        <v>20</v>
      </c>
      <c r="M89" s="79"/>
      <c r="N89" s="79" t="s">
        <v>3669</v>
      </c>
      <c r="O89" s="79">
        <f>_xlfn.XLOOKUP(union_gastos[[#This Row],[Líneas de factura/Producto]],'concepto_id'!A:A,'concepto_id'!B:B)</f>
        <v>7</v>
      </c>
      <c r="P89" s="79" t="str">
        <f>_xlfn.XLOOKUP(union_gastos[[#This Row],[rubro_id]],rubros!B:B,rubros!A:A)</f>
        <v>GASTOS OPERATIVOS</v>
      </c>
    </row>
    <row r="90" spans="1:16" x14ac:dyDescent="0.3">
      <c r="A90" s="81">
        <v>46087</v>
      </c>
      <c r="B90" s="79" t="s">
        <v>38</v>
      </c>
      <c r="C90" s="79" t="s">
        <v>3989</v>
      </c>
      <c r="D90" s="82">
        <v>-32702.55</v>
      </c>
      <c r="E90" s="79" t="s">
        <v>3990</v>
      </c>
      <c r="F90" s="79">
        <v>1</v>
      </c>
      <c r="G90" s="79">
        <v>27026.9</v>
      </c>
      <c r="H90" s="79" t="s">
        <v>34</v>
      </c>
      <c r="I90" s="79" t="s">
        <v>51</v>
      </c>
      <c r="J90" s="79" t="s">
        <v>11</v>
      </c>
      <c r="K90" s="79" t="s">
        <v>22</v>
      </c>
      <c r="L90" s="79" t="s">
        <v>21</v>
      </c>
      <c r="M90" s="79"/>
      <c r="N90" s="79" t="s">
        <v>3669</v>
      </c>
      <c r="O90" s="79">
        <f>_xlfn.XLOOKUP(union_gastos[[#This Row],[Líneas de factura/Producto]],'concepto_id'!A:A,'concepto_id'!B:B)</f>
        <v>7</v>
      </c>
      <c r="P90" s="79" t="str">
        <f>_xlfn.XLOOKUP(union_gastos[[#This Row],[rubro_id]],rubros!B:B,rubros!A:A)</f>
        <v>GASTOS OPERATIVOS</v>
      </c>
    </row>
    <row r="91" spans="1:16" hidden="1" x14ac:dyDescent="0.3">
      <c r="A91" s="81">
        <v>46084</v>
      </c>
      <c r="B91" s="79" t="s">
        <v>58</v>
      </c>
      <c r="C91" s="79" t="s">
        <v>4010</v>
      </c>
      <c r="D91" s="82">
        <v>-32407</v>
      </c>
      <c r="E91" s="79" t="s">
        <v>4011</v>
      </c>
      <c r="F91" s="79">
        <v>100</v>
      </c>
      <c r="G91" s="79">
        <v>267</v>
      </c>
      <c r="H91" s="79" t="s">
        <v>34</v>
      </c>
      <c r="I91" s="79" t="s">
        <v>55</v>
      </c>
      <c r="J91" s="79" t="s">
        <v>11</v>
      </c>
      <c r="K91" s="79" t="s">
        <v>22</v>
      </c>
      <c r="L91" s="79" t="s">
        <v>20</v>
      </c>
      <c r="M91" s="79"/>
      <c r="N91" s="79" t="s">
        <v>3669</v>
      </c>
      <c r="O91" s="79">
        <f>_xlfn.XLOOKUP(union_gastos[[#This Row],[Líneas de factura/Producto]],'concepto_id'!A:A,'concepto_id'!B:B)</f>
        <v>3</v>
      </c>
      <c r="P91" s="79" t="str">
        <f>_xlfn.XLOOKUP(union_gastos[[#This Row],[rubro_id]],rubros!B:B,rubros!A:A)</f>
        <v>SANIDAD</v>
      </c>
    </row>
    <row r="92" spans="1:16" hidden="1" x14ac:dyDescent="0.3">
      <c r="A92" s="81">
        <v>46107</v>
      </c>
      <c r="B92" s="79" t="s">
        <v>58</v>
      </c>
      <c r="C92" s="79" t="s">
        <v>3870</v>
      </c>
      <c r="D92" s="82">
        <v>-31264.73</v>
      </c>
      <c r="E92" s="79" t="s">
        <v>3871</v>
      </c>
      <c r="F92" s="79">
        <v>7</v>
      </c>
      <c r="G92" s="79">
        <v>3670</v>
      </c>
      <c r="H92" s="79" t="s">
        <v>34</v>
      </c>
      <c r="I92" s="79" t="s">
        <v>55</v>
      </c>
      <c r="J92" s="79" t="s">
        <v>11</v>
      </c>
      <c r="K92" s="79" t="s">
        <v>22</v>
      </c>
      <c r="L92" s="79" t="s">
        <v>20</v>
      </c>
      <c r="M92" s="79"/>
      <c r="N92" s="79" t="s">
        <v>3669</v>
      </c>
      <c r="O92" s="79">
        <f>_xlfn.XLOOKUP(union_gastos[[#This Row],[Líneas de factura/Producto]],'concepto_id'!A:A,'concepto_id'!B:B)</f>
        <v>3</v>
      </c>
      <c r="P92" s="79" t="str">
        <f>_xlfn.XLOOKUP(union_gastos[[#This Row],[rubro_id]],rubros!B:B,rubros!A:A)</f>
        <v>SANIDAD</v>
      </c>
    </row>
    <row r="93" spans="1:16" hidden="1" x14ac:dyDescent="0.3">
      <c r="A93" s="81">
        <v>46091</v>
      </c>
      <c r="B93" s="79" t="s">
        <v>76</v>
      </c>
      <c r="C93" s="79" t="s">
        <v>3963</v>
      </c>
      <c r="D93" s="82">
        <v>-31161.34</v>
      </c>
      <c r="E93" s="79" t="s">
        <v>3663</v>
      </c>
      <c r="F93" s="79">
        <v>1</v>
      </c>
      <c r="G93" s="79">
        <v>31161.34</v>
      </c>
      <c r="H93" s="79" t="s">
        <v>34</v>
      </c>
      <c r="I93" s="79" t="s">
        <v>3663</v>
      </c>
      <c r="J93" s="79" t="s">
        <v>11</v>
      </c>
      <c r="K93" s="79" t="s">
        <v>36</v>
      </c>
      <c r="L93" s="79" t="s">
        <v>20</v>
      </c>
      <c r="M93" s="79"/>
      <c r="N93" s="79" t="s">
        <v>3669</v>
      </c>
      <c r="O93" s="79">
        <f>_xlfn.XLOOKUP(union_gastos[[#This Row],[Líneas de factura/Producto]],'concepto_id'!A:A,'concepto_id'!B:B)</f>
        <v>8</v>
      </c>
      <c r="P93" s="79" t="str">
        <f>_xlfn.XLOOKUP(union_gastos[[#This Row],[rubro_id]],rubros!B:B,rubros!A:A)</f>
        <v>IMPUESTOS</v>
      </c>
    </row>
    <row r="94" spans="1:16" hidden="1" x14ac:dyDescent="0.3">
      <c r="A94" s="81">
        <v>46098</v>
      </c>
      <c r="B94" s="79" t="s">
        <v>76</v>
      </c>
      <c r="C94" s="79" t="s">
        <v>3909</v>
      </c>
      <c r="D94" s="82">
        <v>-30791.47</v>
      </c>
      <c r="E94" s="79" t="s">
        <v>3663</v>
      </c>
      <c r="F94" s="79">
        <v>1</v>
      </c>
      <c r="G94" s="79">
        <v>30791.47</v>
      </c>
      <c r="H94" s="79" t="s">
        <v>34</v>
      </c>
      <c r="I94" s="79" t="s">
        <v>3663</v>
      </c>
      <c r="J94" s="79" t="s">
        <v>11</v>
      </c>
      <c r="K94" s="79" t="s">
        <v>36</v>
      </c>
      <c r="L94" s="79" t="s">
        <v>20</v>
      </c>
      <c r="M94" s="79"/>
      <c r="N94" s="79" t="s">
        <v>3669</v>
      </c>
      <c r="O94" s="79">
        <f>_xlfn.XLOOKUP(union_gastos[[#This Row],[Líneas de factura/Producto]],'concepto_id'!A:A,'concepto_id'!B:B)</f>
        <v>8</v>
      </c>
      <c r="P94" s="79" t="str">
        <f>_xlfn.XLOOKUP(union_gastos[[#This Row],[rubro_id]],rubros!B:B,rubros!A:A)</f>
        <v>IMPUESTOS</v>
      </c>
    </row>
    <row r="95" spans="1:16" hidden="1" x14ac:dyDescent="0.3">
      <c r="A95" s="81">
        <v>46090</v>
      </c>
      <c r="B95" s="79" t="s">
        <v>59</v>
      </c>
      <c r="C95" s="79" t="s">
        <v>3983</v>
      </c>
      <c r="D95" s="82">
        <v>-27589.59</v>
      </c>
      <c r="E95" s="79" t="s">
        <v>3984</v>
      </c>
      <c r="F95" s="79">
        <v>1</v>
      </c>
      <c r="G95" s="79">
        <v>22801.31</v>
      </c>
      <c r="H95" s="79" t="s">
        <v>34</v>
      </c>
      <c r="I95" s="79" t="s">
        <v>55</v>
      </c>
      <c r="J95" s="79" t="s">
        <v>11</v>
      </c>
      <c r="K95" s="79" t="s">
        <v>22</v>
      </c>
      <c r="L95" s="79" t="s">
        <v>20</v>
      </c>
      <c r="M95" s="79"/>
      <c r="N95" s="79" t="s">
        <v>3669</v>
      </c>
      <c r="O95" s="79">
        <f>_xlfn.XLOOKUP(union_gastos[[#This Row],[Líneas de factura/Producto]],'concepto_id'!A:A,'concepto_id'!B:B)</f>
        <v>3</v>
      </c>
      <c r="P95" s="79" t="str">
        <f>_xlfn.XLOOKUP(union_gastos[[#This Row],[rubro_id]],rubros!B:B,rubros!A:A)</f>
        <v>SANIDAD</v>
      </c>
    </row>
    <row r="96" spans="1:16" hidden="1" x14ac:dyDescent="0.3">
      <c r="A96" s="81">
        <v>46083</v>
      </c>
      <c r="B96" s="79" t="s">
        <v>76</v>
      </c>
      <c r="C96" s="79" t="s">
        <v>4020</v>
      </c>
      <c r="D96" s="82">
        <v>-26005.97</v>
      </c>
      <c r="E96" s="79" t="s">
        <v>3663</v>
      </c>
      <c r="F96" s="79">
        <v>1</v>
      </c>
      <c r="G96" s="79">
        <v>26005.97</v>
      </c>
      <c r="H96" s="79" t="s">
        <v>34</v>
      </c>
      <c r="I96" s="79" t="s">
        <v>3663</v>
      </c>
      <c r="J96" s="79" t="s">
        <v>11</v>
      </c>
      <c r="K96" s="79" t="s">
        <v>36</v>
      </c>
      <c r="L96" s="79" t="s">
        <v>20</v>
      </c>
      <c r="M96" s="79"/>
      <c r="N96" s="79" t="s">
        <v>3669</v>
      </c>
      <c r="O96" s="79">
        <f>_xlfn.XLOOKUP(union_gastos[[#This Row],[Líneas de factura/Producto]],'concepto_id'!A:A,'concepto_id'!B:B)</f>
        <v>8</v>
      </c>
      <c r="P96" s="79" t="str">
        <f>_xlfn.XLOOKUP(union_gastos[[#This Row],[rubro_id]],rubros!B:B,rubros!A:A)</f>
        <v>IMPUESTOS</v>
      </c>
    </row>
    <row r="97" spans="1:16" hidden="1" x14ac:dyDescent="0.3">
      <c r="A97" s="81">
        <v>46085</v>
      </c>
      <c r="B97" s="79" t="s">
        <v>76</v>
      </c>
      <c r="C97" s="79" t="s">
        <v>4003</v>
      </c>
      <c r="D97" s="82">
        <v>-24827.59</v>
      </c>
      <c r="E97" s="79" t="s">
        <v>3663</v>
      </c>
      <c r="F97" s="79">
        <v>1</v>
      </c>
      <c r="G97" s="79">
        <v>24827.59</v>
      </c>
      <c r="H97" s="79" t="s">
        <v>34</v>
      </c>
      <c r="I97" s="79" t="s">
        <v>3663</v>
      </c>
      <c r="J97" s="79" t="s">
        <v>11</v>
      </c>
      <c r="K97" s="79" t="s">
        <v>36</v>
      </c>
      <c r="L97" s="79" t="s">
        <v>20</v>
      </c>
      <c r="M97" s="79"/>
      <c r="N97" s="79" t="s">
        <v>3669</v>
      </c>
      <c r="O97" s="79">
        <f>_xlfn.XLOOKUP(union_gastos[[#This Row],[Líneas de factura/Producto]],'concepto_id'!A:A,'concepto_id'!B:B)</f>
        <v>8</v>
      </c>
      <c r="P97" s="79" t="str">
        <f>_xlfn.XLOOKUP(union_gastos[[#This Row],[rubro_id]],rubros!B:B,rubros!A:A)</f>
        <v>IMPUESTOS</v>
      </c>
    </row>
    <row r="98" spans="1:16" hidden="1" x14ac:dyDescent="0.3">
      <c r="A98" s="81">
        <v>46108</v>
      </c>
      <c r="B98" s="79" t="s">
        <v>76</v>
      </c>
      <c r="C98" s="79" t="s">
        <v>3861</v>
      </c>
      <c r="D98" s="82">
        <v>-22857.09</v>
      </c>
      <c r="E98" s="79" t="s">
        <v>3663</v>
      </c>
      <c r="F98" s="79">
        <v>1</v>
      </c>
      <c r="G98" s="79">
        <v>22857.09</v>
      </c>
      <c r="H98" s="79" t="s">
        <v>34</v>
      </c>
      <c r="I98" s="79" t="s">
        <v>3663</v>
      </c>
      <c r="J98" s="79" t="s">
        <v>11</v>
      </c>
      <c r="K98" s="79" t="s">
        <v>36</v>
      </c>
      <c r="L98" s="79" t="s">
        <v>20</v>
      </c>
      <c r="M98" s="79"/>
      <c r="N98" s="79" t="s">
        <v>3669</v>
      </c>
      <c r="O98" s="79">
        <f>_xlfn.XLOOKUP(union_gastos[[#This Row],[Líneas de factura/Producto]],'concepto_id'!A:A,'concepto_id'!B:B)</f>
        <v>8</v>
      </c>
      <c r="P98" s="79" t="str">
        <f>_xlfn.XLOOKUP(union_gastos[[#This Row],[rubro_id]],rubros!B:B,rubros!A:A)</f>
        <v>IMPUESTOS</v>
      </c>
    </row>
    <row r="99" spans="1:16" hidden="1" x14ac:dyDescent="0.3">
      <c r="A99" s="81">
        <v>46112</v>
      </c>
      <c r="B99" s="79" t="s">
        <v>76</v>
      </c>
      <c r="C99" s="79" t="s">
        <v>3842</v>
      </c>
      <c r="D99" s="82">
        <v>-21642.720000000001</v>
      </c>
      <c r="E99" s="79" t="s">
        <v>3663</v>
      </c>
      <c r="F99" s="79">
        <v>1</v>
      </c>
      <c r="G99" s="79">
        <v>21642.720000000001</v>
      </c>
      <c r="H99" s="79" t="s">
        <v>34</v>
      </c>
      <c r="I99" s="79" t="s">
        <v>3663</v>
      </c>
      <c r="J99" s="79" t="s">
        <v>11</v>
      </c>
      <c r="K99" s="79" t="s">
        <v>36</v>
      </c>
      <c r="L99" s="79" t="s">
        <v>20</v>
      </c>
      <c r="M99" s="79"/>
      <c r="N99" s="79" t="s">
        <v>3669</v>
      </c>
      <c r="O99" s="79">
        <f>_xlfn.XLOOKUP(union_gastos[[#This Row],[Líneas de factura/Producto]],'concepto_id'!A:A,'concepto_id'!B:B)</f>
        <v>8</v>
      </c>
      <c r="P99" s="79" t="str">
        <f>_xlfn.XLOOKUP(union_gastos[[#This Row],[rubro_id]],rubros!B:B,rubros!A:A)</f>
        <v>IMPUESTOS</v>
      </c>
    </row>
    <row r="100" spans="1:16" hidden="1" x14ac:dyDescent="0.3">
      <c r="A100" s="81">
        <v>46086</v>
      </c>
      <c r="B100" s="79" t="s">
        <v>26</v>
      </c>
      <c r="C100" s="79" t="s">
        <v>3994</v>
      </c>
      <c r="D100" s="82">
        <v>-20663.91</v>
      </c>
      <c r="E100" s="79" t="s">
        <v>3995</v>
      </c>
      <c r="F100" s="79">
        <v>6.74</v>
      </c>
      <c r="G100" s="79">
        <v>2533.77</v>
      </c>
      <c r="H100" s="79" t="s">
        <v>34</v>
      </c>
      <c r="I100" s="79" t="s">
        <v>57</v>
      </c>
      <c r="J100" s="79" t="s">
        <v>11</v>
      </c>
      <c r="K100" s="79" t="s">
        <v>22</v>
      </c>
      <c r="L100" s="79" t="s">
        <v>21</v>
      </c>
      <c r="M100" s="79"/>
      <c r="N100" s="79" t="s">
        <v>3669</v>
      </c>
      <c r="O100" s="79">
        <f>_xlfn.XLOOKUP(union_gastos[[#This Row],[Líneas de factura/Producto]],'concepto_id'!A:A,'concepto_id'!B:B)</f>
        <v>6</v>
      </c>
      <c r="P100" s="79" t="str">
        <f>_xlfn.XLOOKUP(union_gastos[[#This Row],[rubro_id]],rubros!B:B,rubros!A:A)</f>
        <v>MANTENIMIENTO</v>
      </c>
    </row>
    <row r="101" spans="1:16" hidden="1" x14ac:dyDescent="0.3">
      <c r="A101" s="81">
        <v>46106</v>
      </c>
      <c r="B101" s="79" t="s">
        <v>76</v>
      </c>
      <c r="C101" s="79" t="s">
        <v>3876</v>
      </c>
      <c r="D101" s="82">
        <v>-20006.099999999999</v>
      </c>
      <c r="E101" s="79" t="s">
        <v>3663</v>
      </c>
      <c r="F101" s="79">
        <v>1</v>
      </c>
      <c r="G101" s="79">
        <v>20006.099999999999</v>
      </c>
      <c r="H101" s="79" t="s">
        <v>34</v>
      </c>
      <c r="I101" s="79" t="s">
        <v>3663</v>
      </c>
      <c r="J101" s="79" t="s">
        <v>11</v>
      </c>
      <c r="K101" s="79" t="s">
        <v>36</v>
      </c>
      <c r="L101" s="79" t="s">
        <v>20</v>
      </c>
      <c r="M101" s="79"/>
      <c r="N101" s="79" t="s">
        <v>3669</v>
      </c>
      <c r="O101" s="79">
        <f>_xlfn.XLOOKUP(union_gastos[[#This Row],[Líneas de factura/Producto]],'concepto_id'!A:A,'concepto_id'!B:B)</f>
        <v>8</v>
      </c>
      <c r="P101" s="79" t="str">
        <f>_xlfn.XLOOKUP(union_gastos[[#This Row],[rubro_id]],rubros!B:B,rubros!A:A)</f>
        <v>IMPUESTOS</v>
      </c>
    </row>
    <row r="102" spans="1:16" hidden="1" x14ac:dyDescent="0.3">
      <c r="A102" s="81">
        <v>46102</v>
      </c>
      <c r="B102" s="79" t="s">
        <v>52</v>
      </c>
      <c r="C102" s="79" t="s">
        <v>3889</v>
      </c>
      <c r="D102" s="82">
        <v>-18894.38</v>
      </c>
      <c r="E102" s="79" t="s">
        <v>3890</v>
      </c>
      <c r="F102" s="79">
        <v>1</v>
      </c>
      <c r="G102" s="79">
        <v>15615.19</v>
      </c>
      <c r="H102" s="79" t="s">
        <v>34</v>
      </c>
      <c r="I102" s="79" t="s">
        <v>57</v>
      </c>
      <c r="J102" s="79" t="s">
        <v>11</v>
      </c>
      <c r="K102" s="79" t="s">
        <v>22</v>
      </c>
      <c r="L102" s="79" t="s">
        <v>21</v>
      </c>
      <c r="M102" s="79"/>
      <c r="N102" s="79" t="s">
        <v>3669</v>
      </c>
      <c r="O102" s="79">
        <f>_xlfn.XLOOKUP(union_gastos[[#This Row],[Líneas de factura/Producto]],'concepto_id'!A:A,'concepto_id'!B:B)</f>
        <v>6</v>
      </c>
      <c r="P102" s="79" t="str">
        <f>_xlfn.XLOOKUP(union_gastos[[#This Row],[rubro_id]],rubros!B:B,rubros!A:A)</f>
        <v>MANTENIMIENTO</v>
      </c>
    </row>
    <row r="103" spans="1:16" hidden="1" x14ac:dyDescent="0.3">
      <c r="A103" s="81">
        <v>46099</v>
      </c>
      <c r="B103" s="79" t="s">
        <v>76</v>
      </c>
      <c r="C103" s="79" t="s">
        <v>3902</v>
      </c>
      <c r="D103" s="82">
        <v>-13515.21</v>
      </c>
      <c r="E103" s="79" t="s">
        <v>3663</v>
      </c>
      <c r="F103" s="79">
        <v>1</v>
      </c>
      <c r="G103" s="79">
        <v>13515.21</v>
      </c>
      <c r="H103" s="79" t="s">
        <v>34</v>
      </c>
      <c r="I103" s="79" t="s">
        <v>3663</v>
      </c>
      <c r="J103" s="79" t="s">
        <v>11</v>
      </c>
      <c r="K103" s="79" t="s">
        <v>36</v>
      </c>
      <c r="L103" s="79" t="s">
        <v>20</v>
      </c>
      <c r="M103" s="79"/>
      <c r="N103" s="79" t="s">
        <v>3669</v>
      </c>
      <c r="O103" s="79">
        <f>_xlfn.XLOOKUP(union_gastos[[#This Row],[Líneas de factura/Producto]],'concepto_id'!A:A,'concepto_id'!B:B)</f>
        <v>8</v>
      </c>
      <c r="P103" s="79" t="str">
        <f>_xlfn.XLOOKUP(union_gastos[[#This Row],[rubro_id]],rubros!B:B,rubros!A:A)</f>
        <v>IMPUESTOS</v>
      </c>
    </row>
    <row r="104" spans="1:16" hidden="1" x14ac:dyDescent="0.3">
      <c r="A104" s="81">
        <v>46093</v>
      </c>
      <c r="B104" s="79" t="s">
        <v>76</v>
      </c>
      <c r="C104" s="79" t="s">
        <v>3937</v>
      </c>
      <c r="D104" s="82">
        <v>-11472.73</v>
      </c>
      <c r="E104" s="79" t="s">
        <v>3663</v>
      </c>
      <c r="F104" s="79">
        <v>1</v>
      </c>
      <c r="G104" s="79">
        <v>11472.73</v>
      </c>
      <c r="H104" s="79" t="s">
        <v>34</v>
      </c>
      <c r="I104" s="79" t="s">
        <v>3663</v>
      </c>
      <c r="J104" s="79" t="s">
        <v>11</v>
      </c>
      <c r="K104" s="79" t="s">
        <v>36</v>
      </c>
      <c r="L104" s="79" t="s">
        <v>20</v>
      </c>
      <c r="M104" s="79"/>
      <c r="N104" s="79" t="s">
        <v>3669</v>
      </c>
      <c r="O104" s="79">
        <f>_xlfn.XLOOKUP(union_gastos[[#This Row],[Líneas de factura/Producto]],'concepto_id'!A:A,'concepto_id'!B:B)</f>
        <v>8</v>
      </c>
      <c r="P104" s="79" t="str">
        <f>_xlfn.XLOOKUP(union_gastos[[#This Row],[rubro_id]],rubros!B:B,rubros!A:A)</f>
        <v>IMPUESTOS</v>
      </c>
    </row>
    <row r="105" spans="1:16" hidden="1" x14ac:dyDescent="0.3">
      <c r="A105" s="81">
        <v>46093</v>
      </c>
      <c r="B105" s="79" t="s">
        <v>76</v>
      </c>
      <c r="C105" s="79" t="s">
        <v>3938</v>
      </c>
      <c r="D105" s="82">
        <v>-11472.73</v>
      </c>
      <c r="E105" s="79" t="s">
        <v>3663</v>
      </c>
      <c r="F105" s="79">
        <v>1</v>
      </c>
      <c r="G105" s="79">
        <v>11472.73</v>
      </c>
      <c r="H105" s="79" t="s">
        <v>34</v>
      </c>
      <c r="I105" s="79" t="s">
        <v>3663</v>
      </c>
      <c r="J105" s="79" t="s">
        <v>11</v>
      </c>
      <c r="K105" s="79" t="s">
        <v>36</v>
      </c>
      <c r="L105" s="79" t="s">
        <v>20</v>
      </c>
      <c r="M105" s="79"/>
      <c r="N105" s="79" t="s">
        <v>3669</v>
      </c>
      <c r="O105" s="79">
        <f>_xlfn.XLOOKUP(union_gastos[[#This Row],[Líneas de factura/Producto]],'concepto_id'!A:A,'concepto_id'!B:B)</f>
        <v>8</v>
      </c>
      <c r="P105" s="79" t="str">
        <f>_xlfn.XLOOKUP(union_gastos[[#This Row],[rubro_id]],rubros!B:B,rubros!A:A)</f>
        <v>IMPUESTOS</v>
      </c>
    </row>
    <row r="106" spans="1:16" hidden="1" x14ac:dyDescent="0.3">
      <c r="A106" s="81">
        <v>46107</v>
      </c>
      <c r="B106" s="79" t="s">
        <v>76</v>
      </c>
      <c r="C106" s="79" t="s">
        <v>3869</v>
      </c>
      <c r="D106" s="82">
        <v>-10785.37</v>
      </c>
      <c r="E106" s="79" t="s">
        <v>3663</v>
      </c>
      <c r="F106" s="79">
        <v>1</v>
      </c>
      <c r="G106" s="79">
        <v>10785.37</v>
      </c>
      <c r="H106" s="79" t="s">
        <v>34</v>
      </c>
      <c r="I106" s="79" t="s">
        <v>3663</v>
      </c>
      <c r="J106" s="79" t="s">
        <v>11</v>
      </c>
      <c r="K106" s="79" t="s">
        <v>36</v>
      </c>
      <c r="L106" s="79" t="s">
        <v>20</v>
      </c>
      <c r="M106" s="79"/>
      <c r="N106" s="79" t="s">
        <v>3669</v>
      </c>
      <c r="O106" s="79">
        <f>_xlfn.XLOOKUP(union_gastos[[#This Row],[Líneas de factura/Producto]],'concepto_id'!A:A,'concepto_id'!B:B)</f>
        <v>8</v>
      </c>
      <c r="P106" s="79" t="str">
        <f>_xlfn.XLOOKUP(union_gastos[[#This Row],[rubro_id]],rubros!B:B,rubros!A:A)</f>
        <v>IMPUESTOS</v>
      </c>
    </row>
    <row r="107" spans="1:16" hidden="1" x14ac:dyDescent="0.3">
      <c r="A107" s="81">
        <v>46084</v>
      </c>
      <c r="B107" s="79" t="s">
        <v>76</v>
      </c>
      <c r="C107" s="79" t="s">
        <v>4004</v>
      </c>
      <c r="D107" s="80">
        <v>-10785.37</v>
      </c>
      <c r="E107" s="79" t="s">
        <v>3663</v>
      </c>
      <c r="F107" s="79">
        <v>1</v>
      </c>
      <c r="G107" s="79">
        <v>10785.37</v>
      </c>
      <c r="H107" s="79" t="s">
        <v>34</v>
      </c>
      <c r="I107" s="79" t="s">
        <v>3663</v>
      </c>
      <c r="J107" s="79" t="s">
        <v>11</v>
      </c>
      <c r="K107" s="79" t="s">
        <v>36</v>
      </c>
      <c r="L107" s="79" t="s">
        <v>20</v>
      </c>
      <c r="M107" s="79"/>
      <c r="N107" s="79" t="s">
        <v>3669</v>
      </c>
      <c r="O107" s="79">
        <f>_xlfn.XLOOKUP(union_gastos[[#This Row],[Líneas de factura/Producto]],'concepto_id'!A:A,'concepto_id'!B:B)</f>
        <v>8</v>
      </c>
      <c r="P107" s="79" t="str">
        <f>_xlfn.XLOOKUP(union_gastos[[#This Row],[rubro_id]],rubros!B:B,rubros!A:A)</f>
        <v>IMPUESTOS</v>
      </c>
    </row>
    <row r="108" spans="1:16" hidden="1" x14ac:dyDescent="0.3">
      <c r="A108" s="81">
        <v>46107</v>
      </c>
      <c r="B108" s="79" t="s">
        <v>26</v>
      </c>
      <c r="C108" s="79" t="s">
        <v>3872</v>
      </c>
      <c r="D108" s="82">
        <v>-8005.19</v>
      </c>
      <c r="E108" s="79" t="s">
        <v>3873</v>
      </c>
      <c r="F108" s="79">
        <v>2.2400000000000002</v>
      </c>
      <c r="G108" s="79">
        <v>2953.51</v>
      </c>
      <c r="H108" s="79" t="s">
        <v>34</v>
      </c>
      <c r="I108" s="79" t="s">
        <v>57</v>
      </c>
      <c r="J108" s="79" t="s">
        <v>11</v>
      </c>
      <c r="K108" s="79" t="s">
        <v>22</v>
      </c>
      <c r="L108" s="79" t="s">
        <v>21</v>
      </c>
      <c r="M108" s="79"/>
      <c r="N108" s="79" t="s">
        <v>3669</v>
      </c>
      <c r="O108" s="79">
        <f>_xlfn.XLOOKUP(union_gastos[[#This Row],[Líneas de factura/Producto]],'concepto_id'!A:A,'concepto_id'!B:B)</f>
        <v>6</v>
      </c>
      <c r="P108" s="79" t="str">
        <f>_xlfn.XLOOKUP(union_gastos[[#This Row],[rubro_id]],rubros!B:B,rubros!A:A)</f>
        <v>MANTENIMIENTO</v>
      </c>
    </row>
    <row r="109" spans="1:16" hidden="1" x14ac:dyDescent="0.3">
      <c r="A109" s="81">
        <v>46106</v>
      </c>
      <c r="B109" s="79" t="s">
        <v>2302</v>
      </c>
      <c r="C109" s="79" t="s">
        <v>3883</v>
      </c>
      <c r="D109" s="82">
        <v>-5800</v>
      </c>
      <c r="E109" s="79" t="s">
        <v>3884</v>
      </c>
      <c r="F109" s="79">
        <v>1</v>
      </c>
      <c r="G109" s="79">
        <v>4793.3900000000003</v>
      </c>
      <c r="H109" s="79" t="s">
        <v>34</v>
      </c>
      <c r="I109" s="79" t="s">
        <v>57</v>
      </c>
      <c r="J109" s="79" t="s">
        <v>11</v>
      </c>
      <c r="K109" s="79" t="s">
        <v>22</v>
      </c>
      <c r="L109" s="79" t="s">
        <v>21</v>
      </c>
      <c r="M109" s="79"/>
      <c r="N109" s="79" t="s">
        <v>3669</v>
      </c>
      <c r="O109" s="79">
        <f>_xlfn.XLOOKUP(union_gastos[[#This Row],[Líneas de factura/Producto]],'concepto_id'!A:A,'concepto_id'!B:B)</f>
        <v>6</v>
      </c>
      <c r="P109" s="79" t="str">
        <f>_xlfn.XLOOKUP(union_gastos[[#This Row],[rubro_id]],rubros!B:B,rubros!A:A)</f>
        <v>MANTENIMIENTO</v>
      </c>
    </row>
    <row r="110" spans="1:16" hidden="1" x14ac:dyDescent="0.3">
      <c r="A110" s="81">
        <v>46112</v>
      </c>
      <c r="B110" s="79" t="s">
        <v>23</v>
      </c>
      <c r="C110" s="79" t="s">
        <v>73</v>
      </c>
      <c r="D110" s="82">
        <v>49609364</v>
      </c>
      <c r="E110" s="79" t="s">
        <v>123</v>
      </c>
      <c r="F110" s="79">
        <v>23</v>
      </c>
      <c r="G110" s="79">
        <v>-2156928.8695652173</v>
      </c>
      <c r="H110" s="79" t="s">
        <v>3666</v>
      </c>
      <c r="I110" s="79" t="s">
        <v>74</v>
      </c>
      <c r="J110" s="79" t="s">
        <v>11</v>
      </c>
      <c r="K110" s="79" t="s">
        <v>11</v>
      </c>
      <c r="L110" s="79" t="s">
        <v>36</v>
      </c>
      <c r="M110" s="79"/>
      <c r="N110" s="79" t="s">
        <v>3668</v>
      </c>
      <c r="O110" s="79">
        <f>_xlfn.XLOOKUP(union_gastos[[#This Row],[Líneas de factura/Producto]],'concepto_id'!A:A,'concepto_id'!B:B)</f>
        <v>2</v>
      </c>
      <c r="P110" s="79" t="str">
        <f>_xlfn.XLOOKUP(union_gastos[[#This Row],[rubro_id]],rubros!B:B,rubros!A:A)</f>
        <v>PERSONAL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EB4D-B37F-48A8-9050-6036A9DCA86C}">
  <dimension ref="A1:H93"/>
  <sheetViews>
    <sheetView workbookViewId="0"/>
  </sheetViews>
  <sheetFormatPr defaultColWidth="8.88671875" defaultRowHeight="14.4" x14ac:dyDescent="0.3"/>
  <cols>
    <col min="1" max="1" width="24.5546875" bestFit="1" customWidth="1"/>
    <col min="2" max="2" width="5" bestFit="1" customWidth="1"/>
    <col min="3" max="8" width="10.6640625" bestFit="1" customWidth="1"/>
  </cols>
  <sheetData>
    <row r="1" spans="1:8" x14ac:dyDescent="0.3">
      <c r="A1" t="s">
        <v>10</v>
      </c>
      <c r="B1" t="s">
        <v>3600</v>
      </c>
      <c r="C1" t="s">
        <v>3670</v>
      </c>
      <c r="D1" t="s">
        <v>3671</v>
      </c>
      <c r="E1" t="s">
        <v>3672</v>
      </c>
      <c r="F1" t="s">
        <v>3673</v>
      </c>
      <c r="G1" t="s">
        <v>3674</v>
      </c>
      <c r="H1" t="s">
        <v>3675</v>
      </c>
    </row>
    <row r="2" spans="1:8" x14ac:dyDescent="0.3">
      <c r="A2" t="s">
        <v>227</v>
      </c>
      <c r="B2">
        <v>9</v>
      </c>
    </row>
    <row r="3" spans="1:8" x14ac:dyDescent="0.3">
      <c r="A3" t="s">
        <v>3663</v>
      </c>
      <c r="B3">
        <v>8</v>
      </c>
    </row>
    <row r="4" spans="1:8" x14ac:dyDescent="0.3">
      <c r="A4" t="s">
        <v>50</v>
      </c>
      <c r="B4">
        <v>4</v>
      </c>
    </row>
    <row r="5" spans="1:8" x14ac:dyDescent="0.3">
      <c r="A5" t="s">
        <v>57</v>
      </c>
      <c r="B5">
        <v>6</v>
      </c>
    </row>
    <row r="6" spans="1:8" x14ac:dyDescent="0.3">
      <c r="A6" t="s">
        <v>61</v>
      </c>
      <c r="B6">
        <v>5</v>
      </c>
    </row>
    <row r="7" spans="1:8" x14ac:dyDescent="0.3">
      <c r="A7" t="s">
        <v>212</v>
      </c>
      <c r="B7">
        <v>10</v>
      </c>
    </row>
    <row r="8" spans="1:8" x14ac:dyDescent="0.3">
      <c r="A8" t="s">
        <v>3664</v>
      </c>
      <c r="B8">
        <v>1</v>
      </c>
    </row>
    <row r="9" spans="1:8" x14ac:dyDescent="0.3">
      <c r="A9" t="s">
        <v>55</v>
      </c>
      <c r="B9">
        <v>3</v>
      </c>
    </row>
    <row r="10" spans="1:8" x14ac:dyDescent="0.3">
      <c r="A10" t="s">
        <v>3619</v>
      </c>
      <c r="B10">
        <v>2</v>
      </c>
    </row>
    <row r="11" spans="1:8" x14ac:dyDescent="0.3">
      <c r="A11" t="s">
        <v>3676</v>
      </c>
      <c r="B11">
        <v>2</v>
      </c>
    </row>
    <row r="12" spans="1:8" x14ac:dyDescent="0.3">
      <c r="A12" t="s">
        <v>3677</v>
      </c>
      <c r="B12">
        <v>2</v>
      </c>
    </row>
    <row r="13" spans="1:8" x14ac:dyDescent="0.3">
      <c r="A13" t="s">
        <v>3678</v>
      </c>
      <c r="B13">
        <v>2</v>
      </c>
    </row>
    <row r="14" spans="1:8" x14ac:dyDescent="0.3">
      <c r="A14" t="s">
        <v>3679</v>
      </c>
      <c r="B14">
        <v>2</v>
      </c>
    </row>
    <row r="15" spans="1:8" x14ac:dyDescent="0.3">
      <c r="A15" t="s">
        <v>3680</v>
      </c>
      <c r="B15">
        <v>2</v>
      </c>
    </row>
    <row r="16" spans="1:8" x14ac:dyDescent="0.3">
      <c r="A16" t="s">
        <v>3681</v>
      </c>
      <c r="B16">
        <v>2</v>
      </c>
    </row>
    <row r="17" spans="1:2" x14ac:dyDescent="0.3">
      <c r="A17" t="s">
        <v>3682</v>
      </c>
      <c r="B17">
        <v>2</v>
      </c>
    </row>
    <row r="18" spans="1:2" x14ac:dyDescent="0.3">
      <c r="A18" t="s">
        <v>3683</v>
      </c>
      <c r="B18">
        <v>2</v>
      </c>
    </row>
    <row r="19" spans="1:2" x14ac:dyDescent="0.3">
      <c r="A19" t="s">
        <v>3684</v>
      </c>
      <c r="B19">
        <v>2</v>
      </c>
    </row>
    <row r="20" spans="1:2" x14ac:dyDescent="0.3">
      <c r="A20" t="s">
        <v>3685</v>
      </c>
      <c r="B20">
        <v>2</v>
      </c>
    </row>
    <row r="21" spans="1:2" x14ac:dyDescent="0.3">
      <c r="A21" t="s">
        <v>3686</v>
      </c>
      <c r="B21">
        <v>2</v>
      </c>
    </row>
    <row r="22" spans="1:2" x14ac:dyDescent="0.3">
      <c r="A22" t="s">
        <v>3687</v>
      </c>
      <c r="B22">
        <v>2</v>
      </c>
    </row>
    <row r="23" spans="1:2" x14ac:dyDescent="0.3">
      <c r="A23" t="s">
        <v>3688</v>
      </c>
      <c r="B23">
        <v>2</v>
      </c>
    </row>
    <row r="24" spans="1:2" x14ac:dyDescent="0.3">
      <c r="A24" t="s">
        <v>3689</v>
      </c>
      <c r="B24">
        <v>2</v>
      </c>
    </row>
    <row r="25" spans="1:2" x14ac:dyDescent="0.3">
      <c r="A25" t="s">
        <v>3690</v>
      </c>
      <c r="B25">
        <v>2</v>
      </c>
    </row>
    <row r="26" spans="1:2" x14ac:dyDescent="0.3">
      <c r="A26" t="s">
        <v>3691</v>
      </c>
      <c r="B26">
        <v>2</v>
      </c>
    </row>
    <row r="27" spans="1:2" x14ac:dyDescent="0.3">
      <c r="A27" t="s">
        <v>3692</v>
      </c>
      <c r="B27">
        <v>2</v>
      </c>
    </row>
    <row r="28" spans="1:2" x14ac:dyDescent="0.3">
      <c r="A28" t="s">
        <v>3693</v>
      </c>
      <c r="B28">
        <v>2</v>
      </c>
    </row>
    <row r="29" spans="1:2" x14ac:dyDescent="0.3">
      <c r="A29" t="s">
        <v>3694</v>
      </c>
      <c r="B29">
        <v>2</v>
      </c>
    </row>
    <row r="30" spans="1:2" x14ac:dyDescent="0.3">
      <c r="A30" t="s">
        <v>3695</v>
      </c>
      <c r="B30">
        <v>2</v>
      </c>
    </row>
    <row r="31" spans="1:2" x14ac:dyDescent="0.3">
      <c r="A31" t="s">
        <v>3696</v>
      </c>
      <c r="B31">
        <v>2</v>
      </c>
    </row>
    <row r="32" spans="1:2" x14ac:dyDescent="0.3">
      <c r="A32" t="s">
        <v>3697</v>
      </c>
      <c r="B32">
        <v>2</v>
      </c>
    </row>
    <row r="33" spans="1:2" x14ac:dyDescent="0.3">
      <c r="A33" t="s">
        <v>3698</v>
      </c>
      <c r="B33">
        <v>2</v>
      </c>
    </row>
    <row r="34" spans="1:2" x14ac:dyDescent="0.3">
      <c r="A34" t="s">
        <v>3699</v>
      </c>
      <c r="B34">
        <v>2</v>
      </c>
    </row>
    <row r="35" spans="1:2" x14ac:dyDescent="0.3">
      <c r="A35" t="s">
        <v>3700</v>
      </c>
      <c r="B35">
        <v>2</v>
      </c>
    </row>
    <row r="36" spans="1:2" x14ac:dyDescent="0.3">
      <c r="A36" t="s">
        <v>3701</v>
      </c>
      <c r="B36">
        <v>2</v>
      </c>
    </row>
    <row r="37" spans="1:2" x14ac:dyDescent="0.3">
      <c r="A37" t="s">
        <v>3702</v>
      </c>
      <c r="B37">
        <v>4</v>
      </c>
    </row>
    <row r="38" spans="1:2" x14ac:dyDescent="0.3">
      <c r="A38" t="s">
        <v>3703</v>
      </c>
      <c r="B38">
        <v>1</v>
      </c>
    </row>
    <row r="39" spans="1:2" x14ac:dyDescent="0.3">
      <c r="A39" t="s">
        <v>3704</v>
      </c>
      <c r="B39">
        <v>1</v>
      </c>
    </row>
    <row r="40" spans="1:2" x14ac:dyDescent="0.3">
      <c r="A40" t="s">
        <v>3705</v>
      </c>
      <c r="B40">
        <v>1</v>
      </c>
    </row>
    <row r="41" spans="1:2" x14ac:dyDescent="0.3">
      <c r="A41" t="s">
        <v>3706</v>
      </c>
      <c r="B41">
        <v>1</v>
      </c>
    </row>
    <row r="42" spans="1:2" x14ac:dyDescent="0.3">
      <c r="A42" t="s">
        <v>3707</v>
      </c>
      <c r="B42">
        <v>1</v>
      </c>
    </row>
    <row r="43" spans="1:2" x14ac:dyDescent="0.3">
      <c r="A43" t="s">
        <v>3708</v>
      </c>
      <c r="B43">
        <v>1</v>
      </c>
    </row>
    <row r="44" spans="1:2" x14ac:dyDescent="0.3">
      <c r="A44" t="s">
        <v>3709</v>
      </c>
      <c r="B44">
        <v>1</v>
      </c>
    </row>
    <row r="45" spans="1:2" x14ac:dyDescent="0.3">
      <c r="A45" t="s">
        <v>3710</v>
      </c>
      <c r="B45">
        <v>1</v>
      </c>
    </row>
    <row r="46" spans="1:2" x14ac:dyDescent="0.3">
      <c r="A46" t="s">
        <v>3711</v>
      </c>
      <c r="B46">
        <v>1</v>
      </c>
    </row>
    <row r="47" spans="1:2" x14ac:dyDescent="0.3">
      <c r="A47" t="s">
        <v>3712</v>
      </c>
      <c r="B47">
        <v>1</v>
      </c>
    </row>
    <row r="48" spans="1:2" x14ac:dyDescent="0.3">
      <c r="A48" t="s">
        <v>3713</v>
      </c>
      <c r="B48">
        <v>1</v>
      </c>
    </row>
    <row r="49" spans="1:2" x14ac:dyDescent="0.3">
      <c r="A49" t="s">
        <v>3714</v>
      </c>
      <c r="B49">
        <v>1</v>
      </c>
    </row>
    <row r="50" spans="1:2" x14ac:dyDescent="0.3">
      <c r="A50" t="s">
        <v>3715</v>
      </c>
      <c r="B50">
        <v>8</v>
      </c>
    </row>
    <row r="51" spans="1:2" x14ac:dyDescent="0.3">
      <c r="A51" t="s">
        <v>51</v>
      </c>
      <c r="B51">
        <v>7</v>
      </c>
    </row>
    <row r="52" spans="1:2" x14ac:dyDescent="0.3">
      <c r="A52" t="s">
        <v>72</v>
      </c>
      <c r="B52">
        <v>1</v>
      </c>
    </row>
    <row r="53" spans="1:2" x14ac:dyDescent="0.3">
      <c r="A53" t="s">
        <v>74</v>
      </c>
      <c r="B53">
        <v>2</v>
      </c>
    </row>
    <row r="54" spans="1:2" x14ac:dyDescent="0.3">
      <c r="A54" t="s">
        <v>69</v>
      </c>
      <c r="B54">
        <v>9</v>
      </c>
    </row>
    <row r="55" spans="1:2" x14ac:dyDescent="0.3">
      <c r="A55" t="s">
        <v>3832</v>
      </c>
      <c r="B55">
        <v>1</v>
      </c>
    </row>
    <row r="56" spans="1:2" x14ac:dyDescent="0.3">
      <c r="A56" t="s">
        <v>3835</v>
      </c>
      <c r="B56">
        <v>2</v>
      </c>
    </row>
    <row r="57" spans="1:2" x14ac:dyDescent="0.3">
      <c r="A57" t="s">
        <v>259</v>
      </c>
      <c r="B57">
        <v>9</v>
      </c>
    </row>
    <row r="58" spans="1:2" x14ac:dyDescent="0.3">
      <c r="A58" t="s">
        <v>3621</v>
      </c>
      <c r="B58">
        <v>11</v>
      </c>
    </row>
    <row r="59" spans="1:2" x14ac:dyDescent="0.3">
      <c r="A59" t="s">
        <v>4024</v>
      </c>
      <c r="B59">
        <v>2</v>
      </c>
    </row>
    <row r="60" spans="1:2" x14ac:dyDescent="0.3">
      <c r="A60" t="s">
        <v>4025</v>
      </c>
      <c r="B60">
        <v>2</v>
      </c>
    </row>
    <row r="61" spans="1:2" x14ac:dyDescent="0.3">
      <c r="A61" t="s">
        <v>4026</v>
      </c>
      <c r="B61">
        <v>2</v>
      </c>
    </row>
    <row r="62" spans="1:2" x14ac:dyDescent="0.3">
      <c r="A62" t="s">
        <v>4027</v>
      </c>
      <c r="B62">
        <v>2</v>
      </c>
    </row>
    <row r="63" spans="1:2" x14ac:dyDescent="0.3">
      <c r="A63" t="s">
        <v>4028</v>
      </c>
      <c r="B63">
        <v>2</v>
      </c>
    </row>
    <row r="64" spans="1:2" x14ac:dyDescent="0.3">
      <c r="A64" t="s">
        <v>4029</v>
      </c>
      <c r="B64">
        <v>2</v>
      </c>
    </row>
    <row r="65" spans="1:2" x14ac:dyDescent="0.3">
      <c r="A65" t="s">
        <v>4030</v>
      </c>
      <c r="B65">
        <v>2</v>
      </c>
    </row>
    <row r="66" spans="1:2" x14ac:dyDescent="0.3">
      <c r="A66" t="s">
        <v>4031</v>
      </c>
      <c r="B66">
        <v>2</v>
      </c>
    </row>
    <row r="67" spans="1:2" x14ac:dyDescent="0.3">
      <c r="A67" t="s">
        <v>4032</v>
      </c>
      <c r="B67">
        <v>2</v>
      </c>
    </row>
    <row r="68" spans="1:2" x14ac:dyDescent="0.3">
      <c r="A68" t="s">
        <v>4033</v>
      </c>
      <c r="B68">
        <v>2</v>
      </c>
    </row>
    <row r="69" spans="1:2" x14ac:dyDescent="0.3">
      <c r="A69" t="s">
        <v>4034</v>
      </c>
      <c r="B69">
        <v>2</v>
      </c>
    </row>
    <row r="70" spans="1:2" x14ac:dyDescent="0.3">
      <c r="A70" t="s">
        <v>4035</v>
      </c>
      <c r="B70">
        <v>2</v>
      </c>
    </row>
    <row r="71" spans="1:2" x14ac:dyDescent="0.3">
      <c r="A71" t="s">
        <v>4036</v>
      </c>
      <c r="B71">
        <v>2</v>
      </c>
    </row>
    <row r="72" spans="1:2" x14ac:dyDescent="0.3">
      <c r="A72" t="s">
        <v>4037</v>
      </c>
      <c r="B72">
        <v>2</v>
      </c>
    </row>
    <row r="73" spans="1:2" x14ac:dyDescent="0.3">
      <c r="A73" t="s">
        <v>4038</v>
      </c>
      <c r="B73">
        <v>2</v>
      </c>
    </row>
    <row r="74" spans="1:2" x14ac:dyDescent="0.3">
      <c r="A74" t="s">
        <v>4039</v>
      </c>
      <c r="B74">
        <v>2</v>
      </c>
    </row>
    <row r="75" spans="1:2" x14ac:dyDescent="0.3">
      <c r="A75" t="s">
        <v>4040</v>
      </c>
      <c r="B75">
        <v>2</v>
      </c>
    </row>
    <row r="76" spans="1:2" x14ac:dyDescent="0.3">
      <c r="A76" t="s">
        <v>4041</v>
      </c>
      <c r="B76">
        <v>2</v>
      </c>
    </row>
    <row r="77" spans="1:2" x14ac:dyDescent="0.3">
      <c r="A77" t="s">
        <v>4042</v>
      </c>
      <c r="B77">
        <v>2</v>
      </c>
    </row>
    <row r="78" spans="1:2" x14ac:dyDescent="0.3">
      <c r="A78" t="s">
        <v>4043</v>
      </c>
      <c r="B78">
        <v>2</v>
      </c>
    </row>
    <row r="79" spans="1:2" x14ac:dyDescent="0.3">
      <c r="A79" t="s">
        <v>4044</v>
      </c>
      <c r="B79">
        <v>2</v>
      </c>
    </row>
    <row r="80" spans="1:2" x14ac:dyDescent="0.3">
      <c r="A80" t="s">
        <v>4045</v>
      </c>
      <c r="B80">
        <v>2</v>
      </c>
    </row>
    <row r="81" spans="1:2" x14ac:dyDescent="0.3">
      <c r="A81" t="s">
        <v>4046</v>
      </c>
      <c r="B81">
        <v>2</v>
      </c>
    </row>
    <row r="82" spans="1:2" x14ac:dyDescent="0.3">
      <c r="A82" t="s">
        <v>4047</v>
      </c>
      <c r="B82">
        <v>2</v>
      </c>
    </row>
    <row r="83" spans="1:2" x14ac:dyDescent="0.3">
      <c r="A83" t="s">
        <v>4048</v>
      </c>
      <c r="B83">
        <v>2</v>
      </c>
    </row>
    <row r="84" spans="1:2" x14ac:dyDescent="0.3">
      <c r="A84" t="s">
        <v>4049</v>
      </c>
      <c r="B84">
        <v>2</v>
      </c>
    </row>
    <row r="85" spans="1:2" x14ac:dyDescent="0.3">
      <c r="A85" t="s">
        <v>4050</v>
      </c>
      <c r="B85">
        <v>2</v>
      </c>
    </row>
    <row r="86" spans="1:2" x14ac:dyDescent="0.3">
      <c r="A86" t="s">
        <v>4051</v>
      </c>
      <c r="B86">
        <v>2</v>
      </c>
    </row>
    <row r="87" spans="1:2" x14ac:dyDescent="0.3">
      <c r="A87" t="s">
        <v>4052</v>
      </c>
      <c r="B87">
        <v>2</v>
      </c>
    </row>
    <row r="88" spans="1:2" x14ac:dyDescent="0.3">
      <c r="A88" t="s">
        <v>4053</v>
      </c>
      <c r="B88">
        <v>2</v>
      </c>
    </row>
    <row r="89" spans="1:2" x14ac:dyDescent="0.3">
      <c r="A89" t="s">
        <v>4054</v>
      </c>
      <c r="B89">
        <v>2</v>
      </c>
    </row>
    <row r="90" spans="1:2" x14ac:dyDescent="0.3">
      <c r="A90" t="s">
        <v>4055</v>
      </c>
      <c r="B90">
        <v>2</v>
      </c>
    </row>
    <row r="91" spans="1:2" x14ac:dyDescent="0.3">
      <c r="A91" t="s">
        <v>4056</v>
      </c>
      <c r="B91">
        <v>2</v>
      </c>
    </row>
    <row r="92" spans="1:2" x14ac:dyDescent="0.3">
      <c r="A92" t="s">
        <v>4057</v>
      </c>
      <c r="B92">
        <v>2</v>
      </c>
    </row>
    <row r="93" spans="1:2" x14ac:dyDescent="0.3">
      <c r="A93" t="s">
        <v>53</v>
      </c>
      <c r="B93">
        <v>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8FE9-0BFE-4660-9864-4678D678946B}">
  <dimension ref="A1:T47"/>
  <sheetViews>
    <sheetView workbookViewId="0">
      <selection sqref="A1:T47"/>
    </sheetView>
  </sheetViews>
  <sheetFormatPr defaultColWidth="8.88671875" defaultRowHeight="14.4" x14ac:dyDescent="0.3"/>
  <cols>
    <col min="1" max="1" width="13.109375" bestFit="1" customWidth="1"/>
    <col min="2" max="2" width="9" bestFit="1" customWidth="1"/>
    <col min="3" max="3" width="18.33203125" bestFit="1" customWidth="1"/>
    <col min="4" max="4" width="24.109375" bestFit="1" customWidth="1"/>
    <col min="5" max="5" width="21.5546875" bestFit="1" customWidth="1"/>
    <col min="6" max="6" width="30.33203125" bestFit="1" customWidth="1"/>
    <col min="7" max="7" width="57.6640625" bestFit="1" customWidth="1"/>
    <col min="8" max="8" width="21.5546875" bestFit="1" customWidth="1"/>
    <col min="9" max="9" width="12.109375" bestFit="1" customWidth="1"/>
    <col min="10" max="10" width="15.44140625" bestFit="1" customWidth="1"/>
    <col min="11" max="11" width="23.33203125" bestFit="1" customWidth="1"/>
    <col min="12" max="12" width="18.6640625" bestFit="1" customWidth="1"/>
    <col min="13" max="13" width="26.109375" bestFit="1" customWidth="1"/>
    <col min="14" max="14" width="64.109375" bestFit="1" customWidth="1"/>
    <col min="15" max="15" width="25.88671875" bestFit="1" customWidth="1"/>
    <col min="16" max="16" width="30.44140625" bestFit="1" customWidth="1"/>
    <col min="17" max="17" width="33.6640625" bestFit="1" customWidth="1"/>
    <col min="18" max="18" width="48.33203125" bestFit="1" customWidth="1"/>
    <col min="19" max="19" width="16.5546875" bestFit="1" customWidth="1"/>
    <col min="20" max="20" width="28.44140625" bestFit="1" customWidth="1"/>
  </cols>
  <sheetData>
    <row r="1" spans="1:20" x14ac:dyDescent="0.3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3658</v>
      </c>
    </row>
    <row r="2" spans="1:20" x14ac:dyDescent="0.3">
      <c r="B2" t="s">
        <v>311</v>
      </c>
      <c r="C2" t="s">
        <v>312</v>
      </c>
      <c r="D2" s="46">
        <v>46022</v>
      </c>
      <c r="E2" s="46">
        <v>46028</v>
      </c>
      <c r="F2">
        <v>1933516</v>
      </c>
      <c r="G2" t="s">
        <v>3727</v>
      </c>
      <c r="H2" t="s">
        <v>3728</v>
      </c>
      <c r="J2">
        <v>2339554.36</v>
      </c>
      <c r="K2">
        <v>2339554.36</v>
      </c>
      <c r="L2">
        <v>2339554.36</v>
      </c>
      <c r="N2" t="s">
        <v>3729</v>
      </c>
      <c r="O2">
        <v>93860</v>
      </c>
      <c r="P2">
        <v>20.6</v>
      </c>
      <c r="Q2" t="s">
        <v>34</v>
      </c>
      <c r="T2" t="s">
        <v>3730</v>
      </c>
    </row>
    <row r="3" spans="1:20" x14ac:dyDescent="0.3">
      <c r="B3" t="s">
        <v>311</v>
      </c>
      <c r="C3" t="s">
        <v>312</v>
      </c>
      <c r="D3" s="46">
        <v>46022</v>
      </c>
      <c r="E3" s="46">
        <v>46028</v>
      </c>
      <c r="F3">
        <v>33616588.799999997</v>
      </c>
      <c r="G3" t="s">
        <v>3727</v>
      </c>
      <c r="H3" t="s">
        <v>3731</v>
      </c>
      <c r="J3">
        <v>40676072.450000003</v>
      </c>
      <c r="K3">
        <v>40676072.450000003</v>
      </c>
      <c r="L3">
        <v>40676072.450000003</v>
      </c>
      <c r="N3" t="s">
        <v>3732</v>
      </c>
      <c r="O3">
        <v>174080</v>
      </c>
      <c r="P3">
        <v>193.11</v>
      </c>
      <c r="Q3" t="s">
        <v>34</v>
      </c>
      <c r="T3" t="s">
        <v>3733</v>
      </c>
    </row>
    <row r="4" spans="1:20" x14ac:dyDescent="0.3">
      <c r="B4" t="s">
        <v>311</v>
      </c>
      <c r="C4" t="s">
        <v>316</v>
      </c>
      <c r="D4" s="46">
        <v>46021</v>
      </c>
      <c r="E4" s="46">
        <v>46041</v>
      </c>
      <c r="F4">
        <v>6313300</v>
      </c>
      <c r="G4" t="s">
        <v>142</v>
      </c>
      <c r="H4" t="s">
        <v>3734</v>
      </c>
      <c r="J4">
        <v>6976196.5</v>
      </c>
      <c r="K4">
        <v>6976196.5</v>
      </c>
      <c r="N4" t="s">
        <v>71</v>
      </c>
      <c r="O4">
        <v>4354</v>
      </c>
      <c r="P4">
        <v>1450</v>
      </c>
      <c r="Q4" t="s">
        <v>82</v>
      </c>
      <c r="S4" t="s">
        <v>3735</v>
      </c>
      <c r="T4" t="s">
        <v>71</v>
      </c>
    </row>
    <row r="5" spans="1:20" x14ac:dyDescent="0.3">
      <c r="B5" t="s">
        <v>311</v>
      </c>
      <c r="C5" t="s">
        <v>312</v>
      </c>
      <c r="D5" s="46">
        <v>46021</v>
      </c>
      <c r="E5" s="46">
        <v>46052</v>
      </c>
      <c r="F5">
        <v>5250055.72</v>
      </c>
      <c r="G5" t="s">
        <v>3736</v>
      </c>
      <c r="H5" t="s">
        <v>3737</v>
      </c>
      <c r="J5">
        <v>5801311.5700000003</v>
      </c>
      <c r="K5">
        <v>5801311.5700000003</v>
      </c>
      <c r="L5">
        <v>5801311.5700000003</v>
      </c>
      <c r="N5" t="s">
        <v>3738</v>
      </c>
      <c r="O5">
        <v>3031</v>
      </c>
      <c r="P5">
        <v>1732.12</v>
      </c>
      <c r="Q5" t="s">
        <v>34</v>
      </c>
      <c r="S5" t="s">
        <v>3739</v>
      </c>
      <c r="T5" t="s">
        <v>3740</v>
      </c>
    </row>
    <row r="6" spans="1:20" x14ac:dyDescent="0.3">
      <c r="B6" t="s">
        <v>311</v>
      </c>
      <c r="C6" t="s">
        <v>3741</v>
      </c>
      <c r="D6" s="46">
        <v>46020</v>
      </c>
      <c r="E6" s="46">
        <v>46021</v>
      </c>
      <c r="F6">
        <v>1792744.2</v>
      </c>
      <c r="G6" t="s">
        <v>3742</v>
      </c>
      <c r="H6" t="s">
        <v>3743</v>
      </c>
      <c r="J6">
        <v>1980982.34</v>
      </c>
      <c r="K6">
        <v>1980982.34</v>
      </c>
      <c r="N6" t="s">
        <v>3738</v>
      </c>
      <c r="O6">
        <v>1035</v>
      </c>
      <c r="P6">
        <v>1732.12</v>
      </c>
      <c r="Q6" t="s">
        <v>34</v>
      </c>
      <c r="T6" t="s">
        <v>3740</v>
      </c>
    </row>
    <row r="7" spans="1:20" x14ac:dyDescent="0.3">
      <c r="B7" t="s">
        <v>311</v>
      </c>
      <c r="C7" t="s">
        <v>312</v>
      </c>
      <c r="D7" s="46">
        <v>46020</v>
      </c>
      <c r="E7" s="46">
        <v>46038</v>
      </c>
      <c r="F7">
        <v>5267150</v>
      </c>
      <c r="G7" t="s">
        <v>136</v>
      </c>
      <c r="H7" t="s">
        <v>3744</v>
      </c>
      <c r="J7">
        <v>5820200.75</v>
      </c>
      <c r="K7">
        <v>5820200.75</v>
      </c>
      <c r="L7">
        <v>5820200.75</v>
      </c>
      <c r="N7" t="s">
        <v>71</v>
      </c>
      <c r="O7">
        <v>3725</v>
      </c>
      <c r="P7">
        <v>1414</v>
      </c>
      <c r="Q7" t="s">
        <v>82</v>
      </c>
      <c r="S7" t="s">
        <v>3745</v>
      </c>
      <c r="T7" t="s">
        <v>71</v>
      </c>
    </row>
    <row r="8" spans="1:20" x14ac:dyDescent="0.3">
      <c r="B8" t="s">
        <v>311</v>
      </c>
      <c r="C8" t="s">
        <v>316</v>
      </c>
      <c r="D8" s="46">
        <v>46020</v>
      </c>
      <c r="E8" s="46">
        <v>46039</v>
      </c>
      <c r="F8">
        <v>3970891.65</v>
      </c>
      <c r="G8" t="s">
        <v>3746</v>
      </c>
      <c r="H8" t="s">
        <v>3747</v>
      </c>
      <c r="J8">
        <v>4387835.2699999996</v>
      </c>
      <c r="K8">
        <v>4387835.2699999996</v>
      </c>
      <c r="N8" t="s">
        <v>3738</v>
      </c>
      <c r="O8">
        <v>1965</v>
      </c>
      <c r="P8">
        <v>2020.81</v>
      </c>
      <c r="Q8" t="s">
        <v>34</v>
      </c>
      <c r="S8" t="s">
        <v>3748</v>
      </c>
      <c r="T8" t="s">
        <v>3740</v>
      </c>
    </row>
    <row r="9" spans="1:20" x14ac:dyDescent="0.3">
      <c r="B9" t="s">
        <v>311</v>
      </c>
      <c r="C9" t="s">
        <v>316</v>
      </c>
      <c r="D9" s="46">
        <v>46020</v>
      </c>
      <c r="E9" s="46">
        <v>46039</v>
      </c>
      <c r="F9">
        <v>7720058.8399999999</v>
      </c>
      <c r="G9" t="s">
        <v>931</v>
      </c>
      <c r="H9" t="s">
        <v>3749</v>
      </c>
      <c r="J9">
        <v>8530665.0199999996</v>
      </c>
      <c r="K9">
        <v>8530665.0199999996</v>
      </c>
      <c r="N9" t="s">
        <v>3738</v>
      </c>
      <c r="O9">
        <v>4457</v>
      </c>
      <c r="P9">
        <v>1732.12</v>
      </c>
      <c r="Q9" t="s">
        <v>34</v>
      </c>
      <c r="S9" t="s">
        <v>3750</v>
      </c>
      <c r="T9" t="s">
        <v>3740</v>
      </c>
    </row>
    <row r="10" spans="1:20" x14ac:dyDescent="0.3">
      <c r="B10" t="s">
        <v>311</v>
      </c>
      <c r="C10" t="s">
        <v>3741</v>
      </c>
      <c r="D10" s="46">
        <v>46020</v>
      </c>
      <c r="E10" s="46">
        <v>46025</v>
      </c>
      <c r="F10">
        <v>1792744.2</v>
      </c>
      <c r="G10" t="s">
        <v>3742</v>
      </c>
      <c r="H10" t="s">
        <v>3751</v>
      </c>
      <c r="J10">
        <v>1980982.34</v>
      </c>
      <c r="K10">
        <v>1980982.34</v>
      </c>
      <c r="N10" t="s">
        <v>3738</v>
      </c>
      <c r="O10">
        <v>1035</v>
      </c>
      <c r="P10">
        <v>1732.12</v>
      </c>
      <c r="Q10" t="s">
        <v>34</v>
      </c>
      <c r="S10" t="s">
        <v>3752</v>
      </c>
      <c r="T10" t="s">
        <v>3740</v>
      </c>
    </row>
    <row r="11" spans="1:20" x14ac:dyDescent="0.3">
      <c r="B11" t="s">
        <v>311</v>
      </c>
      <c r="C11" t="s">
        <v>381</v>
      </c>
      <c r="D11" s="46">
        <v>46020</v>
      </c>
      <c r="E11" s="46">
        <v>46041</v>
      </c>
      <c r="F11">
        <v>8638082.4399999995</v>
      </c>
      <c r="G11" t="s">
        <v>931</v>
      </c>
      <c r="H11" t="s">
        <v>3753</v>
      </c>
      <c r="J11">
        <v>9545081.0999999996</v>
      </c>
      <c r="K11">
        <v>9545081.0999999996</v>
      </c>
      <c r="L11">
        <v>9361337.8100000005</v>
      </c>
      <c r="N11" t="s">
        <v>3738</v>
      </c>
      <c r="O11">
        <v>4987</v>
      </c>
      <c r="P11">
        <v>1732.12</v>
      </c>
      <c r="Q11" t="s">
        <v>34</v>
      </c>
      <c r="S11" t="s">
        <v>3754</v>
      </c>
      <c r="T11" t="s">
        <v>3740</v>
      </c>
    </row>
    <row r="12" spans="1:20" x14ac:dyDescent="0.3">
      <c r="B12" t="s">
        <v>311</v>
      </c>
      <c r="C12" t="s">
        <v>316</v>
      </c>
      <c r="D12" s="46">
        <v>46020</v>
      </c>
      <c r="E12" s="46">
        <v>46039</v>
      </c>
      <c r="F12">
        <v>3730415.26</v>
      </c>
      <c r="G12" t="s">
        <v>3746</v>
      </c>
      <c r="H12" t="s">
        <v>3755</v>
      </c>
      <c r="J12">
        <v>4122108.86</v>
      </c>
      <c r="K12">
        <v>4122108.86</v>
      </c>
      <c r="N12" t="s">
        <v>3738</v>
      </c>
      <c r="O12">
        <v>1846</v>
      </c>
      <c r="P12">
        <v>2020.81</v>
      </c>
      <c r="Q12" t="s">
        <v>34</v>
      </c>
      <c r="S12" t="s">
        <v>3756</v>
      </c>
      <c r="T12" t="s">
        <v>3740</v>
      </c>
    </row>
    <row r="13" spans="1:20" x14ac:dyDescent="0.3">
      <c r="B13" t="s">
        <v>311</v>
      </c>
      <c r="C13" t="s">
        <v>316</v>
      </c>
      <c r="D13" s="46">
        <v>46018</v>
      </c>
      <c r="E13" s="46">
        <v>46025</v>
      </c>
      <c r="F13">
        <v>788114.6</v>
      </c>
      <c r="G13" t="s">
        <v>3757</v>
      </c>
      <c r="H13" t="s">
        <v>3758</v>
      </c>
      <c r="J13">
        <v>870866.63</v>
      </c>
      <c r="K13">
        <v>870866.63</v>
      </c>
      <c r="N13" t="s">
        <v>3738</v>
      </c>
      <c r="O13">
        <v>455</v>
      </c>
      <c r="P13">
        <v>1732.12</v>
      </c>
      <c r="Q13" t="s">
        <v>34</v>
      </c>
      <c r="S13" t="s">
        <v>3759</v>
      </c>
      <c r="T13" t="s">
        <v>3740</v>
      </c>
    </row>
    <row r="14" spans="1:20" x14ac:dyDescent="0.3">
      <c r="B14" t="s">
        <v>311</v>
      </c>
      <c r="C14" t="s">
        <v>312</v>
      </c>
      <c r="D14" s="46">
        <v>46013</v>
      </c>
      <c r="E14" s="46">
        <v>46031</v>
      </c>
      <c r="F14">
        <v>14205044</v>
      </c>
      <c r="G14" t="s">
        <v>136</v>
      </c>
      <c r="H14" t="s">
        <v>3760</v>
      </c>
      <c r="J14">
        <v>15696573.619999999</v>
      </c>
      <c r="K14">
        <v>15696573.619999999</v>
      </c>
      <c r="L14">
        <v>15696573.619999999</v>
      </c>
      <c r="N14" t="s">
        <v>71</v>
      </c>
      <c r="O14">
        <v>10046</v>
      </c>
      <c r="P14">
        <v>1414</v>
      </c>
      <c r="Q14" t="s">
        <v>82</v>
      </c>
      <c r="S14" t="s">
        <v>3761</v>
      </c>
      <c r="T14" t="s">
        <v>71</v>
      </c>
    </row>
    <row r="15" spans="1:20" x14ac:dyDescent="0.3">
      <c r="B15" t="s">
        <v>311</v>
      </c>
      <c r="C15" t="s">
        <v>312</v>
      </c>
      <c r="D15" s="46">
        <v>46013</v>
      </c>
      <c r="E15" s="46">
        <v>46031</v>
      </c>
      <c r="F15">
        <v>1888538.4</v>
      </c>
      <c r="G15" t="s">
        <v>136</v>
      </c>
      <c r="H15" t="s">
        <v>3762</v>
      </c>
      <c r="J15">
        <v>2086834.93</v>
      </c>
      <c r="K15">
        <v>2086834.93</v>
      </c>
      <c r="L15">
        <v>2086834.93</v>
      </c>
      <c r="N15" t="s">
        <v>138</v>
      </c>
      <c r="O15">
        <v>1908</v>
      </c>
      <c r="P15">
        <v>989.8</v>
      </c>
      <c r="Q15" t="s">
        <v>82</v>
      </c>
      <c r="S15" t="s">
        <v>3763</v>
      </c>
      <c r="T15" t="s">
        <v>138</v>
      </c>
    </row>
    <row r="16" spans="1:20" x14ac:dyDescent="0.3">
      <c r="B16" t="s">
        <v>311</v>
      </c>
      <c r="C16" t="s">
        <v>312</v>
      </c>
      <c r="D16" s="46">
        <v>46013</v>
      </c>
      <c r="E16" s="46">
        <v>46031</v>
      </c>
      <c r="F16">
        <v>5344920</v>
      </c>
      <c r="G16" t="s">
        <v>136</v>
      </c>
      <c r="H16" t="s">
        <v>3764</v>
      </c>
      <c r="J16">
        <v>5906136.5999999996</v>
      </c>
      <c r="K16">
        <v>5906136.5999999996</v>
      </c>
      <c r="L16">
        <v>5906136.5999999996</v>
      </c>
      <c r="N16" t="s">
        <v>71</v>
      </c>
      <c r="O16">
        <v>3780</v>
      </c>
      <c r="P16">
        <v>1414</v>
      </c>
      <c r="Q16" t="s">
        <v>82</v>
      </c>
      <c r="S16" t="s">
        <v>3765</v>
      </c>
      <c r="T16" t="s">
        <v>71</v>
      </c>
    </row>
    <row r="17" spans="2:20" x14ac:dyDescent="0.3">
      <c r="B17" t="s">
        <v>311</v>
      </c>
      <c r="C17" t="s">
        <v>381</v>
      </c>
      <c r="D17" s="46">
        <v>46013</v>
      </c>
      <c r="E17" s="46">
        <v>46031</v>
      </c>
      <c r="F17">
        <v>14654696</v>
      </c>
      <c r="G17" t="s">
        <v>136</v>
      </c>
      <c r="H17" t="s">
        <v>3766</v>
      </c>
      <c r="J17">
        <v>16193439.08</v>
      </c>
      <c r="K17">
        <v>16193439.08</v>
      </c>
      <c r="L17">
        <v>3388083.55</v>
      </c>
      <c r="N17" t="s">
        <v>71</v>
      </c>
      <c r="O17">
        <v>10364</v>
      </c>
      <c r="P17">
        <v>1414</v>
      </c>
      <c r="Q17" t="s">
        <v>82</v>
      </c>
      <c r="S17" t="s">
        <v>3767</v>
      </c>
      <c r="T17" t="s">
        <v>71</v>
      </c>
    </row>
    <row r="18" spans="2:20" x14ac:dyDescent="0.3">
      <c r="B18" t="s">
        <v>311</v>
      </c>
      <c r="C18" t="s">
        <v>316</v>
      </c>
      <c r="D18" s="46">
        <v>46013</v>
      </c>
      <c r="E18" s="46">
        <v>46024</v>
      </c>
      <c r="F18">
        <v>18181212</v>
      </c>
      <c r="G18" t="s">
        <v>136</v>
      </c>
      <c r="H18" t="s">
        <v>3768</v>
      </c>
      <c r="J18">
        <v>20090239.260000002</v>
      </c>
      <c r="K18">
        <v>20090239.260000002</v>
      </c>
      <c r="N18" t="s">
        <v>71</v>
      </c>
      <c r="O18">
        <v>12858</v>
      </c>
      <c r="P18">
        <v>1414</v>
      </c>
      <c r="Q18" t="s">
        <v>82</v>
      </c>
      <c r="S18" t="s">
        <v>3769</v>
      </c>
      <c r="T18" t="s">
        <v>71</v>
      </c>
    </row>
    <row r="19" spans="2:20" x14ac:dyDescent="0.3">
      <c r="B19" t="s">
        <v>311</v>
      </c>
      <c r="C19" t="s">
        <v>316</v>
      </c>
      <c r="D19" s="46">
        <v>46013</v>
      </c>
      <c r="E19" s="46">
        <v>46013</v>
      </c>
      <c r="F19">
        <v>6403200</v>
      </c>
      <c r="G19" t="s">
        <v>142</v>
      </c>
      <c r="H19" t="s">
        <v>3770</v>
      </c>
      <c r="J19">
        <v>7075536</v>
      </c>
      <c r="K19">
        <v>7075536</v>
      </c>
      <c r="N19" t="s">
        <v>71</v>
      </c>
      <c r="O19">
        <v>4416</v>
      </c>
      <c r="P19">
        <v>1450</v>
      </c>
      <c r="Q19" t="s">
        <v>82</v>
      </c>
      <c r="S19" t="s">
        <v>3771</v>
      </c>
      <c r="T19" t="s">
        <v>71</v>
      </c>
    </row>
    <row r="20" spans="2:20" x14ac:dyDescent="0.3">
      <c r="B20" t="s">
        <v>311</v>
      </c>
      <c r="C20" t="s">
        <v>316</v>
      </c>
      <c r="D20" s="46">
        <v>46009</v>
      </c>
      <c r="E20" s="46">
        <v>46022</v>
      </c>
      <c r="F20">
        <v>935635.03</v>
      </c>
      <c r="G20" t="s">
        <v>3772</v>
      </c>
      <c r="H20" t="s">
        <v>3773</v>
      </c>
      <c r="J20">
        <v>1033876.71</v>
      </c>
      <c r="K20">
        <v>1033876.71</v>
      </c>
      <c r="N20" t="s">
        <v>3738</v>
      </c>
      <c r="O20">
        <v>463</v>
      </c>
      <c r="P20">
        <v>2020.81</v>
      </c>
      <c r="Q20" t="s">
        <v>34</v>
      </c>
      <c r="S20" t="s">
        <v>3774</v>
      </c>
      <c r="T20" t="s">
        <v>3740</v>
      </c>
    </row>
    <row r="21" spans="2:20" x14ac:dyDescent="0.3">
      <c r="B21" t="s">
        <v>311</v>
      </c>
      <c r="C21" t="s">
        <v>316</v>
      </c>
      <c r="D21" s="46">
        <v>46008</v>
      </c>
      <c r="E21" s="46">
        <v>46036</v>
      </c>
      <c r="F21">
        <v>4080015.39</v>
      </c>
      <c r="G21" t="s">
        <v>3746</v>
      </c>
      <c r="H21" t="s">
        <v>3775</v>
      </c>
      <c r="J21">
        <v>4508417.01</v>
      </c>
      <c r="K21">
        <v>4508417.01</v>
      </c>
      <c r="N21" t="s">
        <v>3738</v>
      </c>
      <c r="O21">
        <v>2019</v>
      </c>
      <c r="P21">
        <v>2020.81</v>
      </c>
      <c r="Q21" t="s">
        <v>34</v>
      </c>
      <c r="S21" t="s">
        <v>3776</v>
      </c>
      <c r="T21" t="s">
        <v>3740</v>
      </c>
    </row>
    <row r="22" spans="2:20" x14ac:dyDescent="0.3">
      <c r="B22" t="s">
        <v>311</v>
      </c>
      <c r="C22" t="s">
        <v>316</v>
      </c>
      <c r="D22" s="46">
        <v>46008</v>
      </c>
      <c r="E22" s="46">
        <v>46029</v>
      </c>
      <c r="F22">
        <v>4077994.58</v>
      </c>
      <c r="G22" t="s">
        <v>3746</v>
      </c>
      <c r="H22" t="s">
        <v>3777</v>
      </c>
      <c r="J22">
        <v>4506184.01</v>
      </c>
      <c r="K22">
        <v>4506184.01</v>
      </c>
      <c r="N22" t="s">
        <v>3738</v>
      </c>
      <c r="O22">
        <v>2018</v>
      </c>
      <c r="P22">
        <v>2020.81</v>
      </c>
      <c r="Q22" t="s">
        <v>34</v>
      </c>
      <c r="S22" t="s">
        <v>3778</v>
      </c>
      <c r="T22" t="s">
        <v>3740</v>
      </c>
    </row>
    <row r="23" spans="2:20" x14ac:dyDescent="0.3">
      <c r="B23" t="s">
        <v>311</v>
      </c>
      <c r="C23" t="s">
        <v>316</v>
      </c>
      <c r="D23" s="46">
        <v>46008</v>
      </c>
      <c r="E23" s="46">
        <v>46028</v>
      </c>
      <c r="F23">
        <v>8284729.96</v>
      </c>
      <c r="G23" t="s">
        <v>931</v>
      </c>
      <c r="H23" t="s">
        <v>3779</v>
      </c>
      <c r="J23">
        <v>9154626.6099999994</v>
      </c>
      <c r="K23">
        <v>9154626.6099999994</v>
      </c>
      <c r="N23" t="s">
        <v>3738</v>
      </c>
      <c r="O23">
        <v>4783</v>
      </c>
      <c r="P23">
        <v>1732.12</v>
      </c>
      <c r="Q23" t="s">
        <v>34</v>
      </c>
      <c r="S23" t="s">
        <v>3780</v>
      </c>
      <c r="T23" t="s">
        <v>3740</v>
      </c>
    </row>
    <row r="24" spans="2:20" x14ac:dyDescent="0.3">
      <c r="B24" t="s">
        <v>311</v>
      </c>
      <c r="C24" t="s">
        <v>312</v>
      </c>
      <c r="D24" s="46">
        <v>46008</v>
      </c>
      <c r="E24" s="46">
        <v>46032</v>
      </c>
      <c r="F24">
        <v>4905363.84</v>
      </c>
      <c r="G24" t="s">
        <v>3781</v>
      </c>
      <c r="H24" t="s">
        <v>3782</v>
      </c>
      <c r="J24">
        <v>5420427.04</v>
      </c>
      <c r="K24">
        <v>5420427.04</v>
      </c>
      <c r="L24">
        <v>5420427.04</v>
      </c>
      <c r="N24" t="s">
        <v>3738</v>
      </c>
      <c r="O24">
        <v>2832</v>
      </c>
      <c r="P24">
        <v>1732.12</v>
      </c>
      <c r="Q24" t="s">
        <v>34</v>
      </c>
      <c r="S24" t="s">
        <v>3783</v>
      </c>
      <c r="T24" t="s">
        <v>3740</v>
      </c>
    </row>
    <row r="25" spans="2:20" x14ac:dyDescent="0.3">
      <c r="B25" t="s">
        <v>311</v>
      </c>
      <c r="C25" t="s">
        <v>381</v>
      </c>
      <c r="D25" s="46">
        <v>46008</v>
      </c>
      <c r="E25" s="46">
        <v>46025</v>
      </c>
      <c r="F25">
        <v>4903631.72</v>
      </c>
      <c r="G25" t="s">
        <v>3781</v>
      </c>
      <c r="H25" t="s">
        <v>3784</v>
      </c>
      <c r="J25">
        <v>5418513.0499999998</v>
      </c>
      <c r="K25">
        <v>5418513.0499999998</v>
      </c>
      <c r="L25">
        <v>4947329.09</v>
      </c>
      <c r="N25" t="s">
        <v>3738</v>
      </c>
      <c r="O25">
        <v>2831</v>
      </c>
      <c r="P25">
        <v>1732.12</v>
      </c>
      <c r="Q25" t="s">
        <v>34</v>
      </c>
      <c r="S25" t="s">
        <v>3785</v>
      </c>
      <c r="T25" t="s">
        <v>3740</v>
      </c>
    </row>
    <row r="26" spans="2:20" x14ac:dyDescent="0.3">
      <c r="B26" t="s">
        <v>311</v>
      </c>
      <c r="C26" t="s">
        <v>316</v>
      </c>
      <c r="D26" s="46">
        <v>46008</v>
      </c>
      <c r="E26" s="46">
        <v>46018</v>
      </c>
      <c r="F26">
        <v>5139200.04</v>
      </c>
      <c r="G26" t="s">
        <v>3781</v>
      </c>
      <c r="H26" t="s">
        <v>3786</v>
      </c>
      <c r="J26">
        <v>5678816.04</v>
      </c>
      <c r="K26">
        <v>5678816.04</v>
      </c>
      <c r="N26" t="s">
        <v>3738</v>
      </c>
      <c r="O26">
        <v>2967</v>
      </c>
      <c r="P26">
        <v>1732.12</v>
      </c>
      <c r="Q26" t="s">
        <v>34</v>
      </c>
      <c r="S26" t="s">
        <v>3787</v>
      </c>
      <c r="T26" t="s">
        <v>3740</v>
      </c>
    </row>
    <row r="27" spans="2:20" x14ac:dyDescent="0.3">
      <c r="B27" t="s">
        <v>311</v>
      </c>
      <c r="C27" t="s">
        <v>316</v>
      </c>
      <c r="D27" s="46">
        <v>46007</v>
      </c>
      <c r="E27" s="46">
        <v>46024</v>
      </c>
      <c r="F27">
        <v>10846794</v>
      </c>
      <c r="G27" t="s">
        <v>136</v>
      </c>
      <c r="H27" t="s">
        <v>3788</v>
      </c>
      <c r="J27">
        <v>11985707.369999999</v>
      </c>
      <c r="K27">
        <v>11985707.369999999</v>
      </c>
      <c r="N27" t="s">
        <v>71</v>
      </c>
      <c r="O27">
        <v>7671</v>
      </c>
      <c r="P27">
        <v>1414</v>
      </c>
      <c r="Q27" t="s">
        <v>82</v>
      </c>
      <c r="S27" t="s">
        <v>3789</v>
      </c>
      <c r="T27" t="s">
        <v>71</v>
      </c>
    </row>
    <row r="28" spans="2:20" x14ac:dyDescent="0.3">
      <c r="B28" t="s">
        <v>311</v>
      </c>
      <c r="C28" t="s">
        <v>316</v>
      </c>
      <c r="D28" s="46">
        <v>46006</v>
      </c>
      <c r="E28" s="46">
        <v>46024</v>
      </c>
      <c r="F28">
        <v>11242714</v>
      </c>
      <c r="G28" t="s">
        <v>136</v>
      </c>
      <c r="H28" t="s">
        <v>3790</v>
      </c>
      <c r="J28">
        <v>12423198.970000001</v>
      </c>
      <c r="K28">
        <v>12423198.970000001</v>
      </c>
      <c r="N28" t="s">
        <v>71</v>
      </c>
      <c r="O28">
        <v>7951</v>
      </c>
      <c r="P28">
        <v>1414</v>
      </c>
      <c r="Q28" t="s">
        <v>82</v>
      </c>
      <c r="S28" t="s">
        <v>3791</v>
      </c>
      <c r="T28" t="s">
        <v>71</v>
      </c>
    </row>
    <row r="29" spans="2:20" x14ac:dyDescent="0.3">
      <c r="B29" t="s">
        <v>311</v>
      </c>
      <c r="C29" t="s">
        <v>316</v>
      </c>
      <c r="D29" s="46">
        <v>46006</v>
      </c>
      <c r="E29" s="46">
        <v>46017</v>
      </c>
      <c r="F29">
        <v>2577439.2000000002</v>
      </c>
      <c r="G29" t="s">
        <v>136</v>
      </c>
      <c r="H29" t="s">
        <v>3792</v>
      </c>
      <c r="J29">
        <v>2848070.32</v>
      </c>
      <c r="K29">
        <v>2848070.32</v>
      </c>
      <c r="N29" t="s">
        <v>138</v>
      </c>
      <c r="O29">
        <v>2604</v>
      </c>
      <c r="P29">
        <v>989.8</v>
      </c>
      <c r="Q29" t="s">
        <v>82</v>
      </c>
      <c r="S29" t="s">
        <v>3793</v>
      </c>
      <c r="T29" t="s">
        <v>138</v>
      </c>
    </row>
    <row r="30" spans="2:20" x14ac:dyDescent="0.3">
      <c r="B30" t="s">
        <v>311</v>
      </c>
      <c r="C30" t="s">
        <v>316</v>
      </c>
      <c r="D30" s="46">
        <v>46006</v>
      </c>
      <c r="E30" s="46">
        <v>46017</v>
      </c>
      <c r="F30">
        <v>470155</v>
      </c>
      <c r="G30" t="s">
        <v>136</v>
      </c>
      <c r="H30" t="s">
        <v>3794</v>
      </c>
      <c r="J30">
        <v>519521.28000000003</v>
      </c>
      <c r="K30">
        <v>519521.28000000003</v>
      </c>
      <c r="N30" t="s">
        <v>138</v>
      </c>
      <c r="O30">
        <v>475</v>
      </c>
      <c r="P30">
        <v>989.8</v>
      </c>
      <c r="Q30" t="s">
        <v>82</v>
      </c>
      <c r="S30" t="s">
        <v>3795</v>
      </c>
      <c r="T30" t="s">
        <v>138</v>
      </c>
    </row>
    <row r="31" spans="2:20" x14ac:dyDescent="0.3">
      <c r="B31" t="s">
        <v>311</v>
      </c>
      <c r="C31" t="s">
        <v>316</v>
      </c>
      <c r="D31" s="46">
        <v>46006</v>
      </c>
      <c r="E31" s="46">
        <v>46017</v>
      </c>
      <c r="F31">
        <v>11234230</v>
      </c>
      <c r="G31" t="s">
        <v>136</v>
      </c>
      <c r="H31" t="s">
        <v>3796</v>
      </c>
      <c r="J31">
        <v>12413824.15</v>
      </c>
      <c r="K31">
        <v>12413824.15</v>
      </c>
      <c r="N31" t="s">
        <v>71</v>
      </c>
      <c r="O31">
        <v>7945</v>
      </c>
      <c r="P31">
        <v>1414</v>
      </c>
      <c r="Q31" t="s">
        <v>82</v>
      </c>
      <c r="S31" t="s">
        <v>3797</v>
      </c>
      <c r="T31" t="s">
        <v>71</v>
      </c>
    </row>
    <row r="32" spans="2:20" x14ac:dyDescent="0.3">
      <c r="B32" t="s">
        <v>311</v>
      </c>
      <c r="C32" t="s">
        <v>316</v>
      </c>
      <c r="D32" s="46">
        <v>46004</v>
      </c>
      <c r="E32" s="46">
        <v>46010</v>
      </c>
      <c r="F32">
        <v>4292500</v>
      </c>
      <c r="G32" t="s">
        <v>3359</v>
      </c>
      <c r="H32" t="s">
        <v>3798</v>
      </c>
      <c r="J32">
        <v>4743212.5</v>
      </c>
      <c r="K32">
        <v>4743212.5</v>
      </c>
      <c r="N32" t="s">
        <v>71</v>
      </c>
      <c r="O32">
        <v>2125</v>
      </c>
      <c r="P32">
        <v>2020</v>
      </c>
      <c r="Q32" t="s">
        <v>82</v>
      </c>
      <c r="S32" t="s">
        <v>3799</v>
      </c>
      <c r="T32" t="s">
        <v>71</v>
      </c>
    </row>
    <row r="33" spans="2:20" x14ac:dyDescent="0.3">
      <c r="B33" t="s">
        <v>311</v>
      </c>
      <c r="C33" t="s">
        <v>316</v>
      </c>
      <c r="D33" s="46">
        <v>46003</v>
      </c>
      <c r="E33" s="46">
        <v>46024</v>
      </c>
      <c r="F33">
        <v>8631153.9600000009</v>
      </c>
      <c r="G33" t="s">
        <v>931</v>
      </c>
      <c r="H33" t="s">
        <v>3800</v>
      </c>
      <c r="J33">
        <v>9537425.1300000008</v>
      </c>
      <c r="K33">
        <v>9537425.1300000008</v>
      </c>
      <c r="N33" t="s">
        <v>3738</v>
      </c>
      <c r="O33">
        <v>4983</v>
      </c>
      <c r="P33">
        <v>1732.12</v>
      </c>
      <c r="Q33" t="s">
        <v>34</v>
      </c>
      <c r="S33" t="s">
        <v>3801</v>
      </c>
      <c r="T33" t="s">
        <v>3740</v>
      </c>
    </row>
    <row r="34" spans="2:20" x14ac:dyDescent="0.3">
      <c r="B34" t="s">
        <v>311</v>
      </c>
      <c r="C34" t="s">
        <v>316</v>
      </c>
      <c r="D34" s="46">
        <v>46002</v>
      </c>
      <c r="E34" s="46">
        <v>46017</v>
      </c>
      <c r="F34">
        <v>193920</v>
      </c>
      <c r="G34" t="s">
        <v>136</v>
      </c>
      <c r="H34" t="s">
        <v>3802</v>
      </c>
      <c r="J34">
        <v>214281.60000000001</v>
      </c>
      <c r="K34">
        <v>214281.60000000001</v>
      </c>
      <c r="N34" t="s">
        <v>71</v>
      </c>
      <c r="O34">
        <v>160</v>
      </c>
      <c r="P34">
        <v>1212</v>
      </c>
      <c r="Q34" t="s">
        <v>82</v>
      </c>
      <c r="S34" t="s">
        <v>3803</v>
      </c>
      <c r="T34" t="s">
        <v>71</v>
      </c>
    </row>
    <row r="35" spans="2:20" x14ac:dyDescent="0.3">
      <c r="B35" t="s">
        <v>311</v>
      </c>
      <c r="C35" t="s">
        <v>316</v>
      </c>
      <c r="D35" s="46">
        <v>46000</v>
      </c>
      <c r="E35" s="46">
        <v>46016</v>
      </c>
      <c r="F35">
        <v>16481988</v>
      </c>
      <c r="G35" t="s">
        <v>136</v>
      </c>
      <c r="H35" t="s">
        <v>3804</v>
      </c>
      <c r="J35">
        <v>18212596.739999998</v>
      </c>
      <c r="K35">
        <v>18212596.739999998</v>
      </c>
      <c r="N35" t="s">
        <v>71</v>
      </c>
      <c r="O35">
        <v>13599</v>
      </c>
      <c r="P35">
        <v>1212</v>
      </c>
      <c r="Q35" t="s">
        <v>82</v>
      </c>
      <c r="S35" t="s">
        <v>3805</v>
      </c>
      <c r="T35" t="s">
        <v>71</v>
      </c>
    </row>
    <row r="36" spans="2:20" x14ac:dyDescent="0.3">
      <c r="B36" t="s">
        <v>311</v>
      </c>
      <c r="C36" t="s">
        <v>312</v>
      </c>
      <c r="D36" s="46">
        <v>46000</v>
      </c>
      <c r="E36" s="46">
        <v>46002</v>
      </c>
      <c r="F36">
        <v>2081549.4</v>
      </c>
      <c r="G36" t="s">
        <v>900</v>
      </c>
      <c r="H36" t="s">
        <v>3806</v>
      </c>
      <c r="J36">
        <v>2300112.09</v>
      </c>
      <c r="K36">
        <v>2300112.09</v>
      </c>
      <c r="L36">
        <v>2300112.09</v>
      </c>
      <c r="N36" t="s">
        <v>138</v>
      </c>
      <c r="O36">
        <v>2103</v>
      </c>
      <c r="P36">
        <v>989.8</v>
      </c>
      <c r="Q36" t="s">
        <v>82</v>
      </c>
      <c r="T36" t="s">
        <v>138</v>
      </c>
    </row>
    <row r="37" spans="2:20" x14ac:dyDescent="0.3">
      <c r="B37" t="s">
        <v>311</v>
      </c>
      <c r="C37" t="s">
        <v>3741</v>
      </c>
      <c r="D37" s="46">
        <v>46000</v>
      </c>
      <c r="E37" s="46">
        <v>46002</v>
      </c>
      <c r="F37">
        <v>2973642</v>
      </c>
      <c r="G37" t="s">
        <v>900</v>
      </c>
      <c r="H37" t="s">
        <v>3807</v>
      </c>
      <c r="J37">
        <v>3285874.41</v>
      </c>
      <c r="K37">
        <v>3285874.41</v>
      </c>
      <c r="N37" t="s">
        <v>138</v>
      </c>
      <c r="O37">
        <v>2103</v>
      </c>
      <c r="P37">
        <v>1414</v>
      </c>
      <c r="Q37" t="s">
        <v>82</v>
      </c>
      <c r="T37" t="s">
        <v>138</v>
      </c>
    </row>
    <row r="38" spans="2:20" x14ac:dyDescent="0.3">
      <c r="B38" t="s">
        <v>311</v>
      </c>
      <c r="C38" t="s">
        <v>316</v>
      </c>
      <c r="D38" s="46">
        <v>46000</v>
      </c>
      <c r="E38" s="46">
        <v>46015</v>
      </c>
      <c r="F38">
        <v>3898142.49</v>
      </c>
      <c r="G38" t="s">
        <v>3746</v>
      </c>
      <c r="H38" t="s">
        <v>3808</v>
      </c>
      <c r="J38">
        <v>4307447.45</v>
      </c>
      <c r="K38">
        <v>4307447.45</v>
      </c>
      <c r="N38" t="s">
        <v>3738</v>
      </c>
      <c r="O38">
        <v>1929</v>
      </c>
      <c r="P38">
        <v>2020.81</v>
      </c>
      <c r="Q38" t="s">
        <v>34</v>
      </c>
      <c r="S38" t="s">
        <v>3809</v>
      </c>
      <c r="T38" t="s">
        <v>3740</v>
      </c>
    </row>
    <row r="39" spans="2:20" x14ac:dyDescent="0.3">
      <c r="B39" t="s">
        <v>311</v>
      </c>
      <c r="C39" t="s">
        <v>316</v>
      </c>
      <c r="D39" s="46">
        <v>46000</v>
      </c>
      <c r="E39" s="46">
        <v>46020</v>
      </c>
      <c r="F39">
        <v>8535887.3599999994</v>
      </c>
      <c r="G39" t="s">
        <v>931</v>
      </c>
      <c r="H39" t="s">
        <v>3810</v>
      </c>
      <c r="J39">
        <v>9432155.5299999993</v>
      </c>
      <c r="K39">
        <v>9432155.5299999993</v>
      </c>
      <c r="N39" t="s">
        <v>3738</v>
      </c>
      <c r="O39">
        <v>4928</v>
      </c>
      <c r="P39">
        <v>1732.12</v>
      </c>
      <c r="Q39" t="s">
        <v>34</v>
      </c>
      <c r="S39" t="s">
        <v>3811</v>
      </c>
      <c r="T39" t="s">
        <v>3740</v>
      </c>
    </row>
    <row r="40" spans="2:20" x14ac:dyDescent="0.3">
      <c r="B40" t="s">
        <v>311</v>
      </c>
      <c r="C40" t="s">
        <v>316</v>
      </c>
      <c r="D40" s="46">
        <v>46000</v>
      </c>
      <c r="E40" s="46">
        <v>46013</v>
      </c>
      <c r="F40">
        <v>2691714.48</v>
      </c>
      <c r="G40" t="s">
        <v>931</v>
      </c>
      <c r="H40" t="s">
        <v>3812</v>
      </c>
      <c r="J40">
        <v>2974344.5</v>
      </c>
      <c r="K40">
        <v>2974344.5</v>
      </c>
      <c r="N40" t="s">
        <v>3738</v>
      </c>
      <c r="O40">
        <v>1554</v>
      </c>
      <c r="P40">
        <v>1732.12</v>
      </c>
      <c r="Q40" t="s">
        <v>34</v>
      </c>
      <c r="S40" t="s">
        <v>3813</v>
      </c>
      <c r="T40" t="s">
        <v>3740</v>
      </c>
    </row>
    <row r="41" spans="2:20" x14ac:dyDescent="0.3">
      <c r="B41" t="s">
        <v>311</v>
      </c>
      <c r="C41" t="s">
        <v>316</v>
      </c>
      <c r="D41" s="46">
        <v>45999</v>
      </c>
      <c r="E41" s="46">
        <v>46017</v>
      </c>
      <c r="F41">
        <v>10614696</v>
      </c>
      <c r="G41" t="s">
        <v>136</v>
      </c>
      <c r="H41" t="s">
        <v>3814</v>
      </c>
      <c r="J41">
        <v>11729239.08</v>
      </c>
      <c r="K41">
        <v>11729239.08</v>
      </c>
      <c r="N41" t="s">
        <v>3738</v>
      </c>
      <c r="O41">
        <v>8758</v>
      </c>
      <c r="P41">
        <v>1212</v>
      </c>
      <c r="Q41" t="s">
        <v>34</v>
      </c>
      <c r="S41" t="s">
        <v>3815</v>
      </c>
      <c r="T41" t="s">
        <v>3740</v>
      </c>
    </row>
    <row r="42" spans="2:20" x14ac:dyDescent="0.3">
      <c r="B42" t="s">
        <v>311</v>
      </c>
      <c r="C42" t="s">
        <v>316</v>
      </c>
      <c r="D42" s="46">
        <v>45999</v>
      </c>
      <c r="E42" s="46">
        <v>46010</v>
      </c>
      <c r="F42">
        <v>13508952</v>
      </c>
      <c r="G42" t="s">
        <v>136</v>
      </c>
      <c r="H42" t="s">
        <v>3816</v>
      </c>
      <c r="J42">
        <v>14927391.960000001</v>
      </c>
      <c r="K42">
        <v>14927391.960000001</v>
      </c>
      <c r="N42" t="s">
        <v>71</v>
      </c>
      <c r="O42">
        <v>11146</v>
      </c>
      <c r="P42">
        <v>1212</v>
      </c>
      <c r="Q42" t="s">
        <v>82</v>
      </c>
      <c r="S42" t="s">
        <v>3817</v>
      </c>
      <c r="T42" t="s">
        <v>71</v>
      </c>
    </row>
    <row r="43" spans="2:20" x14ac:dyDescent="0.3">
      <c r="B43" t="s">
        <v>311</v>
      </c>
      <c r="C43" t="s">
        <v>316</v>
      </c>
      <c r="D43" s="46">
        <v>45993</v>
      </c>
      <c r="E43" s="46">
        <v>46010</v>
      </c>
      <c r="F43">
        <v>385416</v>
      </c>
      <c r="G43" t="s">
        <v>136</v>
      </c>
      <c r="H43" t="s">
        <v>3818</v>
      </c>
      <c r="J43">
        <v>425884.68</v>
      </c>
      <c r="K43">
        <v>425884.68</v>
      </c>
      <c r="N43" t="s">
        <v>71</v>
      </c>
      <c r="O43">
        <v>318</v>
      </c>
      <c r="P43">
        <v>1212</v>
      </c>
      <c r="Q43" t="s">
        <v>82</v>
      </c>
      <c r="S43" t="s">
        <v>3819</v>
      </c>
      <c r="T43" t="s">
        <v>71</v>
      </c>
    </row>
    <row r="44" spans="2:20" x14ac:dyDescent="0.3">
      <c r="B44" t="s">
        <v>311</v>
      </c>
      <c r="C44" t="s">
        <v>316</v>
      </c>
      <c r="D44" s="46">
        <v>45993</v>
      </c>
      <c r="E44" s="46">
        <v>46010</v>
      </c>
      <c r="F44">
        <v>15354828</v>
      </c>
      <c r="G44" t="s">
        <v>136</v>
      </c>
      <c r="H44" t="s">
        <v>3820</v>
      </c>
      <c r="J44">
        <v>16967084.940000001</v>
      </c>
      <c r="K44">
        <v>16967084.940000001</v>
      </c>
      <c r="N44" t="s">
        <v>71</v>
      </c>
      <c r="O44">
        <v>12669</v>
      </c>
      <c r="P44">
        <v>1212</v>
      </c>
      <c r="Q44" t="s">
        <v>82</v>
      </c>
      <c r="S44" t="s">
        <v>3821</v>
      </c>
      <c r="T44" t="s">
        <v>71</v>
      </c>
    </row>
    <row r="45" spans="2:20" x14ac:dyDescent="0.3">
      <c r="B45" t="s">
        <v>311</v>
      </c>
      <c r="C45" t="s">
        <v>316</v>
      </c>
      <c r="D45" s="46">
        <v>45993</v>
      </c>
      <c r="E45" s="46">
        <v>46002</v>
      </c>
      <c r="F45">
        <v>3765280</v>
      </c>
      <c r="G45" t="s">
        <v>3359</v>
      </c>
      <c r="H45" t="s">
        <v>3822</v>
      </c>
      <c r="J45">
        <v>4160634.4</v>
      </c>
      <c r="K45">
        <v>4160634.4</v>
      </c>
      <c r="N45" t="s">
        <v>71</v>
      </c>
      <c r="O45">
        <v>1864</v>
      </c>
      <c r="P45">
        <v>2020</v>
      </c>
      <c r="Q45" t="s">
        <v>82</v>
      </c>
      <c r="S45" t="s">
        <v>3823</v>
      </c>
      <c r="T45" t="s">
        <v>71</v>
      </c>
    </row>
    <row r="46" spans="2:20" x14ac:dyDescent="0.3">
      <c r="B46" t="s">
        <v>311</v>
      </c>
      <c r="C46" t="s">
        <v>316</v>
      </c>
      <c r="D46" s="46">
        <v>45992</v>
      </c>
      <c r="E46" s="46">
        <v>46010</v>
      </c>
      <c r="F46">
        <v>10271700</v>
      </c>
      <c r="G46" t="s">
        <v>136</v>
      </c>
      <c r="H46" t="s">
        <v>3824</v>
      </c>
      <c r="J46">
        <v>11350228.5</v>
      </c>
      <c r="K46">
        <v>11350228.5</v>
      </c>
      <c r="N46" t="s">
        <v>71</v>
      </c>
      <c r="O46">
        <v>8475</v>
      </c>
      <c r="P46">
        <v>1212</v>
      </c>
      <c r="Q46" t="s">
        <v>82</v>
      </c>
      <c r="S46" t="s">
        <v>3825</v>
      </c>
      <c r="T46" t="s">
        <v>71</v>
      </c>
    </row>
    <row r="47" spans="2:20" x14ac:dyDescent="0.3">
      <c r="B47" t="s">
        <v>311</v>
      </c>
      <c r="C47" t="s">
        <v>316</v>
      </c>
      <c r="D47" s="46">
        <v>45992</v>
      </c>
      <c r="E47" s="46">
        <v>46003</v>
      </c>
      <c r="F47">
        <v>11947896</v>
      </c>
      <c r="G47" t="s">
        <v>136</v>
      </c>
      <c r="H47" t="s">
        <v>3826</v>
      </c>
      <c r="J47">
        <v>13202425.08</v>
      </c>
      <c r="K47">
        <v>13202425.08</v>
      </c>
      <c r="N47" t="s">
        <v>71</v>
      </c>
      <c r="O47">
        <v>9858</v>
      </c>
      <c r="P47">
        <v>1212</v>
      </c>
      <c r="Q47" t="s">
        <v>82</v>
      </c>
      <c r="S47" t="s">
        <v>3827</v>
      </c>
      <c r="T47" t="s">
        <v>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174B-EF31-49D5-99D1-5EAD894F418B}">
  <dimension ref="A1:G5"/>
  <sheetViews>
    <sheetView zoomScale="150" zoomScaleNormal="150" workbookViewId="0">
      <selection activeCell="F3" sqref="F3"/>
    </sheetView>
  </sheetViews>
  <sheetFormatPr defaultColWidth="8.88671875" defaultRowHeight="14.4" x14ac:dyDescent="0.3"/>
  <cols>
    <col min="1" max="1" width="24.33203125" customWidth="1"/>
    <col min="2" max="3" width="15.88671875" style="74" customWidth="1"/>
    <col min="4" max="4" width="15" style="75" customWidth="1"/>
    <col min="5" max="6" width="14.5546875" customWidth="1"/>
    <col min="7" max="7" width="10.44140625" bestFit="1" customWidth="1"/>
  </cols>
  <sheetData>
    <row r="1" spans="1:7" x14ac:dyDescent="0.3">
      <c r="A1" t="s">
        <v>3828</v>
      </c>
      <c r="B1" s="74" t="s">
        <v>3838</v>
      </c>
      <c r="C1" s="74" t="s">
        <v>3839</v>
      </c>
      <c r="D1" s="75" t="s">
        <v>3830</v>
      </c>
      <c r="E1" t="s">
        <v>3840</v>
      </c>
      <c r="F1" t="s">
        <v>3829</v>
      </c>
    </row>
    <row r="2" spans="1:7" x14ac:dyDescent="0.3">
      <c r="A2" t="s">
        <v>3836</v>
      </c>
      <c r="B2" s="74">
        <v>1280</v>
      </c>
      <c r="C2" s="74">
        <v>114.36</v>
      </c>
      <c r="D2" s="75">
        <v>2427.63</v>
      </c>
      <c r="E2" s="14">
        <v>2592.9499999999998</v>
      </c>
      <c r="F2" s="14">
        <f>B2*C2*E2</f>
        <v>379558095.35999995</v>
      </c>
      <c r="G2" s="83"/>
    </row>
    <row r="3" spans="1:7" x14ac:dyDescent="0.3">
      <c r="A3" t="s">
        <v>3837</v>
      </c>
      <c r="B3" s="74">
        <v>11</v>
      </c>
      <c r="C3" s="74">
        <v>263.39999999999998</v>
      </c>
      <c r="D3" s="75">
        <v>1510.79</v>
      </c>
      <c r="E3" s="14">
        <v>1620.15</v>
      </c>
      <c r="F3" s="14">
        <f>B3*C3*E3</f>
        <v>4694222.6099999994</v>
      </c>
    </row>
    <row r="4" spans="1:7" x14ac:dyDescent="0.3">
      <c r="E4" s="14"/>
      <c r="F4" s="14"/>
    </row>
    <row r="5" spans="1:7" x14ac:dyDescent="0.3">
      <c r="E5" s="14"/>
      <c r="F5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FB54-5907-42D7-9AF5-52B29CD959A7}">
  <dimension ref="A1:B12"/>
  <sheetViews>
    <sheetView workbookViewId="0">
      <selection activeCell="F15" sqref="F15"/>
    </sheetView>
  </sheetViews>
  <sheetFormatPr defaultColWidth="8.88671875" defaultRowHeight="14.4" x14ac:dyDescent="0.3"/>
  <cols>
    <col min="1" max="1" width="18.6640625" bestFit="1" customWidth="1"/>
    <col min="2" max="2" width="5" bestFit="1" customWidth="1"/>
  </cols>
  <sheetData>
    <row r="1" spans="1:2" x14ac:dyDescent="0.3">
      <c r="A1" t="s">
        <v>13</v>
      </c>
      <c r="B1" t="s">
        <v>3600</v>
      </c>
    </row>
    <row r="2" spans="1:2" x14ac:dyDescent="0.3">
      <c r="A2" t="s">
        <v>3716</v>
      </c>
      <c r="B2">
        <v>1</v>
      </c>
    </row>
    <row r="3" spans="1:2" x14ac:dyDescent="0.3">
      <c r="A3" t="s">
        <v>3717</v>
      </c>
      <c r="B3">
        <v>2</v>
      </c>
    </row>
    <row r="4" spans="1:2" x14ac:dyDescent="0.3">
      <c r="A4" t="s">
        <v>3718</v>
      </c>
      <c r="B4">
        <v>3</v>
      </c>
    </row>
    <row r="5" spans="1:2" x14ac:dyDescent="0.3">
      <c r="A5" t="s">
        <v>3719</v>
      </c>
      <c r="B5">
        <v>4</v>
      </c>
    </row>
    <row r="6" spans="1:2" x14ac:dyDescent="0.3">
      <c r="A6" t="s">
        <v>3720</v>
      </c>
      <c r="B6">
        <v>5</v>
      </c>
    </row>
    <row r="7" spans="1:2" x14ac:dyDescent="0.3">
      <c r="A7" t="s">
        <v>3721</v>
      </c>
      <c r="B7">
        <v>11</v>
      </c>
    </row>
    <row r="8" spans="1:2" x14ac:dyDescent="0.3">
      <c r="A8" t="s">
        <v>3841</v>
      </c>
      <c r="B8">
        <v>6</v>
      </c>
    </row>
    <row r="9" spans="1:2" x14ac:dyDescent="0.3">
      <c r="A9" t="s">
        <v>3722</v>
      </c>
      <c r="B9">
        <v>7</v>
      </c>
    </row>
    <row r="10" spans="1:2" x14ac:dyDescent="0.3">
      <c r="A10" t="s">
        <v>3715</v>
      </c>
      <c r="B10">
        <v>8</v>
      </c>
    </row>
    <row r="11" spans="1:2" x14ac:dyDescent="0.3">
      <c r="A11" t="s">
        <v>3723</v>
      </c>
      <c r="B11">
        <v>9</v>
      </c>
    </row>
    <row r="12" spans="1:2" x14ac:dyDescent="0.3">
      <c r="A12" t="s">
        <v>3724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9929-5163-4558-B35A-A8F9D386027E}">
  <dimension ref="A1:M5"/>
  <sheetViews>
    <sheetView workbookViewId="0">
      <selection sqref="A1:M4"/>
    </sheetView>
  </sheetViews>
  <sheetFormatPr defaultColWidth="8.88671875" defaultRowHeight="14.4" x14ac:dyDescent="0.3"/>
  <cols>
    <col min="1" max="1" width="24.109375" bestFit="1" customWidth="1"/>
    <col min="2" max="2" width="41.44140625" bestFit="1" customWidth="1"/>
    <col min="3" max="3" width="9.88671875" bestFit="1" customWidth="1"/>
    <col min="4" max="4" width="15.44140625" bestFit="1" customWidth="1"/>
    <col min="5" max="5" width="27.44140625" bestFit="1" customWidth="1"/>
    <col min="6" max="6" width="25.88671875" bestFit="1" customWidth="1"/>
    <col min="7" max="7" width="30.44140625" bestFit="1" customWidth="1"/>
    <col min="8" max="8" width="33.6640625" bestFit="1" customWidth="1"/>
    <col min="9" max="9" width="25.77734375" bestFit="1" customWidth="1"/>
    <col min="10" max="10" width="11.21875" bestFit="1" customWidth="1"/>
    <col min="11" max="12" width="15.88671875" bestFit="1" customWidth="1"/>
    <col min="13" max="13" width="15" bestFit="1" customWidth="1"/>
  </cols>
  <sheetData>
    <row r="1" spans="1:13" x14ac:dyDescent="0.3">
      <c r="A1" t="s">
        <v>295</v>
      </c>
      <c r="B1" t="s">
        <v>298</v>
      </c>
      <c r="C1" t="s">
        <v>299</v>
      </c>
      <c r="D1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13" x14ac:dyDescent="0.3">
      <c r="A2" s="46">
        <v>46112</v>
      </c>
      <c r="B2" t="s">
        <v>81</v>
      </c>
      <c r="C2" t="s">
        <v>80</v>
      </c>
      <c r="D2">
        <v>-21985643.550000001</v>
      </c>
      <c r="E2" t="s">
        <v>171</v>
      </c>
      <c r="F2">
        <v>423330</v>
      </c>
      <c r="G2">
        <v>47</v>
      </c>
      <c r="H2" t="s">
        <v>3665</v>
      </c>
      <c r="I2" t="s">
        <v>72</v>
      </c>
      <c r="J2" t="s">
        <v>11</v>
      </c>
      <c r="K2" t="s">
        <v>22</v>
      </c>
      <c r="L2" t="s">
        <v>20</v>
      </c>
    </row>
    <row r="3" spans="1:13" x14ac:dyDescent="0.3">
      <c r="A3" s="46">
        <v>46112</v>
      </c>
      <c r="B3" t="s">
        <v>84</v>
      </c>
      <c r="C3" t="s">
        <v>83</v>
      </c>
      <c r="D3">
        <v>-178616961.60000002</v>
      </c>
      <c r="E3" t="s">
        <v>3831</v>
      </c>
      <c r="F3">
        <v>432780</v>
      </c>
      <c r="G3">
        <v>412.72</v>
      </c>
      <c r="H3" t="s">
        <v>3665</v>
      </c>
      <c r="I3" t="s">
        <v>72</v>
      </c>
      <c r="J3" t="s">
        <v>11</v>
      </c>
      <c r="K3" t="s">
        <v>22</v>
      </c>
      <c r="L3" t="s">
        <v>20</v>
      </c>
    </row>
    <row r="4" spans="1:13" x14ac:dyDescent="0.3">
      <c r="A4" s="46">
        <v>46112</v>
      </c>
      <c r="B4" t="s">
        <v>81</v>
      </c>
      <c r="C4" t="s">
        <v>170</v>
      </c>
      <c r="D4">
        <v>-454608</v>
      </c>
      <c r="E4" t="s">
        <v>172</v>
      </c>
      <c r="F4">
        <v>15785</v>
      </c>
      <c r="G4">
        <v>28.8</v>
      </c>
      <c r="H4" t="s">
        <v>3665</v>
      </c>
      <c r="I4" t="s">
        <v>72</v>
      </c>
      <c r="J4" t="s">
        <v>11</v>
      </c>
      <c r="K4" t="s">
        <v>11</v>
      </c>
      <c r="L4" t="s">
        <v>22</v>
      </c>
    </row>
    <row r="5" spans="1:13" x14ac:dyDescent="0.3">
      <c r="A5" s="46">
        <v>46112</v>
      </c>
      <c r="B5" t="s">
        <v>23</v>
      </c>
      <c r="C5" t="s">
        <v>73</v>
      </c>
      <c r="D5">
        <v>49609364</v>
      </c>
      <c r="E5" t="s">
        <v>123</v>
      </c>
      <c r="F5">
        <v>23</v>
      </c>
      <c r="G5">
        <v>-2156928.8695652173</v>
      </c>
      <c r="H5" t="s">
        <v>3666</v>
      </c>
      <c r="I5" t="s">
        <v>74</v>
      </c>
      <c r="J5" t="s">
        <v>11</v>
      </c>
      <c r="K5" t="s">
        <v>11</v>
      </c>
      <c r="L5" t="s">
        <v>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A19C-9F9C-4771-BE34-FD0E02EA7B9A}">
  <dimension ref="A1:U106"/>
  <sheetViews>
    <sheetView workbookViewId="0">
      <selection activeCell="B19" sqref="B19"/>
    </sheetView>
  </sheetViews>
  <sheetFormatPr defaultColWidth="8.88671875" defaultRowHeight="14.4" x14ac:dyDescent="0.3"/>
  <cols>
    <col min="1" max="1" width="24.109375" bestFit="1" customWidth="1"/>
    <col min="2" max="2" width="57.6640625" bestFit="1" customWidth="1"/>
    <col min="3" max="3" width="19.21875" bestFit="1" customWidth="1"/>
    <col min="4" max="4" width="16.77734375" style="73" bestFit="1" customWidth="1"/>
    <col min="5" max="5" width="80.88671875" bestFit="1" customWidth="1"/>
    <col min="6" max="6" width="25.88671875" bestFit="1" customWidth="1"/>
    <col min="7" max="7" width="30.44140625" bestFit="1" customWidth="1"/>
    <col min="8" max="8" width="33.6640625" bestFit="1" customWidth="1"/>
    <col min="9" max="9" width="25.77734375" bestFit="1" customWidth="1"/>
    <col min="10" max="10" width="11.21875" bestFit="1" customWidth="1"/>
    <col min="11" max="12" width="15.88671875" bestFit="1" customWidth="1"/>
    <col min="13" max="13" width="15" bestFit="1" customWidth="1"/>
  </cols>
  <sheetData>
    <row r="1" spans="1:21" x14ac:dyDescent="0.3">
      <c r="A1" t="s">
        <v>295</v>
      </c>
      <c r="B1" t="s">
        <v>298</v>
      </c>
      <c r="C1" t="s">
        <v>299</v>
      </c>
      <c r="D1" s="73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21" x14ac:dyDescent="0.3">
      <c r="A2" s="46">
        <v>46112</v>
      </c>
      <c r="B2" t="s">
        <v>76</v>
      </c>
      <c r="C2" t="s">
        <v>3842</v>
      </c>
      <c r="D2" s="73">
        <v>-21642.720000000001</v>
      </c>
      <c r="E2" t="s">
        <v>3663</v>
      </c>
      <c r="F2">
        <v>1</v>
      </c>
      <c r="G2">
        <v>21642.720000000001</v>
      </c>
      <c r="H2" t="s">
        <v>34</v>
      </c>
      <c r="I2" t="s">
        <v>3663</v>
      </c>
      <c r="J2" t="s">
        <v>11</v>
      </c>
      <c r="K2" t="s">
        <v>36</v>
      </c>
      <c r="L2" t="s">
        <v>20</v>
      </c>
    </row>
    <row r="3" spans="1:21" x14ac:dyDescent="0.3">
      <c r="A3" s="46">
        <v>46112</v>
      </c>
      <c r="B3" t="s">
        <v>3843</v>
      </c>
      <c r="C3" t="s">
        <v>3844</v>
      </c>
      <c r="D3" s="73">
        <v>-51343.54</v>
      </c>
      <c r="E3" t="s">
        <v>227</v>
      </c>
      <c r="F3">
        <v>1</v>
      </c>
      <c r="G3">
        <v>51343.54</v>
      </c>
      <c r="H3" t="s">
        <v>34</v>
      </c>
      <c r="I3" t="s">
        <v>227</v>
      </c>
      <c r="J3" t="s">
        <v>11</v>
      </c>
      <c r="K3" t="s">
        <v>22</v>
      </c>
      <c r="L3" t="s">
        <v>21</v>
      </c>
    </row>
    <row r="4" spans="1:21" x14ac:dyDescent="0.3">
      <c r="A4" s="46">
        <v>46112</v>
      </c>
      <c r="B4" t="s">
        <v>175</v>
      </c>
      <c r="C4" t="s">
        <v>3845</v>
      </c>
      <c r="D4" s="73">
        <v>-225600</v>
      </c>
      <c r="E4" t="s">
        <v>51</v>
      </c>
      <c r="F4">
        <v>47</v>
      </c>
      <c r="G4">
        <v>4800</v>
      </c>
      <c r="H4" t="s">
        <v>34</v>
      </c>
      <c r="I4" t="s">
        <v>51</v>
      </c>
      <c r="J4" t="s">
        <v>11</v>
      </c>
      <c r="K4" t="s">
        <v>22</v>
      </c>
      <c r="L4" t="s">
        <v>21</v>
      </c>
    </row>
    <row r="5" spans="1:21" x14ac:dyDescent="0.3">
      <c r="A5" s="46">
        <v>46112</v>
      </c>
      <c r="B5" t="s">
        <v>59</v>
      </c>
      <c r="C5" t="s">
        <v>3846</v>
      </c>
      <c r="D5" s="73">
        <v>-127060.24</v>
      </c>
      <c r="E5" t="s">
        <v>3847</v>
      </c>
      <c r="F5">
        <v>1</v>
      </c>
      <c r="G5">
        <v>105008.46</v>
      </c>
      <c r="H5" t="s">
        <v>34</v>
      </c>
      <c r="I5" t="s">
        <v>55</v>
      </c>
      <c r="J5" t="s">
        <v>11</v>
      </c>
      <c r="K5" t="s">
        <v>22</v>
      </c>
      <c r="L5" t="s">
        <v>20</v>
      </c>
    </row>
    <row r="6" spans="1:21" x14ac:dyDescent="0.3">
      <c r="A6" s="46">
        <v>46112</v>
      </c>
      <c r="B6" t="s">
        <v>49</v>
      </c>
      <c r="C6" t="s">
        <v>3848</v>
      </c>
      <c r="D6" s="73">
        <v>-913335.72</v>
      </c>
      <c r="E6" t="s">
        <v>3849</v>
      </c>
      <c r="F6">
        <v>62</v>
      </c>
      <c r="G6">
        <v>10264.94</v>
      </c>
      <c r="H6" t="s">
        <v>34</v>
      </c>
      <c r="I6" t="s">
        <v>50</v>
      </c>
      <c r="J6" t="s">
        <v>11</v>
      </c>
      <c r="K6" t="s">
        <v>22</v>
      </c>
      <c r="L6" t="s">
        <v>20</v>
      </c>
      <c r="U6" s="72" t="s">
        <v>50</v>
      </c>
    </row>
    <row r="7" spans="1:21" x14ac:dyDescent="0.3">
      <c r="A7" s="46">
        <v>46112</v>
      </c>
      <c r="B7" t="s">
        <v>49</v>
      </c>
      <c r="C7" t="s">
        <v>3850</v>
      </c>
      <c r="D7" s="73">
        <v>-279170.81</v>
      </c>
      <c r="E7" t="s">
        <v>3851</v>
      </c>
      <c r="F7">
        <v>3</v>
      </c>
      <c r="G7">
        <v>76906.559999999998</v>
      </c>
      <c r="H7" t="s">
        <v>34</v>
      </c>
      <c r="I7" t="s">
        <v>50</v>
      </c>
      <c r="J7" t="s">
        <v>11</v>
      </c>
      <c r="K7" t="s">
        <v>22</v>
      </c>
      <c r="L7" t="s">
        <v>20</v>
      </c>
    </row>
    <row r="8" spans="1:21" x14ac:dyDescent="0.3">
      <c r="A8" s="46">
        <v>46112</v>
      </c>
      <c r="B8" t="s">
        <v>52</v>
      </c>
      <c r="C8" t="s">
        <v>3852</v>
      </c>
      <c r="D8" s="73">
        <v>-293208.43</v>
      </c>
      <c r="E8" t="s">
        <v>3853</v>
      </c>
      <c r="F8">
        <v>1</v>
      </c>
      <c r="G8">
        <v>242321.01999</v>
      </c>
      <c r="H8" t="s">
        <v>34</v>
      </c>
      <c r="I8" t="s">
        <v>57</v>
      </c>
      <c r="J8" t="s">
        <v>11</v>
      </c>
      <c r="K8" t="s">
        <v>22</v>
      </c>
      <c r="L8" t="s">
        <v>21</v>
      </c>
    </row>
    <row r="9" spans="1:21" x14ac:dyDescent="0.3">
      <c r="A9" s="46">
        <v>46111</v>
      </c>
      <c r="B9" t="s">
        <v>75</v>
      </c>
      <c r="C9" t="s">
        <v>3854</v>
      </c>
      <c r="D9" s="73">
        <v>-265043.43</v>
      </c>
      <c r="E9" t="s">
        <v>3855</v>
      </c>
      <c r="F9">
        <v>96</v>
      </c>
      <c r="G9">
        <v>2281.71</v>
      </c>
      <c r="H9" t="s">
        <v>34</v>
      </c>
      <c r="I9" t="s">
        <v>50</v>
      </c>
      <c r="J9" t="s">
        <v>11</v>
      </c>
      <c r="K9" t="s">
        <v>22</v>
      </c>
      <c r="L9" t="s">
        <v>20</v>
      </c>
    </row>
    <row r="10" spans="1:21" x14ac:dyDescent="0.3">
      <c r="A10" s="46">
        <v>46111</v>
      </c>
      <c r="B10" t="s">
        <v>49</v>
      </c>
      <c r="C10" t="s">
        <v>3856</v>
      </c>
      <c r="D10" s="73">
        <v>-513577.89</v>
      </c>
      <c r="E10" t="s">
        <v>3849</v>
      </c>
      <c r="F10">
        <v>30</v>
      </c>
      <c r="G10">
        <v>10264.94</v>
      </c>
      <c r="H10" t="s">
        <v>34</v>
      </c>
      <c r="I10" t="s">
        <v>50</v>
      </c>
      <c r="J10" t="s">
        <v>11</v>
      </c>
      <c r="K10" t="s">
        <v>22</v>
      </c>
      <c r="L10" t="s">
        <v>20</v>
      </c>
    </row>
    <row r="11" spans="1:21" x14ac:dyDescent="0.3">
      <c r="A11" s="46">
        <v>46111</v>
      </c>
      <c r="B11" t="s">
        <v>800</v>
      </c>
      <c r="C11" t="s">
        <v>3857</v>
      </c>
      <c r="D11" s="73">
        <v>-303732.45</v>
      </c>
      <c r="E11" t="s">
        <v>3858</v>
      </c>
      <c r="F11">
        <v>20</v>
      </c>
      <c r="G11">
        <v>1520.5178880000001</v>
      </c>
      <c r="H11" t="s">
        <v>34</v>
      </c>
      <c r="I11" t="s">
        <v>57</v>
      </c>
      <c r="J11" t="s">
        <v>11</v>
      </c>
      <c r="K11" t="s">
        <v>22</v>
      </c>
      <c r="L11" t="s">
        <v>21</v>
      </c>
    </row>
    <row r="12" spans="1:21" x14ac:dyDescent="0.3">
      <c r="A12" s="46">
        <v>46109</v>
      </c>
      <c r="B12" t="s">
        <v>58</v>
      </c>
      <c r="C12" t="s">
        <v>3859</v>
      </c>
      <c r="D12" s="73">
        <v>-839050</v>
      </c>
      <c r="E12" t="s">
        <v>3860</v>
      </c>
      <c r="F12">
        <v>1</v>
      </c>
      <c r="G12">
        <v>839050</v>
      </c>
      <c r="H12" t="s">
        <v>34</v>
      </c>
      <c r="I12" t="s">
        <v>55</v>
      </c>
      <c r="J12" t="s">
        <v>11</v>
      </c>
      <c r="K12" t="s">
        <v>22</v>
      </c>
      <c r="L12" t="s">
        <v>20</v>
      </c>
    </row>
    <row r="13" spans="1:21" x14ac:dyDescent="0.3">
      <c r="A13" s="46">
        <v>46108</v>
      </c>
      <c r="B13" t="s">
        <v>76</v>
      </c>
      <c r="C13" t="s">
        <v>3861</v>
      </c>
      <c r="D13" s="73">
        <v>-22857.09</v>
      </c>
      <c r="E13" t="s">
        <v>3663</v>
      </c>
      <c r="F13">
        <v>1</v>
      </c>
      <c r="G13">
        <v>22857.09</v>
      </c>
      <c r="H13" t="s">
        <v>34</v>
      </c>
      <c r="I13" t="s">
        <v>3663</v>
      </c>
      <c r="J13" t="s">
        <v>11</v>
      </c>
      <c r="K13" t="s">
        <v>36</v>
      </c>
      <c r="L13" t="s">
        <v>20</v>
      </c>
    </row>
    <row r="14" spans="1:21" x14ac:dyDescent="0.3">
      <c r="A14" s="46">
        <v>46108</v>
      </c>
      <c r="B14" t="s">
        <v>3834</v>
      </c>
      <c r="C14" t="s">
        <v>3862</v>
      </c>
      <c r="D14" s="73">
        <v>-522382.82</v>
      </c>
      <c r="E14" t="s">
        <v>3863</v>
      </c>
      <c r="F14">
        <v>1</v>
      </c>
      <c r="G14">
        <v>522382.82</v>
      </c>
      <c r="H14" t="s">
        <v>34</v>
      </c>
      <c r="I14" t="s">
        <v>51</v>
      </c>
      <c r="J14" t="s">
        <v>11</v>
      </c>
      <c r="K14" t="s">
        <v>22</v>
      </c>
      <c r="L14" t="s">
        <v>21</v>
      </c>
    </row>
    <row r="15" spans="1:21" x14ac:dyDescent="0.3">
      <c r="A15" s="46">
        <v>46108</v>
      </c>
      <c r="B15" t="s">
        <v>3833</v>
      </c>
      <c r="C15" t="s">
        <v>3864</v>
      </c>
      <c r="D15" s="73">
        <v>-4772839.34</v>
      </c>
      <c r="E15" t="s">
        <v>3865</v>
      </c>
      <c r="F15">
        <v>1</v>
      </c>
      <c r="G15">
        <v>4772839.34</v>
      </c>
      <c r="H15" t="s">
        <v>34</v>
      </c>
      <c r="I15" t="s">
        <v>3663</v>
      </c>
      <c r="J15" t="s">
        <v>11</v>
      </c>
      <c r="K15" t="s">
        <v>22</v>
      </c>
      <c r="L15" t="s">
        <v>21</v>
      </c>
    </row>
    <row r="16" spans="1:21" x14ac:dyDescent="0.3">
      <c r="A16" s="46">
        <v>46108</v>
      </c>
      <c r="B16" t="s">
        <v>1750</v>
      </c>
      <c r="C16" t="s">
        <v>3866</v>
      </c>
      <c r="D16" s="73">
        <v>-520000</v>
      </c>
      <c r="E16" t="s">
        <v>3867</v>
      </c>
      <c r="F16">
        <v>1</v>
      </c>
      <c r="G16">
        <v>520000</v>
      </c>
      <c r="H16" t="s">
        <v>34</v>
      </c>
      <c r="I16" t="s">
        <v>57</v>
      </c>
      <c r="J16" t="s">
        <v>11</v>
      </c>
      <c r="K16" t="s">
        <v>22</v>
      </c>
      <c r="L16" t="s">
        <v>20</v>
      </c>
    </row>
    <row r="17" spans="1:12" x14ac:dyDescent="0.3">
      <c r="A17" s="46">
        <v>46108</v>
      </c>
      <c r="B17" t="s">
        <v>1311</v>
      </c>
      <c r="C17" t="s">
        <v>3868</v>
      </c>
      <c r="D17" s="73">
        <v>-104544</v>
      </c>
      <c r="E17" t="s">
        <v>51</v>
      </c>
      <c r="F17">
        <v>20</v>
      </c>
      <c r="G17">
        <v>4320</v>
      </c>
      <c r="H17" t="s">
        <v>34</v>
      </c>
      <c r="I17" t="s">
        <v>51</v>
      </c>
      <c r="J17" t="s">
        <v>11</v>
      </c>
      <c r="K17" t="s">
        <v>22</v>
      </c>
      <c r="L17" t="s">
        <v>20</v>
      </c>
    </row>
    <row r="18" spans="1:12" x14ac:dyDescent="0.3">
      <c r="A18" s="46">
        <v>46107</v>
      </c>
      <c r="B18" t="s">
        <v>76</v>
      </c>
      <c r="C18" t="s">
        <v>3869</v>
      </c>
      <c r="D18" s="73">
        <v>-10785.37</v>
      </c>
      <c r="E18" t="s">
        <v>3663</v>
      </c>
      <c r="F18">
        <v>1</v>
      </c>
      <c r="G18">
        <v>10785.37</v>
      </c>
      <c r="H18" t="s">
        <v>34</v>
      </c>
      <c r="I18" t="s">
        <v>3663</v>
      </c>
      <c r="J18" t="s">
        <v>11</v>
      </c>
      <c r="K18" t="s">
        <v>36</v>
      </c>
      <c r="L18" t="s">
        <v>20</v>
      </c>
    </row>
    <row r="19" spans="1:12" x14ac:dyDescent="0.3">
      <c r="A19" s="46">
        <v>46107</v>
      </c>
      <c r="B19" t="s">
        <v>58</v>
      </c>
      <c r="C19" t="s">
        <v>3870</v>
      </c>
      <c r="D19" s="73">
        <v>-31264.73</v>
      </c>
      <c r="E19" t="s">
        <v>3871</v>
      </c>
      <c r="F19">
        <v>7</v>
      </c>
      <c r="G19">
        <v>3670</v>
      </c>
      <c r="H19" t="s">
        <v>34</v>
      </c>
      <c r="I19" t="s">
        <v>55</v>
      </c>
      <c r="J19" t="s">
        <v>11</v>
      </c>
      <c r="K19" t="s">
        <v>22</v>
      </c>
      <c r="L19" t="s">
        <v>20</v>
      </c>
    </row>
    <row r="20" spans="1:12" x14ac:dyDescent="0.3">
      <c r="A20" s="46">
        <v>46107</v>
      </c>
      <c r="B20" t="s">
        <v>26</v>
      </c>
      <c r="C20" t="s">
        <v>3872</v>
      </c>
      <c r="D20" s="73">
        <v>-8005.19</v>
      </c>
      <c r="E20" t="s">
        <v>3873</v>
      </c>
      <c r="F20">
        <v>2.2400000000000002</v>
      </c>
      <c r="G20">
        <v>2953.51</v>
      </c>
      <c r="H20" t="s">
        <v>34</v>
      </c>
      <c r="I20" t="s">
        <v>57</v>
      </c>
      <c r="J20" t="s">
        <v>11</v>
      </c>
      <c r="K20" t="s">
        <v>22</v>
      </c>
      <c r="L20" t="s">
        <v>21</v>
      </c>
    </row>
    <row r="21" spans="1:12" x14ac:dyDescent="0.3">
      <c r="A21" s="46">
        <v>46107</v>
      </c>
      <c r="B21" t="s">
        <v>900</v>
      </c>
      <c r="C21" t="s">
        <v>3874</v>
      </c>
      <c r="D21" s="73">
        <v>-952000</v>
      </c>
      <c r="E21" t="s">
        <v>3875</v>
      </c>
      <c r="F21">
        <v>1</v>
      </c>
      <c r="G21">
        <v>786776.86</v>
      </c>
      <c r="H21" t="s">
        <v>34</v>
      </c>
      <c r="I21" t="s">
        <v>51</v>
      </c>
      <c r="J21" t="s">
        <v>11</v>
      </c>
      <c r="K21" t="s">
        <v>22</v>
      </c>
      <c r="L21" t="s">
        <v>20</v>
      </c>
    </row>
    <row r="22" spans="1:12" x14ac:dyDescent="0.3">
      <c r="A22" s="46">
        <v>46106</v>
      </c>
      <c r="B22" t="s">
        <v>76</v>
      </c>
      <c r="C22" t="s">
        <v>3876</v>
      </c>
      <c r="D22" s="73">
        <v>-20006.099999999999</v>
      </c>
      <c r="E22" t="s">
        <v>3663</v>
      </c>
      <c r="F22">
        <v>1</v>
      </c>
      <c r="G22">
        <v>20006.099999999999</v>
      </c>
      <c r="H22" t="s">
        <v>34</v>
      </c>
      <c r="I22" t="s">
        <v>3663</v>
      </c>
      <c r="J22" t="s">
        <v>11</v>
      </c>
      <c r="K22" t="s">
        <v>36</v>
      </c>
      <c r="L22" t="s">
        <v>20</v>
      </c>
    </row>
    <row r="23" spans="1:12" x14ac:dyDescent="0.3">
      <c r="A23" s="46">
        <v>46106</v>
      </c>
      <c r="B23" t="s">
        <v>824</v>
      </c>
      <c r="C23" t="s">
        <v>3877</v>
      </c>
      <c r="D23" s="73">
        <v>-77157.17</v>
      </c>
      <c r="E23" t="s">
        <v>3878</v>
      </c>
      <c r="F23">
        <v>45</v>
      </c>
      <c r="G23">
        <v>1541.91</v>
      </c>
      <c r="H23" t="s">
        <v>34</v>
      </c>
      <c r="I23" t="s">
        <v>57</v>
      </c>
      <c r="J23" t="s">
        <v>11</v>
      </c>
      <c r="K23" t="s">
        <v>22</v>
      </c>
      <c r="L23" t="s">
        <v>21</v>
      </c>
    </row>
    <row r="24" spans="1:12" x14ac:dyDescent="0.3">
      <c r="A24" s="46">
        <v>46106</v>
      </c>
      <c r="B24" t="s">
        <v>824</v>
      </c>
      <c r="C24" t="s">
        <v>3879</v>
      </c>
      <c r="D24" s="73">
        <v>-795949.4</v>
      </c>
      <c r="E24" t="s">
        <v>3880</v>
      </c>
      <c r="F24">
        <v>10</v>
      </c>
      <c r="G24">
        <v>1175.44</v>
      </c>
      <c r="H24" t="s">
        <v>34</v>
      </c>
      <c r="I24" t="s">
        <v>57</v>
      </c>
      <c r="J24" t="s">
        <v>11</v>
      </c>
      <c r="K24" t="s">
        <v>22</v>
      </c>
      <c r="L24" t="s">
        <v>21</v>
      </c>
    </row>
    <row r="25" spans="1:12" x14ac:dyDescent="0.3">
      <c r="A25" s="46">
        <v>46106</v>
      </c>
      <c r="B25" t="s">
        <v>824</v>
      </c>
      <c r="C25" t="s">
        <v>3881</v>
      </c>
      <c r="D25" s="73">
        <v>-561209.01</v>
      </c>
      <c r="E25" t="s">
        <v>3882</v>
      </c>
      <c r="F25">
        <v>1</v>
      </c>
      <c r="G25">
        <v>461141.34</v>
      </c>
      <c r="H25" t="s">
        <v>34</v>
      </c>
      <c r="I25" t="s">
        <v>57</v>
      </c>
      <c r="J25" t="s">
        <v>11</v>
      </c>
      <c r="K25" t="s">
        <v>22</v>
      </c>
      <c r="L25" t="s">
        <v>21</v>
      </c>
    </row>
    <row r="26" spans="1:12" x14ac:dyDescent="0.3">
      <c r="A26" s="46">
        <v>46106</v>
      </c>
      <c r="B26" t="s">
        <v>2302</v>
      </c>
      <c r="C26" t="s">
        <v>3883</v>
      </c>
      <c r="D26" s="73">
        <v>-5800</v>
      </c>
      <c r="E26" t="s">
        <v>3884</v>
      </c>
      <c r="F26">
        <v>1</v>
      </c>
      <c r="G26">
        <v>4793.3900000000003</v>
      </c>
      <c r="H26" t="s">
        <v>34</v>
      </c>
      <c r="I26" t="s">
        <v>57</v>
      </c>
      <c r="J26" t="s">
        <v>11</v>
      </c>
      <c r="K26" t="s">
        <v>22</v>
      </c>
      <c r="L26" t="s">
        <v>21</v>
      </c>
    </row>
    <row r="27" spans="1:12" x14ac:dyDescent="0.3">
      <c r="A27" s="46">
        <v>46105</v>
      </c>
      <c r="B27" t="s">
        <v>900</v>
      </c>
      <c r="C27" t="s">
        <v>3885</v>
      </c>
      <c r="D27" s="73">
        <v>-1462000</v>
      </c>
      <c r="E27" t="s">
        <v>3875</v>
      </c>
      <c r="F27">
        <v>1</v>
      </c>
      <c r="G27">
        <v>1208264.46</v>
      </c>
      <c r="H27" t="s">
        <v>34</v>
      </c>
      <c r="I27" t="s">
        <v>51</v>
      </c>
      <c r="J27" t="s">
        <v>11</v>
      </c>
      <c r="K27" t="s">
        <v>22</v>
      </c>
      <c r="L27" t="s">
        <v>20</v>
      </c>
    </row>
    <row r="28" spans="1:12" x14ac:dyDescent="0.3">
      <c r="A28" s="46">
        <v>46105</v>
      </c>
      <c r="B28" t="s">
        <v>900</v>
      </c>
      <c r="C28" t="s">
        <v>3886</v>
      </c>
      <c r="D28" s="73">
        <v>-1462000</v>
      </c>
      <c r="E28" t="s">
        <v>3875</v>
      </c>
      <c r="F28">
        <v>1</v>
      </c>
      <c r="G28">
        <v>1208264.46</v>
      </c>
      <c r="H28" t="s">
        <v>34</v>
      </c>
      <c r="I28" t="s">
        <v>51</v>
      </c>
      <c r="J28" t="s">
        <v>11</v>
      </c>
      <c r="K28" t="s">
        <v>22</v>
      </c>
      <c r="L28" t="s">
        <v>20</v>
      </c>
    </row>
    <row r="29" spans="1:12" x14ac:dyDescent="0.3">
      <c r="A29" s="46">
        <v>46104</v>
      </c>
      <c r="B29" t="s">
        <v>58</v>
      </c>
      <c r="C29" t="s">
        <v>3887</v>
      </c>
      <c r="D29" s="73">
        <v>-4849392.41</v>
      </c>
      <c r="E29" t="s">
        <v>3888</v>
      </c>
      <c r="F29">
        <v>20</v>
      </c>
      <c r="G29">
        <v>183017.71</v>
      </c>
      <c r="H29" t="s">
        <v>34</v>
      </c>
      <c r="I29" t="s">
        <v>55</v>
      </c>
      <c r="J29" t="s">
        <v>11</v>
      </c>
      <c r="K29" t="s">
        <v>22</v>
      </c>
      <c r="L29" t="s">
        <v>20</v>
      </c>
    </row>
    <row r="30" spans="1:12" x14ac:dyDescent="0.3">
      <c r="A30" s="46">
        <v>46102</v>
      </c>
      <c r="B30" t="s">
        <v>52</v>
      </c>
      <c r="C30" t="s">
        <v>3889</v>
      </c>
      <c r="D30" s="73">
        <v>-18894.38</v>
      </c>
      <c r="E30" t="s">
        <v>3890</v>
      </c>
      <c r="F30">
        <v>1</v>
      </c>
      <c r="G30">
        <v>15615.19</v>
      </c>
      <c r="H30" t="s">
        <v>34</v>
      </c>
      <c r="I30" t="s">
        <v>57</v>
      </c>
      <c r="J30" t="s">
        <v>11</v>
      </c>
      <c r="K30" t="s">
        <v>22</v>
      </c>
      <c r="L30" t="s">
        <v>21</v>
      </c>
    </row>
    <row r="31" spans="1:12" x14ac:dyDescent="0.3">
      <c r="A31" s="46">
        <v>46101</v>
      </c>
      <c r="B31" t="s">
        <v>59</v>
      </c>
      <c r="C31" t="s">
        <v>3891</v>
      </c>
      <c r="D31" s="73">
        <v>-606706.28</v>
      </c>
      <c r="E31" t="s">
        <v>3892</v>
      </c>
      <c r="F31">
        <v>6</v>
      </c>
      <c r="G31">
        <v>51035.28</v>
      </c>
      <c r="H31" t="s">
        <v>34</v>
      </c>
      <c r="I31" t="s">
        <v>55</v>
      </c>
      <c r="J31" t="s">
        <v>11</v>
      </c>
      <c r="K31" t="s">
        <v>22</v>
      </c>
      <c r="L31" t="s">
        <v>20</v>
      </c>
    </row>
    <row r="32" spans="1:12" x14ac:dyDescent="0.3">
      <c r="A32" s="46">
        <v>46101</v>
      </c>
      <c r="B32" t="s">
        <v>3893</v>
      </c>
      <c r="C32" t="s">
        <v>3894</v>
      </c>
      <c r="D32" s="73">
        <v>-269011.94</v>
      </c>
      <c r="E32" t="s">
        <v>3895</v>
      </c>
      <c r="F32">
        <v>1</v>
      </c>
      <c r="G32">
        <v>222323.92</v>
      </c>
      <c r="H32" t="s">
        <v>34</v>
      </c>
      <c r="I32" t="s">
        <v>51</v>
      </c>
      <c r="J32" t="s">
        <v>11</v>
      </c>
      <c r="K32" t="s">
        <v>22</v>
      </c>
      <c r="L32" t="s">
        <v>21</v>
      </c>
    </row>
    <row r="33" spans="1:12" x14ac:dyDescent="0.3">
      <c r="A33" s="46">
        <v>46101</v>
      </c>
      <c r="B33" t="s">
        <v>900</v>
      </c>
      <c r="C33" t="s">
        <v>3896</v>
      </c>
      <c r="D33" s="73">
        <v>-952000</v>
      </c>
      <c r="E33" t="s">
        <v>3875</v>
      </c>
      <c r="F33">
        <v>1</v>
      </c>
      <c r="G33">
        <v>786776.86</v>
      </c>
      <c r="H33" t="s">
        <v>34</v>
      </c>
      <c r="I33" t="s">
        <v>51</v>
      </c>
      <c r="J33" t="s">
        <v>11</v>
      </c>
      <c r="K33" t="s">
        <v>22</v>
      </c>
      <c r="L33" t="s">
        <v>20</v>
      </c>
    </row>
    <row r="34" spans="1:12" x14ac:dyDescent="0.3">
      <c r="A34" s="46">
        <v>46100</v>
      </c>
      <c r="B34" t="s">
        <v>3897</v>
      </c>
      <c r="C34" t="s">
        <v>3898</v>
      </c>
      <c r="D34" s="73">
        <v>-633000</v>
      </c>
      <c r="E34" t="s">
        <v>3899</v>
      </c>
      <c r="F34">
        <v>1</v>
      </c>
      <c r="G34">
        <v>633000</v>
      </c>
      <c r="H34" t="s">
        <v>34</v>
      </c>
      <c r="I34" t="s">
        <v>51</v>
      </c>
      <c r="J34" t="s">
        <v>11</v>
      </c>
      <c r="K34" t="s">
        <v>22</v>
      </c>
      <c r="L34" t="s">
        <v>21</v>
      </c>
    </row>
    <row r="35" spans="1:12" x14ac:dyDescent="0.3">
      <c r="A35" s="46">
        <v>46100</v>
      </c>
      <c r="B35" t="s">
        <v>49</v>
      </c>
      <c r="C35" t="s">
        <v>3900</v>
      </c>
      <c r="D35" s="73">
        <v>-280785.84999999998</v>
      </c>
      <c r="E35" t="s">
        <v>3851</v>
      </c>
      <c r="F35">
        <v>3</v>
      </c>
      <c r="G35">
        <v>77351.474600000001</v>
      </c>
      <c r="H35" t="s">
        <v>34</v>
      </c>
      <c r="I35" t="s">
        <v>50</v>
      </c>
      <c r="J35" t="s">
        <v>11</v>
      </c>
      <c r="K35" t="s">
        <v>22</v>
      </c>
      <c r="L35" t="s">
        <v>20</v>
      </c>
    </row>
    <row r="36" spans="1:12" x14ac:dyDescent="0.3">
      <c r="A36" s="46">
        <v>46100</v>
      </c>
      <c r="B36" t="s">
        <v>49</v>
      </c>
      <c r="C36" t="s">
        <v>3901</v>
      </c>
      <c r="D36" s="73">
        <v>-1163184.3600000001</v>
      </c>
      <c r="E36" t="s">
        <v>3849</v>
      </c>
      <c r="F36">
        <v>82</v>
      </c>
      <c r="G36">
        <v>10264.94</v>
      </c>
      <c r="H36" t="s">
        <v>34</v>
      </c>
      <c r="I36" t="s">
        <v>50</v>
      </c>
      <c r="J36" t="s">
        <v>11</v>
      </c>
      <c r="K36" t="s">
        <v>22</v>
      </c>
      <c r="L36" t="s">
        <v>20</v>
      </c>
    </row>
    <row r="37" spans="1:12" x14ac:dyDescent="0.3">
      <c r="A37" s="46">
        <v>46099</v>
      </c>
      <c r="B37" t="s">
        <v>76</v>
      </c>
      <c r="C37" t="s">
        <v>3902</v>
      </c>
      <c r="D37" s="73">
        <v>-13515.21</v>
      </c>
      <c r="E37" t="s">
        <v>3663</v>
      </c>
      <c r="F37">
        <v>1</v>
      </c>
      <c r="G37">
        <v>13515.21</v>
      </c>
      <c r="H37" t="s">
        <v>34</v>
      </c>
      <c r="I37" t="s">
        <v>3663</v>
      </c>
      <c r="J37" t="s">
        <v>11</v>
      </c>
      <c r="K37" t="s">
        <v>36</v>
      </c>
      <c r="L37" t="s">
        <v>20</v>
      </c>
    </row>
    <row r="38" spans="1:12" x14ac:dyDescent="0.3">
      <c r="A38" s="46">
        <v>46099</v>
      </c>
      <c r="B38" t="s">
        <v>54</v>
      </c>
      <c r="C38" t="s">
        <v>3903</v>
      </c>
      <c r="D38" s="73">
        <v>-342889.64</v>
      </c>
      <c r="E38" t="s">
        <v>3904</v>
      </c>
      <c r="F38">
        <v>1</v>
      </c>
      <c r="G38">
        <v>25093.838</v>
      </c>
      <c r="H38" t="s">
        <v>34</v>
      </c>
      <c r="I38" t="s">
        <v>55</v>
      </c>
      <c r="J38" t="s">
        <v>11</v>
      </c>
      <c r="K38" t="s">
        <v>22</v>
      </c>
      <c r="L38" t="s">
        <v>20</v>
      </c>
    </row>
    <row r="39" spans="1:12" x14ac:dyDescent="0.3">
      <c r="A39" s="46">
        <v>46099</v>
      </c>
      <c r="B39" t="s">
        <v>58</v>
      </c>
      <c r="C39" t="s">
        <v>3905</v>
      </c>
      <c r="D39" s="73">
        <v>-564063.19999999995</v>
      </c>
      <c r="E39" t="s">
        <v>3906</v>
      </c>
      <c r="F39">
        <v>5</v>
      </c>
      <c r="G39">
        <v>61491.3</v>
      </c>
      <c r="H39" t="s">
        <v>34</v>
      </c>
      <c r="I39" t="s">
        <v>55</v>
      </c>
      <c r="J39" t="s">
        <v>11</v>
      </c>
      <c r="K39" t="s">
        <v>22</v>
      </c>
      <c r="L39" t="s">
        <v>20</v>
      </c>
    </row>
    <row r="40" spans="1:12" x14ac:dyDescent="0.3">
      <c r="A40" s="46">
        <v>46099</v>
      </c>
      <c r="B40" t="s">
        <v>3893</v>
      </c>
      <c r="C40" t="s">
        <v>3907</v>
      </c>
      <c r="D40" s="73">
        <v>-80094.33</v>
      </c>
      <c r="E40" t="s">
        <v>51</v>
      </c>
      <c r="F40">
        <v>1</v>
      </c>
      <c r="G40">
        <v>66193.66</v>
      </c>
      <c r="H40" t="s">
        <v>34</v>
      </c>
      <c r="I40" t="s">
        <v>51</v>
      </c>
      <c r="J40" t="s">
        <v>11</v>
      </c>
      <c r="K40" t="s">
        <v>22</v>
      </c>
      <c r="L40" t="s">
        <v>21</v>
      </c>
    </row>
    <row r="41" spans="1:12" x14ac:dyDescent="0.3">
      <c r="A41" s="46">
        <v>46099</v>
      </c>
      <c r="B41" t="s">
        <v>3893</v>
      </c>
      <c r="C41" t="s">
        <v>3908</v>
      </c>
      <c r="D41" s="73">
        <v>-80094.33</v>
      </c>
      <c r="E41" t="s">
        <v>51</v>
      </c>
      <c r="F41">
        <v>1</v>
      </c>
      <c r="G41">
        <v>66193.66</v>
      </c>
      <c r="H41" t="s">
        <v>34</v>
      </c>
      <c r="I41" t="s">
        <v>51</v>
      </c>
      <c r="J41" t="s">
        <v>11</v>
      </c>
      <c r="K41" t="s">
        <v>22</v>
      </c>
      <c r="L41" t="s">
        <v>21</v>
      </c>
    </row>
    <row r="42" spans="1:12" x14ac:dyDescent="0.3">
      <c r="A42" s="46">
        <v>46098</v>
      </c>
      <c r="B42" t="s">
        <v>76</v>
      </c>
      <c r="C42" t="s">
        <v>3909</v>
      </c>
      <c r="D42" s="73">
        <v>-30791.47</v>
      </c>
      <c r="E42" t="s">
        <v>3663</v>
      </c>
      <c r="F42">
        <v>1</v>
      </c>
      <c r="G42">
        <v>30791.47</v>
      </c>
      <c r="H42" t="s">
        <v>34</v>
      </c>
      <c r="I42" t="s">
        <v>3663</v>
      </c>
      <c r="J42" t="s">
        <v>11</v>
      </c>
      <c r="K42" t="s">
        <v>36</v>
      </c>
      <c r="L42" t="s">
        <v>20</v>
      </c>
    </row>
    <row r="43" spans="1:12" x14ac:dyDescent="0.3">
      <c r="A43" s="46">
        <v>46098</v>
      </c>
      <c r="B43" t="s">
        <v>59</v>
      </c>
      <c r="C43" t="s">
        <v>3910</v>
      </c>
      <c r="D43" s="73">
        <v>-573094.5</v>
      </c>
      <c r="E43" t="s">
        <v>3911</v>
      </c>
      <c r="F43">
        <v>4</v>
      </c>
      <c r="G43">
        <v>3781.79</v>
      </c>
      <c r="H43" t="s">
        <v>34</v>
      </c>
      <c r="I43" t="s">
        <v>55</v>
      </c>
      <c r="J43" t="s">
        <v>11</v>
      </c>
      <c r="K43" t="s">
        <v>22</v>
      </c>
      <c r="L43" t="s">
        <v>20</v>
      </c>
    </row>
    <row r="44" spans="1:12" x14ac:dyDescent="0.3">
      <c r="A44" s="46">
        <v>46098</v>
      </c>
      <c r="B44" t="s">
        <v>59</v>
      </c>
      <c r="C44" t="s">
        <v>3912</v>
      </c>
      <c r="D44" s="73">
        <v>-303539.39</v>
      </c>
      <c r="E44" t="s">
        <v>3913</v>
      </c>
      <c r="F44">
        <v>3</v>
      </c>
      <c r="G44">
        <v>77767.66</v>
      </c>
      <c r="H44" t="s">
        <v>34</v>
      </c>
      <c r="I44" t="s">
        <v>55</v>
      </c>
      <c r="J44" t="s">
        <v>11</v>
      </c>
      <c r="K44" t="s">
        <v>22</v>
      </c>
      <c r="L44" t="s">
        <v>20</v>
      </c>
    </row>
    <row r="45" spans="1:12" x14ac:dyDescent="0.3">
      <c r="A45" s="46">
        <v>46098</v>
      </c>
      <c r="B45" t="s">
        <v>75</v>
      </c>
      <c r="C45" t="s">
        <v>3914</v>
      </c>
      <c r="D45" s="73">
        <v>-198501.18</v>
      </c>
      <c r="E45" t="s">
        <v>3915</v>
      </c>
      <c r="F45">
        <v>72</v>
      </c>
      <c r="G45">
        <v>2278.48</v>
      </c>
      <c r="H45" t="s">
        <v>34</v>
      </c>
      <c r="I45" t="s">
        <v>50</v>
      </c>
      <c r="J45" t="s">
        <v>11</v>
      </c>
      <c r="K45" t="s">
        <v>22</v>
      </c>
      <c r="L45" t="s">
        <v>20</v>
      </c>
    </row>
    <row r="46" spans="1:12" x14ac:dyDescent="0.3">
      <c r="A46" s="46">
        <v>46098</v>
      </c>
      <c r="B46" t="s">
        <v>900</v>
      </c>
      <c r="C46" t="s">
        <v>3916</v>
      </c>
      <c r="D46" s="73">
        <v>-1462000</v>
      </c>
      <c r="E46" t="s">
        <v>3875</v>
      </c>
      <c r="F46">
        <v>1</v>
      </c>
      <c r="G46">
        <v>1208264.46</v>
      </c>
      <c r="H46" t="s">
        <v>34</v>
      </c>
      <c r="I46" t="s">
        <v>51</v>
      </c>
      <c r="J46" t="s">
        <v>11</v>
      </c>
      <c r="K46" t="s">
        <v>22</v>
      </c>
      <c r="L46" t="s">
        <v>20</v>
      </c>
    </row>
    <row r="47" spans="1:12" x14ac:dyDescent="0.3">
      <c r="A47" s="46">
        <v>46097</v>
      </c>
      <c r="B47" t="s">
        <v>63</v>
      </c>
      <c r="C47" t="s">
        <v>3917</v>
      </c>
      <c r="D47" s="73">
        <v>-364000</v>
      </c>
      <c r="E47" t="s">
        <v>3918</v>
      </c>
      <c r="F47">
        <v>1</v>
      </c>
      <c r="G47">
        <v>364000</v>
      </c>
      <c r="H47" t="s">
        <v>34</v>
      </c>
      <c r="I47" t="s">
        <v>227</v>
      </c>
      <c r="J47" t="s">
        <v>11</v>
      </c>
      <c r="K47" t="s">
        <v>22</v>
      </c>
      <c r="L47" t="s">
        <v>20</v>
      </c>
    </row>
    <row r="48" spans="1:12" x14ac:dyDescent="0.3">
      <c r="A48" s="46">
        <v>46097</v>
      </c>
      <c r="B48" t="s">
        <v>58</v>
      </c>
      <c r="C48" t="s">
        <v>3919</v>
      </c>
      <c r="D48" s="73">
        <v>-3010390.43</v>
      </c>
      <c r="E48" t="s">
        <v>3920</v>
      </c>
      <c r="F48">
        <v>54</v>
      </c>
      <c r="G48">
        <v>45807.7</v>
      </c>
      <c r="H48" t="s">
        <v>34</v>
      </c>
      <c r="I48" t="s">
        <v>55</v>
      </c>
      <c r="J48" t="s">
        <v>11</v>
      </c>
      <c r="K48" t="s">
        <v>22</v>
      </c>
      <c r="L48" t="s">
        <v>20</v>
      </c>
    </row>
    <row r="49" spans="1:12" x14ac:dyDescent="0.3">
      <c r="A49" s="46">
        <v>46097</v>
      </c>
      <c r="B49" t="s">
        <v>75</v>
      </c>
      <c r="C49" t="s">
        <v>3921</v>
      </c>
      <c r="D49" s="73">
        <v>-448268.99</v>
      </c>
      <c r="E49" t="s">
        <v>3922</v>
      </c>
      <c r="F49">
        <v>168</v>
      </c>
      <c r="G49">
        <v>2205.1799999999998</v>
      </c>
      <c r="H49" t="s">
        <v>34</v>
      </c>
      <c r="I49" t="s">
        <v>50</v>
      </c>
      <c r="J49" t="s">
        <v>11</v>
      </c>
      <c r="K49" t="s">
        <v>22</v>
      </c>
      <c r="L49" t="s">
        <v>20</v>
      </c>
    </row>
    <row r="50" spans="1:12" x14ac:dyDescent="0.3">
      <c r="A50" s="46">
        <v>46097</v>
      </c>
      <c r="B50" t="s">
        <v>49</v>
      </c>
      <c r="C50" t="s">
        <v>3923</v>
      </c>
      <c r="D50" s="73">
        <v>-513577.89</v>
      </c>
      <c r="E50" t="s">
        <v>3849</v>
      </c>
      <c r="F50">
        <v>30</v>
      </c>
      <c r="G50">
        <v>10346.3179614</v>
      </c>
      <c r="H50" t="s">
        <v>34</v>
      </c>
      <c r="I50" t="s">
        <v>50</v>
      </c>
      <c r="J50" t="s">
        <v>11</v>
      </c>
      <c r="K50" t="s">
        <v>22</v>
      </c>
      <c r="L50" t="s">
        <v>20</v>
      </c>
    </row>
    <row r="51" spans="1:12" x14ac:dyDescent="0.3">
      <c r="A51" s="46">
        <v>46097</v>
      </c>
      <c r="B51" t="s">
        <v>3924</v>
      </c>
      <c r="C51" t="s">
        <v>3925</v>
      </c>
      <c r="D51" s="73">
        <v>-225721.37</v>
      </c>
      <c r="E51" t="s">
        <v>3926</v>
      </c>
      <c r="F51">
        <v>1</v>
      </c>
      <c r="G51">
        <v>225721.37</v>
      </c>
      <c r="H51" t="s">
        <v>34</v>
      </c>
      <c r="I51" t="s">
        <v>51</v>
      </c>
      <c r="J51" t="s">
        <v>113</v>
      </c>
      <c r="K51" t="s">
        <v>22</v>
      </c>
      <c r="L51" t="s">
        <v>21</v>
      </c>
    </row>
    <row r="52" spans="1:12" x14ac:dyDescent="0.3">
      <c r="A52" s="46">
        <v>46095</v>
      </c>
      <c r="B52" t="s">
        <v>58</v>
      </c>
      <c r="C52" t="s">
        <v>3927</v>
      </c>
      <c r="D52" s="73">
        <v>-551029.61</v>
      </c>
      <c r="E52" t="s">
        <v>3892</v>
      </c>
      <c r="F52">
        <v>10</v>
      </c>
      <c r="G52">
        <v>45277.7</v>
      </c>
      <c r="H52" t="s">
        <v>34</v>
      </c>
      <c r="I52" t="s">
        <v>55</v>
      </c>
      <c r="J52" t="s">
        <v>11</v>
      </c>
      <c r="K52" t="s">
        <v>22</v>
      </c>
      <c r="L52" t="s">
        <v>20</v>
      </c>
    </row>
    <row r="53" spans="1:12" x14ac:dyDescent="0.3">
      <c r="A53" s="46">
        <v>46094</v>
      </c>
      <c r="B53" t="s">
        <v>66</v>
      </c>
      <c r="C53" t="s">
        <v>3928</v>
      </c>
      <c r="D53" s="73">
        <v>-294097.61</v>
      </c>
      <c r="E53" t="s">
        <v>3929</v>
      </c>
      <c r="F53">
        <v>1</v>
      </c>
      <c r="G53">
        <v>294097.61</v>
      </c>
      <c r="H53" t="s">
        <v>34</v>
      </c>
      <c r="I53" t="s">
        <v>51</v>
      </c>
      <c r="J53" t="s">
        <v>11</v>
      </c>
      <c r="K53" t="s">
        <v>36</v>
      </c>
      <c r="L53" t="s">
        <v>21</v>
      </c>
    </row>
    <row r="54" spans="1:12" x14ac:dyDescent="0.3">
      <c r="A54" s="46">
        <v>46094</v>
      </c>
      <c r="B54" t="s">
        <v>54</v>
      </c>
      <c r="C54" t="s">
        <v>3930</v>
      </c>
      <c r="D54" s="73">
        <v>-3748727.69</v>
      </c>
      <c r="E54" t="s">
        <v>3931</v>
      </c>
      <c r="F54">
        <v>26</v>
      </c>
      <c r="G54">
        <v>65042.2</v>
      </c>
      <c r="H54" t="s">
        <v>34</v>
      </c>
      <c r="I54" t="s">
        <v>55</v>
      </c>
      <c r="J54" t="s">
        <v>11</v>
      </c>
      <c r="K54" t="s">
        <v>22</v>
      </c>
      <c r="L54" t="s">
        <v>20</v>
      </c>
    </row>
    <row r="55" spans="1:12" x14ac:dyDescent="0.3">
      <c r="A55" s="46">
        <v>46094</v>
      </c>
      <c r="B55" t="s">
        <v>49</v>
      </c>
      <c r="C55" t="s">
        <v>3932</v>
      </c>
      <c r="D55" s="73">
        <v>-2494688.11</v>
      </c>
      <c r="E55" t="s">
        <v>3933</v>
      </c>
      <c r="F55">
        <v>1110</v>
      </c>
      <c r="G55">
        <v>1846.73</v>
      </c>
      <c r="H55" t="s">
        <v>34</v>
      </c>
      <c r="I55" t="s">
        <v>50</v>
      </c>
      <c r="J55" t="s">
        <v>11</v>
      </c>
      <c r="K55" t="s">
        <v>22</v>
      </c>
      <c r="L55" t="s">
        <v>20</v>
      </c>
    </row>
    <row r="56" spans="1:12" x14ac:dyDescent="0.3">
      <c r="A56" s="46">
        <v>46094</v>
      </c>
      <c r="B56" t="s">
        <v>562</v>
      </c>
      <c r="C56" t="s">
        <v>3934</v>
      </c>
      <c r="D56" s="73">
        <v>-1171280</v>
      </c>
      <c r="E56" t="s">
        <v>3935</v>
      </c>
      <c r="F56">
        <v>4</v>
      </c>
      <c r="G56">
        <v>242000</v>
      </c>
      <c r="H56" t="s">
        <v>34</v>
      </c>
      <c r="I56" t="s">
        <v>51</v>
      </c>
      <c r="J56" t="s">
        <v>11</v>
      </c>
      <c r="K56" t="s">
        <v>22</v>
      </c>
      <c r="L56" t="s">
        <v>21</v>
      </c>
    </row>
    <row r="57" spans="1:12" x14ac:dyDescent="0.3">
      <c r="A57" s="46">
        <v>46094</v>
      </c>
      <c r="B57" t="s">
        <v>900</v>
      </c>
      <c r="C57" t="s">
        <v>3936</v>
      </c>
      <c r="D57" s="73">
        <v>-765000</v>
      </c>
      <c r="E57" t="s">
        <v>3875</v>
      </c>
      <c r="F57">
        <v>1</v>
      </c>
      <c r="G57">
        <v>632231.4</v>
      </c>
      <c r="H57" t="s">
        <v>34</v>
      </c>
      <c r="I57" t="s">
        <v>51</v>
      </c>
      <c r="J57" t="s">
        <v>11</v>
      </c>
      <c r="K57" t="s">
        <v>22</v>
      </c>
      <c r="L57" t="s">
        <v>20</v>
      </c>
    </row>
    <row r="58" spans="1:12" x14ac:dyDescent="0.3">
      <c r="A58" s="46">
        <v>46093</v>
      </c>
      <c r="B58" t="s">
        <v>76</v>
      </c>
      <c r="C58" t="s">
        <v>3937</v>
      </c>
      <c r="D58" s="73">
        <v>-11472.73</v>
      </c>
      <c r="E58" t="s">
        <v>3663</v>
      </c>
      <c r="F58">
        <v>1</v>
      </c>
      <c r="G58">
        <v>11472.73</v>
      </c>
      <c r="H58" t="s">
        <v>34</v>
      </c>
      <c r="I58" t="s">
        <v>3663</v>
      </c>
      <c r="J58" t="s">
        <v>11</v>
      </c>
      <c r="K58" t="s">
        <v>36</v>
      </c>
      <c r="L58" t="s">
        <v>20</v>
      </c>
    </row>
    <row r="59" spans="1:12" x14ac:dyDescent="0.3">
      <c r="A59" s="46">
        <v>46093</v>
      </c>
      <c r="B59" t="s">
        <v>76</v>
      </c>
      <c r="C59" t="s">
        <v>3938</v>
      </c>
      <c r="D59" s="73">
        <v>-11472.73</v>
      </c>
      <c r="E59" t="s">
        <v>3663</v>
      </c>
      <c r="F59">
        <v>1</v>
      </c>
      <c r="G59">
        <v>11472.73</v>
      </c>
      <c r="H59" t="s">
        <v>34</v>
      </c>
      <c r="I59" t="s">
        <v>3663</v>
      </c>
      <c r="J59" t="s">
        <v>11</v>
      </c>
      <c r="K59" t="s">
        <v>36</v>
      </c>
      <c r="L59" t="s">
        <v>20</v>
      </c>
    </row>
    <row r="60" spans="1:12" x14ac:dyDescent="0.3">
      <c r="A60" s="46">
        <v>46093</v>
      </c>
      <c r="B60" t="s">
        <v>3939</v>
      </c>
      <c r="C60" t="s">
        <v>3940</v>
      </c>
      <c r="D60" s="73">
        <v>-500000</v>
      </c>
      <c r="E60" t="s">
        <v>3941</v>
      </c>
      <c r="F60">
        <v>1</v>
      </c>
      <c r="G60">
        <v>500000</v>
      </c>
      <c r="H60" t="s">
        <v>34</v>
      </c>
      <c r="I60" t="s">
        <v>51</v>
      </c>
      <c r="J60" t="s">
        <v>11</v>
      </c>
      <c r="K60" t="s">
        <v>22</v>
      </c>
      <c r="L60" t="s">
        <v>21</v>
      </c>
    </row>
    <row r="61" spans="1:12" x14ac:dyDescent="0.3">
      <c r="A61" s="46">
        <v>46093</v>
      </c>
      <c r="B61" t="s">
        <v>60</v>
      </c>
      <c r="C61" t="s">
        <v>3942</v>
      </c>
      <c r="D61" s="73">
        <v>-2129600</v>
      </c>
      <c r="E61" t="s">
        <v>3943</v>
      </c>
      <c r="F61">
        <v>4</v>
      </c>
      <c r="G61">
        <v>440000</v>
      </c>
      <c r="H61" t="s">
        <v>34</v>
      </c>
      <c r="I61" t="s">
        <v>61</v>
      </c>
      <c r="J61" t="s">
        <v>11</v>
      </c>
      <c r="K61" t="s">
        <v>22</v>
      </c>
      <c r="L61" t="s">
        <v>21</v>
      </c>
    </row>
    <row r="62" spans="1:12" x14ac:dyDescent="0.3">
      <c r="A62" s="46">
        <v>46093</v>
      </c>
      <c r="B62" t="s">
        <v>60</v>
      </c>
      <c r="C62" t="s">
        <v>3944</v>
      </c>
      <c r="D62" s="73">
        <v>-1331000</v>
      </c>
      <c r="E62" t="s">
        <v>3945</v>
      </c>
      <c r="F62">
        <v>2</v>
      </c>
      <c r="G62">
        <v>550000</v>
      </c>
      <c r="H62" t="s">
        <v>34</v>
      </c>
      <c r="I62" t="s">
        <v>61</v>
      </c>
      <c r="J62" t="s">
        <v>11</v>
      </c>
      <c r="K62" t="s">
        <v>22</v>
      </c>
      <c r="L62" t="s">
        <v>21</v>
      </c>
    </row>
    <row r="63" spans="1:12" x14ac:dyDescent="0.3">
      <c r="A63" s="46">
        <v>46093</v>
      </c>
      <c r="B63" t="s">
        <v>52</v>
      </c>
      <c r="C63" t="s">
        <v>3946</v>
      </c>
      <c r="D63" s="73">
        <v>-799184.24</v>
      </c>
      <c r="E63" t="s">
        <v>3947</v>
      </c>
      <c r="F63">
        <v>1</v>
      </c>
      <c r="G63">
        <v>660482.84</v>
      </c>
      <c r="H63" t="s">
        <v>34</v>
      </c>
      <c r="I63" t="s">
        <v>57</v>
      </c>
      <c r="J63" t="s">
        <v>11</v>
      </c>
      <c r="K63" t="s">
        <v>22</v>
      </c>
      <c r="L63" t="s">
        <v>21</v>
      </c>
    </row>
    <row r="64" spans="1:12" x14ac:dyDescent="0.3">
      <c r="A64" s="46">
        <v>46092</v>
      </c>
      <c r="B64" t="s">
        <v>3020</v>
      </c>
      <c r="C64" t="s">
        <v>3948</v>
      </c>
      <c r="D64" s="73">
        <v>-400000</v>
      </c>
      <c r="E64" t="s">
        <v>3949</v>
      </c>
      <c r="F64">
        <v>1</v>
      </c>
      <c r="G64">
        <v>400000</v>
      </c>
      <c r="H64" t="s">
        <v>34</v>
      </c>
      <c r="I64" t="s">
        <v>51</v>
      </c>
      <c r="J64" t="s">
        <v>11</v>
      </c>
      <c r="K64" t="s">
        <v>22</v>
      </c>
      <c r="L64" t="s">
        <v>21</v>
      </c>
    </row>
    <row r="65" spans="1:12" x14ac:dyDescent="0.3">
      <c r="A65" s="46">
        <v>46092</v>
      </c>
      <c r="B65" t="s">
        <v>3950</v>
      </c>
      <c r="C65" t="s">
        <v>3951</v>
      </c>
      <c r="D65" s="73">
        <v>-100000</v>
      </c>
      <c r="E65" t="s">
        <v>3952</v>
      </c>
      <c r="F65">
        <v>1</v>
      </c>
      <c r="G65">
        <v>100000</v>
      </c>
      <c r="H65" t="s">
        <v>34</v>
      </c>
      <c r="I65" t="s">
        <v>51</v>
      </c>
      <c r="J65" t="s">
        <v>11</v>
      </c>
      <c r="K65" t="s">
        <v>22</v>
      </c>
      <c r="L65" t="s">
        <v>21</v>
      </c>
    </row>
    <row r="66" spans="1:12" x14ac:dyDescent="0.3">
      <c r="A66" s="46">
        <v>46092</v>
      </c>
      <c r="B66" t="s">
        <v>54</v>
      </c>
      <c r="C66" t="s">
        <v>3953</v>
      </c>
      <c r="D66" s="73">
        <v>-2889639</v>
      </c>
      <c r="E66" t="s">
        <v>3954</v>
      </c>
      <c r="F66">
        <v>54</v>
      </c>
      <c r="G66">
        <v>43307.449999900004</v>
      </c>
      <c r="H66" t="s">
        <v>34</v>
      </c>
      <c r="I66" t="s">
        <v>55</v>
      </c>
      <c r="J66" t="s">
        <v>11</v>
      </c>
      <c r="K66" t="s">
        <v>22</v>
      </c>
      <c r="L66" t="s">
        <v>20</v>
      </c>
    </row>
    <row r="67" spans="1:12" x14ac:dyDescent="0.3">
      <c r="A67" s="46">
        <v>46092</v>
      </c>
      <c r="B67" t="s">
        <v>54</v>
      </c>
      <c r="C67" t="s">
        <v>3955</v>
      </c>
      <c r="D67" s="73">
        <v>-1814483.96</v>
      </c>
      <c r="E67" t="s">
        <v>3956</v>
      </c>
      <c r="F67">
        <v>14</v>
      </c>
      <c r="G67">
        <v>79129.3</v>
      </c>
      <c r="H67" t="s">
        <v>34</v>
      </c>
      <c r="I67" t="s">
        <v>55</v>
      </c>
      <c r="J67" t="s">
        <v>11</v>
      </c>
      <c r="K67" t="s">
        <v>22</v>
      </c>
      <c r="L67" t="s">
        <v>20</v>
      </c>
    </row>
    <row r="68" spans="1:12" x14ac:dyDescent="0.3">
      <c r="A68" s="46">
        <v>46092</v>
      </c>
      <c r="B68" t="s">
        <v>54</v>
      </c>
      <c r="C68" t="s">
        <v>3957</v>
      </c>
      <c r="D68" s="73">
        <v>-3042226.42</v>
      </c>
      <c r="E68" t="s">
        <v>3958</v>
      </c>
      <c r="F68">
        <v>44</v>
      </c>
      <c r="G68">
        <v>47926</v>
      </c>
      <c r="H68" t="s">
        <v>34</v>
      </c>
      <c r="I68" t="s">
        <v>55</v>
      </c>
      <c r="J68" t="s">
        <v>11</v>
      </c>
      <c r="K68" t="s">
        <v>22</v>
      </c>
      <c r="L68" t="s">
        <v>20</v>
      </c>
    </row>
    <row r="69" spans="1:12" x14ac:dyDescent="0.3">
      <c r="A69" s="46">
        <v>46091</v>
      </c>
      <c r="B69" t="s">
        <v>3959</v>
      </c>
      <c r="C69" t="s">
        <v>3960</v>
      </c>
      <c r="D69" s="73">
        <v>-610374.19999999995</v>
      </c>
      <c r="E69" t="s">
        <v>3961</v>
      </c>
      <c r="F69">
        <v>1</v>
      </c>
      <c r="G69">
        <v>610374.19999999995</v>
      </c>
      <c r="H69" t="s">
        <v>34</v>
      </c>
      <c r="I69" t="s">
        <v>3663</v>
      </c>
      <c r="J69" t="s">
        <v>11</v>
      </c>
      <c r="K69" t="s">
        <v>22</v>
      </c>
      <c r="L69" t="s">
        <v>21</v>
      </c>
    </row>
    <row r="70" spans="1:12" x14ac:dyDescent="0.3">
      <c r="A70" s="46">
        <v>46091</v>
      </c>
      <c r="B70" t="s">
        <v>211</v>
      </c>
      <c r="C70" t="s">
        <v>3962</v>
      </c>
      <c r="D70" s="73">
        <v>-390334.33</v>
      </c>
      <c r="E70" t="s">
        <v>3663</v>
      </c>
      <c r="F70">
        <v>1</v>
      </c>
      <c r="G70">
        <v>390334.33</v>
      </c>
      <c r="H70" t="s">
        <v>34</v>
      </c>
      <c r="I70" t="s">
        <v>3663</v>
      </c>
      <c r="J70" t="s">
        <v>11</v>
      </c>
      <c r="K70" t="s">
        <v>22</v>
      </c>
      <c r="L70" t="s">
        <v>21</v>
      </c>
    </row>
    <row r="71" spans="1:12" x14ac:dyDescent="0.3">
      <c r="A71" s="46">
        <v>46091</v>
      </c>
      <c r="B71" t="s">
        <v>76</v>
      </c>
      <c r="C71" t="s">
        <v>3963</v>
      </c>
      <c r="D71" s="73">
        <v>-31161.34</v>
      </c>
      <c r="E71" t="s">
        <v>3663</v>
      </c>
      <c r="F71">
        <v>1</v>
      </c>
      <c r="G71">
        <v>31161.34</v>
      </c>
      <c r="H71" t="s">
        <v>34</v>
      </c>
      <c r="I71" t="s">
        <v>3663</v>
      </c>
      <c r="J71" t="s">
        <v>11</v>
      </c>
      <c r="K71" t="s">
        <v>36</v>
      </c>
      <c r="L71" t="s">
        <v>20</v>
      </c>
    </row>
    <row r="72" spans="1:12" x14ac:dyDescent="0.3">
      <c r="A72" s="46">
        <v>46091</v>
      </c>
      <c r="B72" t="s">
        <v>824</v>
      </c>
      <c r="C72" t="s">
        <v>3964</v>
      </c>
      <c r="D72" s="73">
        <v>-83154.23</v>
      </c>
      <c r="E72" t="s">
        <v>3965</v>
      </c>
      <c r="F72">
        <v>30</v>
      </c>
      <c r="G72">
        <v>2290.75</v>
      </c>
      <c r="H72" t="s">
        <v>34</v>
      </c>
      <c r="I72" t="s">
        <v>57</v>
      </c>
      <c r="J72" t="s">
        <v>11</v>
      </c>
      <c r="K72" t="s">
        <v>22</v>
      </c>
      <c r="L72" t="s">
        <v>21</v>
      </c>
    </row>
    <row r="73" spans="1:12" x14ac:dyDescent="0.3">
      <c r="A73" s="46">
        <v>46091</v>
      </c>
      <c r="B73" t="s">
        <v>2691</v>
      </c>
      <c r="C73" t="s">
        <v>3966</v>
      </c>
      <c r="D73" s="73">
        <v>-324159</v>
      </c>
      <c r="E73" t="s">
        <v>3967</v>
      </c>
      <c r="F73">
        <v>2</v>
      </c>
      <c r="G73">
        <v>133950</v>
      </c>
      <c r="H73" t="s">
        <v>34</v>
      </c>
      <c r="I73" t="s">
        <v>57</v>
      </c>
      <c r="J73" t="s">
        <v>11</v>
      </c>
      <c r="K73" t="s">
        <v>22</v>
      </c>
      <c r="L73" t="s">
        <v>21</v>
      </c>
    </row>
    <row r="74" spans="1:12" x14ac:dyDescent="0.3">
      <c r="A74" s="46">
        <v>46091</v>
      </c>
      <c r="B74" t="s">
        <v>1438</v>
      </c>
      <c r="C74" t="s">
        <v>3968</v>
      </c>
      <c r="D74" s="73">
        <v>-286497.75</v>
      </c>
      <c r="E74" t="s">
        <v>3969</v>
      </c>
      <c r="F74">
        <v>1</v>
      </c>
      <c r="G74">
        <v>236775</v>
      </c>
      <c r="H74" t="s">
        <v>34</v>
      </c>
      <c r="I74" t="s">
        <v>51</v>
      </c>
      <c r="J74" t="s">
        <v>11</v>
      </c>
      <c r="K74" t="s">
        <v>22</v>
      </c>
      <c r="L74" t="s">
        <v>21</v>
      </c>
    </row>
    <row r="75" spans="1:12" x14ac:dyDescent="0.3">
      <c r="A75" s="46">
        <v>46091</v>
      </c>
      <c r="B75" t="s">
        <v>3970</v>
      </c>
      <c r="C75" t="s">
        <v>3971</v>
      </c>
      <c r="D75" s="73">
        <v>-408084.6</v>
      </c>
      <c r="E75" t="s">
        <v>3972</v>
      </c>
      <c r="F75">
        <v>55</v>
      </c>
      <c r="G75">
        <v>6132</v>
      </c>
      <c r="H75" t="s">
        <v>34</v>
      </c>
      <c r="I75" t="s">
        <v>57</v>
      </c>
      <c r="J75" t="s">
        <v>11</v>
      </c>
      <c r="K75" t="s">
        <v>22</v>
      </c>
      <c r="L75" t="s">
        <v>21</v>
      </c>
    </row>
    <row r="76" spans="1:12" x14ac:dyDescent="0.3">
      <c r="A76" s="46">
        <v>46091</v>
      </c>
      <c r="B76" t="s">
        <v>66</v>
      </c>
      <c r="C76" t="s">
        <v>3973</v>
      </c>
      <c r="D76" s="73">
        <v>-4673960</v>
      </c>
      <c r="E76" t="s">
        <v>3974</v>
      </c>
      <c r="F76">
        <v>2000</v>
      </c>
      <c r="G76">
        <v>2278.48</v>
      </c>
      <c r="H76" t="s">
        <v>34</v>
      </c>
      <c r="I76" t="s">
        <v>51</v>
      </c>
      <c r="J76" t="s">
        <v>11</v>
      </c>
      <c r="K76" t="s">
        <v>36</v>
      </c>
      <c r="L76" t="s">
        <v>21</v>
      </c>
    </row>
    <row r="77" spans="1:12" x14ac:dyDescent="0.3">
      <c r="A77" s="46">
        <v>46091</v>
      </c>
      <c r="B77" t="s">
        <v>900</v>
      </c>
      <c r="C77" t="s">
        <v>3975</v>
      </c>
      <c r="D77" s="73">
        <v>-51000.01</v>
      </c>
      <c r="E77" t="s">
        <v>3875</v>
      </c>
      <c r="F77">
        <v>3</v>
      </c>
      <c r="G77">
        <v>14049.59</v>
      </c>
      <c r="H77" t="s">
        <v>34</v>
      </c>
      <c r="I77" t="s">
        <v>51</v>
      </c>
      <c r="J77" t="s">
        <v>11</v>
      </c>
      <c r="K77" t="s">
        <v>22</v>
      </c>
      <c r="L77" t="s">
        <v>20</v>
      </c>
    </row>
    <row r="78" spans="1:12" x14ac:dyDescent="0.3">
      <c r="A78" s="46">
        <v>46091</v>
      </c>
      <c r="B78" t="s">
        <v>900</v>
      </c>
      <c r="C78" t="s">
        <v>3976</v>
      </c>
      <c r="D78" s="73">
        <v>-1564000</v>
      </c>
      <c r="E78" t="s">
        <v>3977</v>
      </c>
      <c r="F78">
        <v>1</v>
      </c>
      <c r="G78">
        <v>1292561.98</v>
      </c>
      <c r="H78" t="s">
        <v>34</v>
      </c>
      <c r="I78" t="s">
        <v>51</v>
      </c>
      <c r="J78" t="s">
        <v>11</v>
      </c>
      <c r="K78" t="s">
        <v>22</v>
      </c>
      <c r="L78" t="s">
        <v>20</v>
      </c>
    </row>
    <row r="79" spans="1:12" x14ac:dyDescent="0.3">
      <c r="A79" s="46">
        <v>46091</v>
      </c>
      <c r="B79" t="s">
        <v>800</v>
      </c>
      <c r="C79" t="s">
        <v>3978</v>
      </c>
      <c r="D79" s="73">
        <v>-57200.25</v>
      </c>
      <c r="E79" t="s">
        <v>3979</v>
      </c>
      <c r="F79">
        <v>1</v>
      </c>
      <c r="G79">
        <v>47272.93</v>
      </c>
      <c r="H79" t="s">
        <v>34</v>
      </c>
      <c r="I79" t="s">
        <v>57</v>
      </c>
      <c r="J79" t="s">
        <v>11</v>
      </c>
      <c r="K79" t="s">
        <v>22</v>
      </c>
      <c r="L79" t="s">
        <v>21</v>
      </c>
    </row>
    <row r="80" spans="1:12" x14ac:dyDescent="0.3">
      <c r="A80" s="46">
        <v>46091</v>
      </c>
      <c r="B80" t="s">
        <v>62</v>
      </c>
      <c r="C80" t="s">
        <v>3980</v>
      </c>
      <c r="D80" s="73">
        <v>-508200</v>
      </c>
      <c r="E80" t="s">
        <v>3981</v>
      </c>
      <c r="F80">
        <v>1</v>
      </c>
      <c r="G80">
        <v>420000</v>
      </c>
      <c r="H80" t="s">
        <v>34</v>
      </c>
      <c r="I80" t="s">
        <v>51</v>
      </c>
      <c r="J80" t="s">
        <v>11</v>
      </c>
      <c r="K80" t="s">
        <v>22</v>
      </c>
      <c r="L80" t="s">
        <v>21</v>
      </c>
    </row>
    <row r="81" spans="1:12" x14ac:dyDescent="0.3">
      <c r="A81" s="46">
        <v>46090</v>
      </c>
      <c r="B81" t="s">
        <v>103</v>
      </c>
      <c r="C81" t="s">
        <v>3982</v>
      </c>
      <c r="D81" s="73">
        <v>-12284041.65</v>
      </c>
      <c r="E81" t="s">
        <v>3621</v>
      </c>
      <c r="F81">
        <v>1</v>
      </c>
      <c r="G81">
        <v>8313807.3200000003</v>
      </c>
      <c r="H81" t="s">
        <v>34</v>
      </c>
      <c r="I81" t="s">
        <v>3621</v>
      </c>
      <c r="J81" t="s">
        <v>11</v>
      </c>
      <c r="K81" t="s">
        <v>22</v>
      </c>
      <c r="L81" t="s">
        <v>20</v>
      </c>
    </row>
    <row r="82" spans="1:12" x14ac:dyDescent="0.3">
      <c r="A82" s="46">
        <v>46090</v>
      </c>
      <c r="B82" t="s">
        <v>59</v>
      </c>
      <c r="C82" t="s">
        <v>3983</v>
      </c>
      <c r="D82" s="73">
        <v>-27589.59</v>
      </c>
      <c r="E82" t="s">
        <v>3984</v>
      </c>
      <c r="F82">
        <v>1</v>
      </c>
      <c r="G82">
        <v>22801.31</v>
      </c>
      <c r="H82" t="s">
        <v>34</v>
      </c>
      <c r="I82" t="s">
        <v>55</v>
      </c>
      <c r="J82" t="s">
        <v>11</v>
      </c>
      <c r="K82" t="s">
        <v>22</v>
      </c>
      <c r="L82" t="s">
        <v>20</v>
      </c>
    </row>
    <row r="83" spans="1:12" x14ac:dyDescent="0.3">
      <c r="A83" s="46">
        <v>46090</v>
      </c>
      <c r="B83" t="s">
        <v>49</v>
      </c>
      <c r="C83" t="s">
        <v>3985</v>
      </c>
      <c r="D83" s="73">
        <v>-364210.99</v>
      </c>
      <c r="E83" t="s">
        <v>3986</v>
      </c>
      <c r="F83">
        <v>30</v>
      </c>
      <c r="G83">
        <v>9975.65</v>
      </c>
      <c r="H83" t="s">
        <v>34</v>
      </c>
      <c r="I83" t="s">
        <v>50</v>
      </c>
      <c r="J83" t="s">
        <v>11</v>
      </c>
      <c r="K83" t="s">
        <v>22</v>
      </c>
      <c r="L83" t="s">
        <v>20</v>
      </c>
    </row>
    <row r="84" spans="1:12" x14ac:dyDescent="0.3">
      <c r="A84" s="46">
        <v>46090</v>
      </c>
      <c r="B84" t="s">
        <v>91</v>
      </c>
      <c r="C84" t="s">
        <v>3987</v>
      </c>
      <c r="D84" s="73">
        <v>-270870.59999999998</v>
      </c>
      <c r="E84" t="s">
        <v>3988</v>
      </c>
      <c r="F84">
        <v>20</v>
      </c>
      <c r="G84">
        <v>11193</v>
      </c>
      <c r="H84" t="s">
        <v>34</v>
      </c>
      <c r="I84" t="s">
        <v>57</v>
      </c>
      <c r="J84" t="s">
        <v>11</v>
      </c>
      <c r="K84" t="s">
        <v>22</v>
      </c>
      <c r="L84" t="s">
        <v>21</v>
      </c>
    </row>
    <row r="85" spans="1:12" x14ac:dyDescent="0.3">
      <c r="A85" s="46">
        <v>46087</v>
      </c>
      <c r="B85" t="s">
        <v>38</v>
      </c>
      <c r="C85" t="s">
        <v>3989</v>
      </c>
      <c r="D85" s="73">
        <v>-32702.55</v>
      </c>
      <c r="E85" t="s">
        <v>3990</v>
      </c>
      <c r="F85">
        <v>1</v>
      </c>
      <c r="G85">
        <v>27026.9</v>
      </c>
      <c r="H85" t="s">
        <v>34</v>
      </c>
      <c r="I85" t="s">
        <v>51</v>
      </c>
      <c r="J85" t="s">
        <v>11</v>
      </c>
      <c r="K85" t="s">
        <v>22</v>
      </c>
      <c r="L85" t="s">
        <v>21</v>
      </c>
    </row>
    <row r="86" spans="1:12" x14ac:dyDescent="0.3">
      <c r="A86" s="46">
        <v>46086</v>
      </c>
      <c r="B86" t="s">
        <v>49</v>
      </c>
      <c r="C86" t="s">
        <v>3991</v>
      </c>
      <c r="D86" s="73">
        <v>-272757.98</v>
      </c>
      <c r="E86" t="s">
        <v>3851</v>
      </c>
      <c r="F86">
        <v>3</v>
      </c>
      <c r="G86">
        <v>75139.94</v>
      </c>
      <c r="H86" t="s">
        <v>34</v>
      </c>
      <c r="I86" t="s">
        <v>50</v>
      </c>
      <c r="J86" t="s">
        <v>11</v>
      </c>
      <c r="K86" t="s">
        <v>22</v>
      </c>
      <c r="L86" t="s">
        <v>20</v>
      </c>
    </row>
    <row r="87" spans="1:12" x14ac:dyDescent="0.3">
      <c r="A87" s="46">
        <v>46086</v>
      </c>
      <c r="B87" t="s">
        <v>49</v>
      </c>
      <c r="C87" t="s">
        <v>3992</v>
      </c>
      <c r="D87" s="73">
        <v>-804702.47</v>
      </c>
      <c r="E87" t="s">
        <v>3993</v>
      </c>
      <c r="F87">
        <v>60</v>
      </c>
      <c r="G87">
        <v>9975.65</v>
      </c>
      <c r="H87" t="s">
        <v>34</v>
      </c>
      <c r="I87" t="s">
        <v>50</v>
      </c>
      <c r="J87" t="s">
        <v>11</v>
      </c>
      <c r="K87" t="s">
        <v>22</v>
      </c>
      <c r="L87" t="s">
        <v>20</v>
      </c>
    </row>
    <row r="88" spans="1:12" x14ac:dyDescent="0.3">
      <c r="A88" s="46">
        <v>46086</v>
      </c>
      <c r="B88" t="s">
        <v>26</v>
      </c>
      <c r="C88" t="s">
        <v>3994</v>
      </c>
      <c r="D88" s="73">
        <v>-20663.91</v>
      </c>
      <c r="E88" t="s">
        <v>3995</v>
      </c>
      <c r="F88">
        <v>6.74</v>
      </c>
      <c r="G88">
        <v>2533.77</v>
      </c>
      <c r="H88" t="s">
        <v>34</v>
      </c>
      <c r="I88" t="s">
        <v>57</v>
      </c>
      <c r="J88" t="s">
        <v>11</v>
      </c>
      <c r="K88" t="s">
        <v>22</v>
      </c>
      <c r="L88" t="s">
        <v>21</v>
      </c>
    </row>
    <row r="89" spans="1:12" x14ac:dyDescent="0.3">
      <c r="A89" s="46">
        <v>46086</v>
      </c>
      <c r="B89" t="s">
        <v>28</v>
      </c>
      <c r="C89" t="s">
        <v>3996</v>
      </c>
      <c r="D89" s="73">
        <v>-253660.31</v>
      </c>
      <c r="E89" t="s">
        <v>3997</v>
      </c>
      <c r="F89">
        <v>1</v>
      </c>
      <c r="G89">
        <v>209636.62</v>
      </c>
      <c r="H89" t="s">
        <v>34</v>
      </c>
      <c r="I89" t="s">
        <v>51</v>
      </c>
      <c r="J89" t="s">
        <v>11</v>
      </c>
      <c r="K89" t="s">
        <v>22</v>
      </c>
      <c r="L89" t="s">
        <v>21</v>
      </c>
    </row>
    <row r="90" spans="1:12" x14ac:dyDescent="0.3">
      <c r="A90" s="46">
        <v>46086</v>
      </c>
      <c r="B90" t="s">
        <v>900</v>
      </c>
      <c r="C90" t="s">
        <v>3998</v>
      </c>
      <c r="D90" s="73">
        <v>-765000</v>
      </c>
      <c r="E90" t="s">
        <v>3999</v>
      </c>
      <c r="F90">
        <v>45</v>
      </c>
      <c r="G90">
        <v>14049.586777</v>
      </c>
      <c r="H90" t="s">
        <v>34</v>
      </c>
      <c r="I90" t="s">
        <v>51</v>
      </c>
      <c r="J90" t="s">
        <v>11</v>
      </c>
      <c r="K90" t="s">
        <v>22</v>
      </c>
      <c r="L90" t="s">
        <v>20</v>
      </c>
    </row>
    <row r="91" spans="1:12" x14ac:dyDescent="0.3">
      <c r="A91" s="46">
        <v>46086</v>
      </c>
      <c r="B91" t="s">
        <v>900</v>
      </c>
      <c r="C91" t="s">
        <v>4000</v>
      </c>
      <c r="D91" s="73">
        <v>-1598000</v>
      </c>
      <c r="E91" t="s">
        <v>3875</v>
      </c>
      <c r="F91">
        <v>1</v>
      </c>
      <c r="G91">
        <v>1320661.1599999999</v>
      </c>
      <c r="H91" t="s">
        <v>34</v>
      </c>
      <c r="I91" t="s">
        <v>51</v>
      </c>
      <c r="J91" t="s">
        <v>11</v>
      </c>
      <c r="K91" t="s">
        <v>22</v>
      </c>
      <c r="L91" t="s">
        <v>20</v>
      </c>
    </row>
    <row r="92" spans="1:12" x14ac:dyDescent="0.3">
      <c r="A92" s="46">
        <v>46086</v>
      </c>
      <c r="B92" t="s">
        <v>800</v>
      </c>
      <c r="C92" t="s">
        <v>4001</v>
      </c>
      <c r="D92" s="73">
        <v>-460877.61</v>
      </c>
      <c r="E92" t="s">
        <v>4002</v>
      </c>
      <c r="F92">
        <v>8</v>
      </c>
      <c r="G92">
        <v>3212.07</v>
      </c>
      <c r="H92" t="s">
        <v>34</v>
      </c>
      <c r="I92" t="s">
        <v>57</v>
      </c>
      <c r="J92" t="s">
        <v>11</v>
      </c>
      <c r="K92" t="s">
        <v>22</v>
      </c>
      <c r="L92" t="s">
        <v>21</v>
      </c>
    </row>
    <row r="93" spans="1:12" x14ac:dyDescent="0.3">
      <c r="A93" s="46">
        <v>46085</v>
      </c>
      <c r="B93" t="s">
        <v>76</v>
      </c>
      <c r="C93" t="s">
        <v>4003</v>
      </c>
      <c r="D93" s="73">
        <v>-24827.59</v>
      </c>
      <c r="E93" t="s">
        <v>3663</v>
      </c>
      <c r="F93">
        <v>1</v>
      </c>
      <c r="G93">
        <v>24827.59</v>
      </c>
      <c r="H93" t="s">
        <v>34</v>
      </c>
      <c r="I93" t="s">
        <v>3663</v>
      </c>
      <c r="J93" t="s">
        <v>11</v>
      </c>
      <c r="K93" t="s">
        <v>36</v>
      </c>
      <c r="L93" t="s">
        <v>20</v>
      </c>
    </row>
    <row r="94" spans="1:12" x14ac:dyDescent="0.3">
      <c r="A94" s="46">
        <v>46084</v>
      </c>
      <c r="B94" t="s">
        <v>76</v>
      </c>
      <c r="C94" t="s">
        <v>4004</v>
      </c>
      <c r="D94" s="73">
        <v>-10785.37</v>
      </c>
      <c r="E94" t="s">
        <v>3663</v>
      </c>
      <c r="F94">
        <v>1</v>
      </c>
      <c r="G94">
        <v>10785.37</v>
      </c>
      <c r="H94" t="s">
        <v>34</v>
      </c>
      <c r="I94" t="s">
        <v>3663</v>
      </c>
      <c r="J94" t="s">
        <v>11</v>
      </c>
      <c r="K94" t="s">
        <v>36</v>
      </c>
      <c r="L94" t="s">
        <v>20</v>
      </c>
    </row>
    <row r="95" spans="1:12" x14ac:dyDescent="0.3">
      <c r="A95" s="46">
        <v>46085</v>
      </c>
      <c r="B95" t="s">
        <v>922</v>
      </c>
      <c r="C95" t="s">
        <v>4005</v>
      </c>
      <c r="D95" s="73">
        <v>-277000</v>
      </c>
      <c r="E95" t="s">
        <v>69</v>
      </c>
      <c r="F95">
        <v>1</v>
      </c>
      <c r="G95">
        <v>277000</v>
      </c>
      <c r="H95" t="s">
        <v>34</v>
      </c>
      <c r="I95" t="s">
        <v>227</v>
      </c>
      <c r="J95" t="s">
        <v>11</v>
      </c>
      <c r="K95" t="s">
        <v>22</v>
      </c>
      <c r="L95" t="s">
        <v>21</v>
      </c>
    </row>
    <row r="96" spans="1:12" x14ac:dyDescent="0.3">
      <c r="A96" s="46">
        <v>46085</v>
      </c>
      <c r="B96" t="s">
        <v>52</v>
      </c>
      <c r="C96" t="s">
        <v>4006</v>
      </c>
      <c r="D96" s="73">
        <v>-381962.3</v>
      </c>
      <c r="E96" t="s">
        <v>4007</v>
      </c>
      <c r="F96">
        <v>1</v>
      </c>
      <c r="G96">
        <v>315671.32</v>
      </c>
      <c r="H96" t="s">
        <v>34</v>
      </c>
      <c r="I96" t="s">
        <v>57</v>
      </c>
      <c r="J96" t="s">
        <v>11</v>
      </c>
      <c r="K96" t="s">
        <v>22</v>
      </c>
      <c r="L96" t="s">
        <v>21</v>
      </c>
    </row>
    <row r="97" spans="1:12" x14ac:dyDescent="0.3">
      <c r="A97" s="46">
        <v>46084</v>
      </c>
      <c r="B97" t="s">
        <v>47</v>
      </c>
      <c r="C97" t="s">
        <v>4008</v>
      </c>
      <c r="D97" s="73">
        <v>-62999</v>
      </c>
      <c r="E97" t="s">
        <v>4009</v>
      </c>
      <c r="F97">
        <v>1</v>
      </c>
      <c r="G97">
        <v>62999</v>
      </c>
      <c r="H97" t="s">
        <v>34</v>
      </c>
      <c r="I97" t="s">
        <v>51</v>
      </c>
      <c r="J97" t="s">
        <v>11</v>
      </c>
      <c r="K97" t="s">
        <v>36</v>
      </c>
      <c r="L97" t="s">
        <v>21</v>
      </c>
    </row>
    <row r="98" spans="1:12" x14ac:dyDescent="0.3">
      <c r="A98" s="46">
        <v>46084</v>
      </c>
      <c r="B98" t="s">
        <v>58</v>
      </c>
      <c r="C98" t="s">
        <v>4010</v>
      </c>
      <c r="D98" s="73">
        <v>-32407</v>
      </c>
      <c r="E98" t="s">
        <v>4011</v>
      </c>
      <c r="F98">
        <v>100</v>
      </c>
      <c r="G98">
        <v>267</v>
      </c>
      <c r="H98" t="s">
        <v>34</v>
      </c>
      <c r="I98" t="s">
        <v>55</v>
      </c>
      <c r="J98" t="s">
        <v>11</v>
      </c>
      <c r="K98" t="s">
        <v>22</v>
      </c>
      <c r="L98" t="s">
        <v>20</v>
      </c>
    </row>
    <row r="99" spans="1:12" x14ac:dyDescent="0.3">
      <c r="A99" s="46">
        <v>46084</v>
      </c>
      <c r="B99" t="s">
        <v>26</v>
      </c>
      <c r="C99" t="s">
        <v>4012</v>
      </c>
      <c r="D99" s="73">
        <v>-365733.51</v>
      </c>
      <c r="E99" t="s">
        <v>4013</v>
      </c>
      <c r="F99">
        <v>149.5</v>
      </c>
      <c r="G99">
        <v>2021.8</v>
      </c>
      <c r="H99" t="s">
        <v>34</v>
      </c>
      <c r="I99" t="s">
        <v>57</v>
      </c>
      <c r="J99" t="s">
        <v>11</v>
      </c>
      <c r="K99" t="s">
        <v>22</v>
      </c>
      <c r="L99" t="s">
        <v>21</v>
      </c>
    </row>
    <row r="100" spans="1:12" x14ac:dyDescent="0.3">
      <c r="A100" s="46">
        <v>46084</v>
      </c>
      <c r="B100" t="s">
        <v>65</v>
      </c>
      <c r="C100" t="s">
        <v>4014</v>
      </c>
      <c r="D100" s="73">
        <v>-128744</v>
      </c>
      <c r="E100" t="s">
        <v>4015</v>
      </c>
      <c r="F100">
        <v>1</v>
      </c>
      <c r="G100">
        <v>106400</v>
      </c>
      <c r="H100" t="s">
        <v>34</v>
      </c>
      <c r="I100" t="s">
        <v>51</v>
      </c>
      <c r="J100" t="s">
        <v>11</v>
      </c>
      <c r="K100" t="s">
        <v>36</v>
      </c>
      <c r="L100" t="s">
        <v>21</v>
      </c>
    </row>
    <row r="101" spans="1:12" x14ac:dyDescent="0.3">
      <c r="A101" s="46">
        <v>46084</v>
      </c>
      <c r="B101" t="s">
        <v>900</v>
      </c>
      <c r="C101" t="s">
        <v>4016</v>
      </c>
      <c r="D101" s="73">
        <v>-1615000</v>
      </c>
      <c r="E101" t="s">
        <v>3999</v>
      </c>
      <c r="F101">
        <v>95</v>
      </c>
      <c r="G101">
        <v>14049.59</v>
      </c>
      <c r="H101" t="s">
        <v>34</v>
      </c>
      <c r="I101" t="s">
        <v>51</v>
      </c>
      <c r="J101" t="s">
        <v>11</v>
      </c>
      <c r="K101" t="s">
        <v>22</v>
      </c>
      <c r="L101" t="s">
        <v>20</v>
      </c>
    </row>
    <row r="102" spans="1:12" x14ac:dyDescent="0.3">
      <c r="A102" s="46">
        <v>46084</v>
      </c>
      <c r="B102" t="s">
        <v>30</v>
      </c>
      <c r="C102" t="s">
        <v>4017</v>
      </c>
      <c r="D102" s="73">
        <v>-800415</v>
      </c>
      <c r="E102" t="s">
        <v>4018</v>
      </c>
      <c r="F102">
        <v>1</v>
      </c>
      <c r="G102">
        <v>661500</v>
      </c>
      <c r="H102" t="s">
        <v>34</v>
      </c>
      <c r="I102" t="s">
        <v>227</v>
      </c>
      <c r="J102" t="s">
        <v>11</v>
      </c>
      <c r="K102" t="s">
        <v>22</v>
      </c>
      <c r="L102" t="s">
        <v>21</v>
      </c>
    </row>
    <row r="103" spans="1:12" x14ac:dyDescent="0.3">
      <c r="A103" s="46">
        <v>46084</v>
      </c>
      <c r="B103" t="s">
        <v>68</v>
      </c>
      <c r="C103" t="s">
        <v>4019</v>
      </c>
      <c r="D103" s="73">
        <v>-800415</v>
      </c>
      <c r="E103" t="s">
        <v>69</v>
      </c>
      <c r="F103">
        <v>1</v>
      </c>
      <c r="G103">
        <v>661500</v>
      </c>
      <c r="H103" t="s">
        <v>34</v>
      </c>
      <c r="I103" t="s">
        <v>227</v>
      </c>
      <c r="J103" t="s">
        <v>11</v>
      </c>
      <c r="K103" t="s">
        <v>22</v>
      </c>
      <c r="L103" t="s">
        <v>21</v>
      </c>
    </row>
    <row r="104" spans="1:12" x14ac:dyDescent="0.3">
      <c r="A104" s="46">
        <v>46083</v>
      </c>
      <c r="B104" t="s">
        <v>76</v>
      </c>
      <c r="C104" t="s">
        <v>4020</v>
      </c>
      <c r="D104" s="73">
        <v>-26005.97</v>
      </c>
      <c r="E104" t="s">
        <v>3663</v>
      </c>
      <c r="F104">
        <v>1</v>
      </c>
      <c r="G104">
        <v>26005.97</v>
      </c>
      <c r="H104" t="s">
        <v>34</v>
      </c>
      <c r="I104" t="s">
        <v>3663</v>
      </c>
      <c r="J104" t="s">
        <v>11</v>
      </c>
      <c r="K104" t="s">
        <v>36</v>
      </c>
      <c r="L104" t="s">
        <v>20</v>
      </c>
    </row>
    <row r="105" spans="1:12" x14ac:dyDescent="0.3">
      <c r="A105" s="46">
        <v>46083</v>
      </c>
      <c r="B105" t="s">
        <v>60</v>
      </c>
      <c r="C105" t="s">
        <v>4021</v>
      </c>
      <c r="D105" s="73">
        <v>-3460600</v>
      </c>
      <c r="E105" t="s">
        <v>4022</v>
      </c>
      <c r="F105">
        <v>2</v>
      </c>
      <c r="G105">
        <v>550000</v>
      </c>
      <c r="H105" t="s">
        <v>34</v>
      </c>
      <c r="I105" t="s">
        <v>61</v>
      </c>
      <c r="J105" t="s">
        <v>11</v>
      </c>
      <c r="K105" t="s">
        <v>22</v>
      </c>
      <c r="L105" t="s">
        <v>21</v>
      </c>
    </row>
    <row r="106" spans="1:12" x14ac:dyDescent="0.3">
      <c r="A106" s="46">
        <v>46082</v>
      </c>
      <c r="B106" t="s">
        <v>70</v>
      </c>
      <c r="C106" t="s">
        <v>4023</v>
      </c>
      <c r="D106" s="73">
        <v>-337305.65</v>
      </c>
      <c r="E106" t="s">
        <v>51</v>
      </c>
      <c r="F106">
        <v>1</v>
      </c>
      <c r="G106">
        <v>278765</v>
      </c>
      <c r="H106" t="s">
        <v>34</v>
      </c>
      <c r="I106" t="s">
        <v>51</v>
      </c>
      <c r="J106" t="s">
        <v>11</v>
      </c>
      <c r="K106" t="s">
        <v>36</v>
      </c>
      <c r="L106" t="s">
        <v>21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topLeftCell="E1" zoomScale="91" zoomScaleNormal="91" workbookViewId="0">
      <pane ySplit="1" topLeftCell="A2" activePane="bottomLeft" state="frozen"/>
      <selection activeCell="J1" sqref="J1"/>
      <selection pane="bottomLeft" activeCell="Q9" sqref="Q9:Q13"/>
    </sheetView>
  </sheetViews>
  <sheetFormatPr defaultColWidth="13.88671875" defaultRowHeight="12" x14ac:dyDescent="0.25"/>
  <cols>
    <col min="1" max="1" width="11.5546875" style="13" bestFit="1" customWidth="1"/>
    <col min="2" max="2" width="24" style="13" customWidth="1"/>
    <col min="3" max="3" width="19.88671875" style="30" customWidth="1"/>
    <col min="4" max="4" width="17.33203125" style="13" customWidth="1"/>
    <col min="5" max="5" width="10.6640625" style="13" bestFit="1" customWidth="1"/>
    <col min="6" max="6" width="11" style="13" customWidth="1"/>
    <col min="7" max="8" width="15.6640625" style="13" customWidth="1"/>
    <col min="9" max="9" width="21.88671875" style="13" hidden="1" customWidth="1"/>
    <col min="10" max="10" width="30.88671875" style="13" hidden="1" customWidth="1"/>
    <col min="11" max="11" width="13.33203125" style="13" hidden="1" customWidth="1"/>
    <col min="12" max="12" width="14.5546875" style="13" hidden="1" customWidth="1"/>
    <col min="13" max="13" width="23.5546875" style="13" customWidth="1"/>
    <col min="14" max="14" width="26.88671875" style="13" customWidth="1"/>
    <col min="15" max="15" width="8.33203125" style="13" bestFit="1" customWidth="1"/>
    <col min="16" max="16" width="12.44140625" style="36" bestFit="1" customWidth="1"/>
    <col min="17" max="17" width="13.6640625" style="40" bestFit="1" customWidth="1"/>
    <col min="18" max="18" width="11" style="13" customWidth="1"/>
    <col min="19" max="19" width="14.6640625" style="32" bestFit="1" customWidth="1"/>
    <col min="20" max="20" width="9.109375" style="31" bestFit="1" customWidth="1"/>
    <col min="21" max="21" width="10.109375" style="51" bestFit="1" customWidth="1"/>
    <col min="22" max="22" width="12.6640625" style="32" bestFit="1" customWidth="1"/>
    <col min="23" max="23" width="15.109375" style="13" customWidth="1"/>
    <col min="24" max="25" width="13.88671875" style="13"/>
    <col min="26" max="28" width="0" style="13" hidden="1" customWidth="1"/>
    <col min="29" max="16384" width="13.88671875" style="13"/>
  </cols>
  <sheetData>
    <row r="1" spans="1:28" s="28" customFormat="1" ht="28.95" customHeight="1" x14ac:dyDescent="0.3">
      <c r="A1" s="20" t="s">
        <v>3637</v>
      </c>
      <c r="B1" s="20" t="s">
        <v>40</v>
      </c>
      <c r="C1" s="20" t="s">
        <v>3</v>
      </c>
      <c r="D1" s="11" t="s">
        <v>41</v>
      </c>
      <c r="E1" s="11" t="s">
        <v>8</v>
      </c>
      <c r="F1" s="11" t="s">
        <v>10</v>
      </c>
      <c r="G1" s="11" t="s">
        <v>42</v>
      </c>
      <c r="H1" s="11" t="s">
        <v>43</v>
      </c>
      <c r="I1" s="11" t="s">
        <v>13</v>
      </c>
      <c r="J1" s="11" t="s">
        <v>0</v>
      </c>
      <c r="K1" s="11" t="s">
        <v>1</v>
      </c>
      <c r="L1" s="11" t="s">
        <v>2</v>
      </c>
      <c r="M1" s="11" t="s">
        <v>7</v>
      </c>
      <c r="N1" s="11" t="s">
        <v>4</v>
      </c>
      <c r="O1" s="11" t="s">
        <v>5</v>
      </c>
      <c r="P1" s="34" t="s">
        <v>6</v>
      </c>
      <c r="Q1" s="39" t="s">
        <v>33</v>
      </c>
      <c r="R1" s="11" t="s">
        <v>9</v>
      </c>
      <c r="S1" s="27" t="s">
        <v>16</v>
      </c>
      <c r="T1" s="21" t="s">
        <v>18</v>
      </c>
      <c r="U1" s="50" t="s">
        <v>15</v>
      </c>
      <c r="V1" s="27" t="s">
        <v>17</v>
      </c>
      <c r="W1" s="11" t="s">
        <v>19</v>
      </c>
      <c r="X1" s="11" t="s">
        <v>3635</v>
      </c>
      <c r="Y1" s="11" t="s">
        <v>3636</v>
      </c>
      <c r="Z1" s="28" t="s">
        <v>3653</v>
      </c>
      <c r="AA1" s="28" t="s">
        <v>3654</v>
      </c>
      <c r="AB1" s="28" t="s">
        <v>3655</v>
      </c>
    </row>
    <row r="2" spans="1:28" x14ac:dyDescent="0.25">
      <c r="A2" s="12">
        <v>1</v>
      </c>
      <c r="B2" s="33" t="s">
        <v>80</v>
      </c>
      <c r="C2" s="16">
        <v>45992</v>
      </c>
      <c r="D2" s="12" t="str">
        <f>B2</f>
        <v>nico_1</v>
      </c>
      <c r="E2" s="12">
        <v>1</v>
      </c>
      <c r="F2" s="12" t="s">
        <v>11</v>
      </c>
      <c r="G2" s="12" t="s">
        <v>20</v>
      </c>
      <c r="H2" s="12" t="s">
        <v>22</v>
      </c>
      <c r="I2" s="12" t="s">
        <v>72</v>
      </c>
      <c r="J2" s="12" t="s">
        <v>71</v>
      </c>
      <c r="K2" s="12" t="s">
        <v>71</v>
      </c>
      <c r="L2" s="12"/>
      <c r="M2" s="12" t="s">
        <v>81</v>
      </c>
      <c r="N2" s="12" t="s">
        <v>171</v>
      </c>
      <c r="O2" s="12" t="s">
        <v>82</v>
      </c>
      <c r="P2" s="35">
        <v>502888</v>
      </c>
      <c r="Q2" s="37">
        <v>35</v>
      </c>
      <c r="R2" s="12" t="s">
        <v>14</v>
      </c>
      <c r="S2" s="29">
        <f>P2*Q2</f>
        <v>17601080</v>
      </c>
      <c r="T2" s="22">
        <v>1</v>
      </c>
      <c r="U2" s="15">
        <v>0</v>
      </c>
      <c r="V2" s="29">
        <f t="shared" ref="V2:V8" si="0">S2</f>
        <v>17601080</v>
      </c>
      <c r="W2" s="12"/>
      <c r="X2" s="12">
        <f>_xlfn.XLOOKUP(I2,id_rubro!A:A,id_rubro!B:B)</f>
        <v>2</v>
      </c>
      <c r="Y2" s="12" t="str">
        <f>_xlfn.XLOOKUP(X2,id_rubro!B:B,id_rubro!C:C)</f>
        <v>Nutrición</v>
      </c>
      <c r="Z2" s="13">
        <f t="shared" ref="Z2:Z8" si="1">IF(TRIM(F2)="DEUDA",1,0)</f>
        <v>0</v>
      </c>
      <c r="AA2" s="13">
        <f t="shared" ref="AA2:AA8" si="2">IF(TRIM($F2)="capex",1,0)</f>
        <v>0</v>
      </c>
      <c r="AB2" s="13">
        <f t="shared" ref="AB2:AB8" si="3">IF(TRIM($F2)="opex",1,0)</f>
        <v>1</v>
      </c>
    </row>
    <row r="3" spans="1:28" x14ac:dyDescent="0.25">
      <c r="A3" s="12">
        <v>1</v>
      </c>
      <c r="B3" s="33" t="s">
        <v>83</v>
      </c>
      <c r="C3" s="16">
        <v>45992</v>
      </c>
      <c r="D3" s="12" t="str">
        <f>B3</f>
        <v>nico_2</v>
      </c>
      <c r="E3" s="12">
        <v>2</v>
      </c>
      <c r="F3" s="12" t="s">
        <v>11</v>
      </c>
      <c r="G3" s="12" t="s">
        <v>20</v>
      </c>
      <c r="H3" s="12" t="s">
        <v>22</v>
      </c>
      <c r="I3" s="12" t="s">
        <v>72</v>
      </c>
      <c r="J3" s="12" t="s">
        <v>71</v>
      </c>
      <c r="K3" s="12" t="s">
        <v>71</v>
      </c>
      <c r="L3" s="12"/>
      <c r="M3" s="12" t="s">
        <v>84</v>
      </c>
      <c r="N3" s="12" t="s">
        <v>85</v>
      </c>
      <c r="O3" s="12" t="s">
        <v>82</v>
      </c>
      <c r="P3" s="35">
        <v>510488</v>
      </c>
      <c r="Q3" s="37">
        <v>353.49</v>
      </c>
      <c r="R3" s="12" t="s">
        <v>14</v>
      </c>
      <c r="S3" s="29">
        <f>P3*Q3</f>
        <v>180452403.12</v>
      </c>
      <c r="T3" s="22">
        <v>1</v>
      </c>
      <c r="U3" s="15">
        <v>0</v>
      </c>
      <c r="V3" s="29">
        <f t="shared" si="0"/>
        <v>180452403.12</v>
      </c>
      <c r="W3" s="12"/>
      <c r="X3" s="12">
        <f>_xlfn.XLOOKUP(I3,id_rubro!A:A,id_rubro!B:B)</f>
        <v>2</v>
      </c>
      <c r="Y3" s="12" t="str">
        <f>_xlfn.XLOOKUP(X3,id_rubro!B:B,id_rubro!C:C)</f>
        <v>Nutrición</v>
      </c>
      <c r="Z3" s="13">
        <f t="shared" si="1"/>
        <v>0</v>
      </c>
      <c r="AA3" s="13">
        <f t="shared" si="2"/>
        <v>0</v>
      </c>
      <c r="AB3" s="13">
        <f t="shared" si="3"/>
        <v>1</v>
      </c>
    </row>
    <row r="4" spans="1:28" x14ac:dyDescent="0.25">
      <c r="A4" s="12">
        <v>1</v>
      </c>
      <c r="B4" s="33" t="s">
        <v>170</v>
      </c>
      <c r="C4" s="16">
        <v>45992</v>
      </c>
      <c r="D4" s="12" t="str">
        <f>B4</f>
        <v>nico_3</v>
      </c>
      <c r="E4" s="12">
        <v>1</v>
      </c>
      <c r="F4" s="12" t="s">
        <v>11</v>
      </c>
      <c r="G4" s="12" t="s">
        <v>20</v>
      </c>
      <c r="H4" s="12" t="s">
        <v>22</v>
      </c>
      <c r="I4" s="12" t="s">
        <v>72</v>
      </c>
      <c r="J4" s="12"/>
      <c r="K4" s="12"/>
      <c r="L4" s="12"/>
      <c r="M4" s="12" t="s">
        <v>81</v>
      </c>
      <c r="N4" s="12" t="s">
        <v>172</v>
      </c>
      <c r="O4" s="12" t="s">
        <v>82</v>
      </c>
      <c r="P4" s="35">
        <v>10355</v>
      </c>
      <c r="Q4" s="37">
        <v>29</v>
      </c>
      <c r="R4" s="12" t="s">
        <v>14</v>
      </c>
      <c r="S4" s="29">
        <f>P4*Q4</f>
        <v>300295</v>
      </c>
      <c r="T4" s="22">
        <v>1</v>
      </c>
      <c r="U4" s="15">
        <v>0</v>
      </c>
      <c r="V4" s="29">
        <f t="shared" si="0"/>
        <v>300295</v>
      </c>
      <c r="W4" s="12"/>
      <c r="X4" s="12">
        <f>_xlfn.XLOOKUP(I4,id_rubro!A:A,id_rubro!B:B)</f>
        <v>2</v>
      </c>
      <c r="Y4" s="12" t="str">
        <f>_xlfn.XLOOKUP(X4,id_rubro!B:B,id_rubro!C:C)</f>
        <v>Nutrición</v>
      </c>
      <c r="Z4" s="13">
        <f t="shared" si="1"/>
        <v>0</v>
      </c>
      <c r="AA4" s="13">
        <f t="shared" si="2"/>
        <v>0</v>
      </c>
      <c r="AB4" s="13">
        <f t="shared" si="3"/>
        <v>1</v>
      </c>
    </row>
    <row r="5" spans="1:28" x14ac:dyDescent="0.25">
      <c r="A5" s="12">
        <v>0</v>
      </c>
      <c r="B5" s="33" t="s">
        <v>120</v>
      </c>
      <c r="C5" s="16">
        <v>45992</v>
      </c>
      <c r="D5" s="12" t="s">
        <v>114</v>
      </c>
      <c r="E5" s="12">
        <v>2</v>
      </c>
      <c r="F5" s="12" t="s">
        <v>11</v>
      </c>
      <c r="G5" s="12" t="s">
        <v>20</v>
      </c>
      <c r="H5" s="12" t="s">
        <v>36</v>
      </c>
      <c r="I5" s="12" t="s">
        <v>74</v>
      </c>
      <c r="J5" s="12" t="s">
        <v>71</v>
      </c>
      <c r="K5" s="12" t="s">
        <v>71</v>
      </c>
      <c r="L5" s="12" t="s">
        <v>115</v>
      </c>
      <c r="M5" s="12" t="s">
        <v>39</v>
      </c>
      <c r="N5" s="12" t="s">
        <v>121</v>
      </c>
      <c r="O5" s="12" t="s">
        <v>34</v>
      </c>
      <c r="P5" s="35">
        <v>1</v>
      </c>
      <c r="Q5" s="22">
        <v>560000</v>
      </c>
      <c r="R5" s="12" t="s">
        <v>14</v>
      </c>
      <c r="S5" s="29">
        <f>Q5</f>
        <v>560000</v>
      </c>
      <c r="T5" s="22">
        <v>1</v>
      </c>
      <c r="U5" s="15">
        <v>0</v>
      </c>
      <c r="V5" s="29">
        <f t="shared" si="0"/>
        <v>560000</v>
      </c>
      <c r="W5" s="12"/>
      <c r="X5" s="12">
        <f>_xlfn.XLOOKUP(I5,id_rubro!A:A,id_rubro!B:B)</f>
        <v>9</v>
      </c>
      <c r="Y5" s="12" t="str">
        <f>_xlfn.XLOOKUP(X5,id_rubro!B:B,id_rubro!C:C)</f>
        <v>Personal</v>
      </c>
      <c r="Z5" s="13">
        <f t="shared" si="1"/>
        <v>0</v>
      </c>
      <c r="AA5" s="13">
        <f t="shared" si="2"/>
        <v>0</v>
      </c>
      <c r="AB5" s="13">
        <f t="shared" si="3"/>
        <v>1</v>
      </c>
    </row>
    <row r="6" spans="1:28" x14ac:dyDescent="0.25">
      <c r="A6" s="12">
        <v>0</v>
      </c>
      <c r="B6" s="33" t="s">
        <v>114</v>
      </c>
      <c r="C6" s="16">
        <v>45992</v>
      </c>
      <c r="D6" s="12" t="s">
        <v>114</v>
      </c>
      <c r="E6" s="12">
        <v>2</v>
      </c>
      <c r="F6" s="12" t="s">
        <v>11</v>
      </c>
      <c r="G6" s="12" t="s">
        <v>20</v>
      </c>
      <c r="H6" s="12" t="s">
        <v>36</v>
      </c>
      <c r="I6" s="12" t="s">
        <v>74</v>
      </c>
      <c r="J6" s="12" t="s">
        <v>71</v>
      </c>
      <c r="K6" s="12" t="s">
        <v>71</v>
      </c>
      <c r="L6" s="12" t="s">
        <v>115</v>
      </c>
      <c r="M6" s="12" t="s">
        <v>39</v>
      </c>
      <c r="N6" s="12" t="s">
        <v>118</v>
      </c>
      <c r="O6" s="12" t="s">
        <v>34</v>
      </c>
      <c r="P6" s="35">
        <v>1</v>
      </c>
      <c r="Q6" s="22">
        <v>287000</v>
      </c>
      <c r="R6" s="12" t="s">
        <v>14</v>
      </c>
      <c r="S6" s="29">
        <f>Q6</f>
        <v>287000</v>
      </c>
      <c r="T6" s="22">
        <v>1</v>
      </c>
      <c r="U6" s="15">
        <v>0</v>
      </c>
      <c r="V6" s="29">
        <f t="shared" si="0"/>
        <v>287000</v>
      </c>
      <c r="W6" s="12"/>
      <c r="X6" s="12">
        <f>_xlfn.XLOOKUP(I6,id_rubro!A:A,id_rubro!B:B)</f>
        <v>9</v>
      </c>
      <c r="Y6" s="12" t="str">
        <f>_xlfn.XLOOKUP(X6,id_rubro!B:B,id_rubro!C:C)</f>
        <v>Personal</v>
      </c>
      <c r="Z6" s="13">
        <f t="shared" si="1"/>
        <v>0</v>
      </c>
      <c r="AA6" s="13">
        <f t="shared" si="2"/>
        <v>0</v>
      </c>
      <c r="AB6" s="13">
        <f t="shared" si="3"/>
        <v>1</v>
      </c>
    </row>
    <row r="7" spans="1:28" ht="11.4" customHeight="1" x14ac:dyDescent="0.25">
      <c r="A7" s="12">
        <v>1</v>
      </c>
      <c r="B7" s="33" t="s">
        <v>116</v>
      </c>
      <c r="C7" s="16">
        <v>45992</v>
      </c>
      <c r="D7" s="12" t="s">
        <v>116</v>
      </c>
      <c r="E7" s="12">
        <v>2</v>
      </c>
      <c r="F7" s="12" t="s">
        <v>11</v>
      </c>
      <c r="G7" s="12" t="s">
        <v>20</v>
      </c>
      <c r="H7" s="12" t="s">
        <v>36</v>
      </c>
      <c r="I7" s="12" t="s">
        <v>74</v>
      </c>
      <c r="J7" s="12" t="s">
        <v>71</v>
      </c>
      <c r="K7" s="12" t="s">
        <v>71</v>
      </c>
      <c r="L7" s="12" t="s">
        <v>117</v>
      </c>
      <c r="M7" s="12" t="s">
        <v>39</v>
      </c>
      <c r="N7" s="12" t="s">
        <v>119</v>
      </c>
      <c r="O7" s="12" t="s">
        <v>34</v>
      </c>
      <c r="P7" s="35">
        <v>1</v>
      </c>
      <c r="Q7" s="22">
        <v>216000</v>
      </c>
      <c r="R7" s="12" t="s">
        <v>14</v>
      </c>
      <c r="S7" s="29">
        <f>P7*Q7</f>
        <v>216000</v>
      </c>
      <c r="T7" s="22">
        <v>1</v>
      </c>
      <c r="U7" s="15">
        <v>0</v>
      </c>
      <c r="V7" s="52">
        <f t="shared" si="0"/>
        <v>216000</v>
      </c>
      <c r="W7" s="12"/>
      <c r="X7" s="12">
        <f>_xlfn.XLOOKUP(I7,id_rubro!A:A,id_rubro!B:B)</f>
        <v>9</v>
      </c>
      <c r="Y7" s="12" t="str">
        <f>_xlfn.XLOOKUP(X7,id_rubro!B:B,id_rubro!C:C)</f>
        <v>Personal</v>
      </c>
      <c r="Z7" s="13">
        <f t="shared" si="1"/>
        <v>0</v>
      </c>
      <c r="AA7" s="13">
        <f t="shared" si="2"/>
        <v>0</v>
      </c>
      <c r="AB7" s="13">
        <f t="shared" si="3"/>
        <v>1</v>
      </c>
    </row>
    <row r="8" spans="1:28" s="71" customFormat="1" x14ac:dyDescent="0.25">
      <c r="A8" s="63">
        <v>1</v>
      </c>
      <c r="B8" s="64" t="s">
        <v>73</v>
      </c>
      <c r="C8" s="65">
        <v>45992</v>
      </c>
      <c r="D8" s="63" t="s">
        <v>73</v>
      </c>
      <c r="E8" s="63">
        <v>1</v>
      </c>
      <c r="F8" s="63" t="s">
        <v>11</v>
      </c>
      <c r="G8" s="63" t="s">
        <v>20</v>
      </c>
      <c r="H8" s="63" t="s">
        <v>36</v>
      </c>
      <c r="I8" s="63" t="s">
        <v>74</v>
      </c>
      <c r="J8" s="63" t="s">
        <v>71</v>
      </c>
      <c r="K8" s="63" t="s">
        <v>71</v>
      </c>
      <c r="L8" s="63"/>
      <c r="M8" s="63" t="s">
        <v>23</v>
      </c>
      <c r="N8" s="63" t="s">
        <v>123</v>
      </c>
      <c r="O8" s="63" t="s">
        <v>1</v>
      </c>
      <c r="P8" s="66">
        <v>23</v>
      </c>
      <c r="Q8" s="67">
        <v>0</v>
      </c>
      <c r="R8" s="63" t="s">
        <v>14</v>
      </c>
      <c r="S8" s="68">
        <v>52929850.103799991</v>
      </c>
      <c r="T8" s="69">
        <v>1</v>
      </c>
      <c r="U8" s="70">
        <f t="shared" ref="U8" si="4">IFERROR(V8/S8-1,0)</f>
        <v>0</v>
      </c>
      <c r="V8" s="68">
        <f t="shared" si="0"/>
        <v>52929850.103799991</v>
      </c>
      <c r="W8" s="63"/>
      <c r="X8" s="63">
        <f>_xlfn.XLOOKUP(I8,id_rubro!A:A,id_rubro!B:B)</f>
        <v>9</v>
      </c>
      <c r="Y8" s="63" t="str">
        <f>_xlfn.XLOOKUP(X8,id_rubro!B:B,id_rubro!C:C)</f>
        <v>Personal</v>
      </c>
      <c r="Z8" s="71">
        <f t="shared" si="1"/>
        <v>0</v>
      </c>
      <c r="AA8" s="71">
        <f t="shared" si="2"/>
        <v>0</v>
      </c>
      <c r="AB8" s="71">
        <f t="shared" si="3"/>
        <v>1</v>
      </c>
    </row>
    <row r="9" spans="1:28" ht="14.4" x14ac:dyDescent="0.3">
      <c r="A9" s="12">
        <v>1</v>
      </c>
      <c r="B9" s="33" t="s">
        <v>3639</v>
      </c>
      <c r="C9" s="16">
        <v>45901</v>
      </c>
      <c r="D9" s="12" t="s">
        <v>3640</v>
      </c>
      <c r="E9" s="12">
        <v>1</v>
      </c>
      <c r="F9" s="12" t="s">
        <v>11</v>
      </c>
      <c r="G9" s="12" t="s">
        <v>21</v>
      </c>
      <c r="H9" s="12" t="s">
        <v>36</v>
      </c>
      <c r="I9" s="54" t="s">
        <v>3644</v>
      </c>
      <c r="J9" s="12"/>
      <c r="K9" s="12"/>
      <c r="L9" s="12"/>
      <c r="M9" s="33" t="s">
        <v>3646</v>
      </c>
      <c r="N9" s="33" t="s">
        <v>3641</v>
      </c>
      <c r="O9" s="12" t="s">
        <v>1</v>
      </c>
      <c r="P9" s="35">
        <v>1</v>
      </c>
      <c r="Q9" s="35">
        <v>1006934</v>
      </c>
      <c r="R9" s="12" t="s">
        <v>14</v>
      </c>
      <c r="S9" s="29">
        <f>Q9</f>
        <v>1006934</v>
      </c>
      <c r="T9" s="22">
        <v>1</v>
      </c>
      <c r="U9" s="15">
        <v>0</v>
      </c>
      <c r="V9" s="29">
        <v>1006934</v>
      </c>
      <c r="W9" s="12"/>
      <c r="X9" s="12">
        <f>_xlfn.XLOOKUP(I9,id_rubro!A:A,id_rubro!B:B)</f>
        <v>11</v>
      </c>
      <c r="Y9" s="12" t="str">
        <f>_xlfn.XLOOKUP(X9,id_rubro!B:B,id_rubro!C:C)</f>
        <v>Impuestos</v>
      </c>
      <c r="Z9" s="13">
        <f t="shared" ref="Z9:Z13" si="5">IF(TRIM(F9)="DEUDA",1,0)</f>
        <v>0</v>
      </c>
      <c r="AA9" s="13">
        <f t="shared" ref="AA9:AA13" si="6">IF(TRIM($F9)="capex",1,0)</f>
        <v>0</v>
      </c>
      <c r="AB9" s="13">
        <f t="shared" ref="AB9:AB13" si="7">IF(TRIM($F9)="opex",1,0)</f>
        <v>1</v>
      </c>
    </row>
    <row r="10" spans="1:28" ht="14.4" x14ac:dyDescent="0.3">
      <c r="A10" s="12">
        <v>1</v>
      </c>
      <c r="B10" s="33" t="s">
        <v>3639</v>
      </c>
      <c r="C10" s="16">
        <v>45901</v>
      </c>
      <c r="D10" s="12" t="s">
        <v>3640</v>
      </c>
      <c r="E10" s="12">
        <v>1</v>
      </c>
      <c r="F10" s="12" t="s">
        <v>11</v>
      </c>
      <c r="G10" s="12" t="s">
        <v>21</v>
      </c>
      <c r="H10" s="12" t="s">
        <v>36</v>
      </c>
      <c r="I10" s="54" t="s">
        <v>3644</v>
      </c>
      <c r="J10" s="12"/>
      <c r="K10" s="12"/>
      <c r="L10" s="12"/>
      <c r="M10" s="33" t="s">
        <v>48</v>
      </c>
      <c r="N10" s="33" t="s">
        <v>3642</v>
      </c>
      <c r="O10" s="12" t="s">
        <v>1</v>
      </c>
      <c r="P10" s="35">
        <v>1</v>
      </c>
      <c r="Q10" s="35">
        <v>4999769.63</v>
      </c>
      <c r="R10" s="12" t="s">
        <v>14</v>
      </c>
      <c r="S10" s="29">
        <f t="shared" ref="S10:S13" si="8">Q10</f>
        <v>4999769.63</v>
      </c>
      <c r="T10" s="22">
        <v>1</v>
      </c>
      <c r="U10" s="15">
        <v>0</v>
      </c>
      <c r="V10" s="29">
        <v>4999769.63</v>
      </c>
      <c r="W10" s="12"/>
      <c r="X10" s="12">
        <f>_xlfn.XLOOKUP(I10,id_rubro!A:A,id_rubro!B:B)</f>
        <v>11</v>
      </c>
      <c r="Y10" s="12" t="str">
        <f>_xlfn.XLOOKUP(X10,id_rubro!B:B,id_rubro!C:C)</f>
        <v>Impuestos</v>
      </c>
      <c r="Z10" s="13">
        <f t="shared" si="5"/>
        <v>0</v>
      </c>
      <c r="AA10" s="13">
        <f t="shared" si="6"/>
        <v>0</v>
      </c>
      <c r="AB10" s="13">
        <f t="shared" si="7"/>
        <v>1</v>
      </c>
    </row>
    <row r="11" spans="1:28" ht="14.4" x14ac:dyDescent="0.3">
      <c r="A11" s="12">
        <v>1</v>
      </c>
      <c r="B11" s="33" t="s">
        <v>3639</v>
      </c>
      <c r="C11" s="16">
        <v>45901</v>
      </c>
      <c r="D11" s="12" t="s">
        <v>3640</v>
      </c>
      <c r="E11" s="12">
        <v>1</v>
      </c>
      <c r="F11" s="12" t="s">
        <v>11</v>
      </c>
      <c r="G11" s="12" t="s">
        <v>21</v>
      </c>
      <c r="H11" s="12" t="s">
        <v>36</v>
      </c>
      <c r="I11" s="54" t="s">
        <v>3644</v>
      </c>
      <c r="J11" s="12"/>
      <c r="K11" s="12"/>
      <c r="L11" s="12"/>
      <c r="M11" s="33" t="s">
        <v>3647</v>
      </c>
      <c r="N11" s="33" t="s">
        <v>3643</v>
      </c>
      <c r="O11" s="12" t="s">
        <v>1</v>
      </c>
      <c r="P11" s="35">
        <v>1</v>
      </c>
      <c r="Q11" s="35">
        <v>2025348</v>
      </c>
      <c r="R11" s="12" t="s">
        <v>14</v>
      </c>
      <c r="S11" s="29">
        <f t="shared" si="8"/>
        <v>2025348</v>
      </c>
      <c r="T11" s="22">
        <v>1</v>
      </c>
      <c r="U11" s="15">
        <v>0</v>
      </c>
      <c r="V11" s="29">
        <v>2025348</v>
      </c>
      <c r="W11" s="12"/>
      <c r="X11" s="12">
        <f>_xlfn.XLOOKUP(I11,id_rubro!A:A,id_rubro!B:B)</f>
        <v>11</v>
      </c>
      <c r="Y11" s="12" t="str">
        <f>_xlfn.XLOOKUP(X11,id_rubro!B:B,id_rubro!C:C)</f>
        <v>Impuestos</v>
      </c>
      <c r="Z11" s="13">
        <f t="shared" si="5"/>
        <v>0</v>
      </c>
      <c r="AA11" s="13">
        <f t="shared" si="6"/>
        <v>0</v>
      </c>
      <c r="AB11" s="13">
        <f t="shared" si="7"/>
        <v>1</v>
      </c>
    </row>
    <row r="12" spans="1:28" ht="14.4" x14ac:dyDescent="0.3">
      <c r="A12" s="12">
        <v>1</v>
      </c>
      <c r="B12" s="33" t="s">
        <v>3639</v>
      </c>
      <c r="C12" s="16">
        <v>45901</v>
      </c>
      <c r="D12" s="12" t="s">
        <v>3640</v>
      </c>
      <c r="E12" s="12">
        <v>1</v>
      </c>
      <c r="F12" s="12" t="s">
        <v>11</v>
      </c>
      <c r="G12" s="12" t="s">
        <v>21</v>
      </c>
      <c r="H12" s="12" t="s">
        <v>36</v>
      </c>
      <c r="I12" s="54" t="s">
        <v>3644</v>
      </c>
      <c r="J12" s="12"/>
      <c r="K12" s="12"/>
      <c r="L12" s="12"/>
      <c r="M12" s="33" t="s">
        <v>3648</v>
      </c>
      <c r="N12" s="33" t="s">
        <v>3651</v>
      </c>
      <c r="O12" s="12" t="s">
        <v>1</v>
      </c>
      <c r="P12" s="35">
        <v>1</v>
      </c>
      <c r="Q12" s="35">
        <v>548875.68999999994</v>
      </c>
      <c r="R12" s="12" t="s">
        <v>14</v>
      </c>
      <c r="S12" s="29">
        <f t="shared" si="8"/>
        <v>548875.68999999994</v>
      </c>
      <c r="T12" s="22">
        <v>1</v>
      </c>
      <c r="U12" s="15">
        <v>0</v>
      </c>
      <c r="V12" s="29">
        <v>548876</v>
      </c>
      <c r="W12" s="12"/>
      <c r="X12" s="12">
        <f>_xlfn.XLOOKUP(I12,id_rubro!A:A,id_rubro!B:B)</f>
        <v>11</v>
      </c>
      <c r="Y12" s="12" t="str">
        <f>_xlfn.XLOOKUP(X12,id_rubro!B:B,id_rubro!C:C)</f>
        <v>Impuestos</v>
      </c>
      <c r="Z12" s="13">
        <f t="shared" si="5"/>
        <v>0</v>
      </c>
      <c r="AA12" s="13">
        <f t="shared" si="6"/>
        <v>0</v>
      </c>
      <c r="AB12" s="13">
        <f t="shared" si="7"/>
        <v>1</v>
      </c>
    </row>
    <row r="13" spans="1:28" ht="14.4" x14ac:dyDescent="0.3">
      <c r="A13" s="12">
        <v>1</v>
      </c>
      <c r="B13" s="33" t="s">
        <v>3639</v>
      </c>
      <c r="C13" s="16">
        <v>45901</v>
      </c>
      <c r="D13" s="12" t="s">
        <v>3640</v>
      </c>
      <c r="E13" s="12">
        <v>1</v>
      </c>
      <c r="F13" s="12" t="s">
        <v>11</v>
      </c>
      <c r="G13" s="12" t="s">
        <v>21</v>
      </c>
      <c r="H13" s="12" t="s">
        <v>36</v>
      </c>
      <c r="I13" s="54" t="s">
        <v>3644</v>
      </c>
      <c r="J13" s="12"/>
      <c r="K13" s="12"/>
      <c r="L13" s="12"/>
      <c r="M13" s="12" t="s">
        <v>3649</v>
      </c>
      <c r="N13" s="33" t="s">
        <v>3650</v>
      </c>
      <c r="O13" s="12" t="s">
        <v>1</v>
      </c>
      <c r="P13" s="35">
        <v>1</v>
      </c>
      <c r="Q13" s="37">
        <v>160037.18</v>
      </c>
      <c r="R13" s="12" t="s">
        <v>14</v>
      </c>
      <c r="S13" s="29">
        <f t="shared" si="8"/>
        <v>160037.18</v>
      </c>
      <c r="T13" s="22">
        <v>1</v>
      </c>
      <c r="U13" s="15">
        <v>0</v>
      </c>
      <c r="V13" s="29">
        <v>160037.18</v>
      </c>
      <c r="W13" s="12"/>
      <c r="X13" s="12">
        <f>_xlfn.XLOOKUP(I13,id_rubro!A:A,id_rubro!B:B)</f>
        <v>11</v>
      </c>
      <c r="Y13" s="12" t="str">
        <f>_xlfn.XLOOKUP(X13,id_rubro!B:B,id_rubro!C:C)</f>
        <v>Impuestos</v>
      </c>
      <c r="Z13" s="13">
        <f t="shared" si="5"/>
        <v>0</v>
      </c>
      <c r="AA13" s="13">
        <f t="shared" si="6"/>
        <v>0</v>
      </c>
      <c r="AB13" s="13">
        <f t="shared" si="7"/>
        <v>1</v>
      </c>
    </row>
  </sheetData>
  <phoneticPr fontId="6" type="noConversion"/>
  <pageMargins left="0.7" right="0.7" top="0.75" bottom="0.75" header="0.3" footer="0.3"/>
  <pageSetup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55ED-2F27-435F-B95C-83E5295350B7}">
  <dimension ref="A1:C25"/>
  <sheetViews>
    <sheetView workbookViewId="0">
      <selection activeCell="I25" sqref="I25"/>
    </sheetView>
  </sheetViews>
  <sheetFormatPr defaultColWidth="8.88671875" defaultRowHeight="14.4" x14ac:dyDescent="0.3"/>
  <cols>
    <col min="1" max="1" width="19.6640625" customWidth="1"/>
    <col min="3" max="3" width="19" customWidth="1"/>
  </cols>
  <sheetData>
    <row r="1" spans="1:3" x14ac:dyDescent="0.3">
      <c r="A1" t="s">
        <v>3623</v>
      </c>
      <c r="B1" t="s">
        <v>3624</v>
      </c>
      <c r="C1" t="s">
        <v>3625</v>
      </c>
    </row>
    <row r="2" spans="1:3" x14ac:dyDescent="0.3">
      <c r="A2" s="9"/>
      <c r="B2">
        <v>1</v>
      </c>
      <c r="C2" t="s">
        <v>3626</v>
      </c>
    </row>
    <row r="3" spans="1:3" x14ac:dyDescent="0.3">
      <c r="A3" s="9" t="s">
        <v>104</v>
      </c>
      <c r="B3">
        <v>2</v>
      </c>
      <c r="C3" t="s">
        <v>72</v>
      </c>
    </row>
    <row r="4" spans="1:3" x14ac:dyDescent="0.3">
      <c r="A4" s="9" t="s">
        <v>256</v>
      </c>
      <c r="B4">
        <v>1</v>
      </c>
      <c r="C4" t="s">
        <v>3626</v>
      </c>
    </row>
    <row r="5" spans="1:3" x14ac:dyDescent="0.3">
      <c r="A5" s="9" t="s">
        <v>3621</v>
      </c>
      <c r="B5">
        <v>3</v>
      </c>
      <c r="C5" t="s">
        <v>3627</v>
      </c>
    </row>
    <row r="6" spans="1:3" x14ac:dyDescent="0.3">
      <c r="A6" s="9" t="s">
        <v>95</v>
      </c>
      <c r="B6">
        <v>4</v>
      </c>
      <c r="C6" t="s">
        <v>3628</v>
      </c>
    </row>
    <row r="7" spans="1:3" x14ac:dyDescent="0.3">
      <c r="A7" s="9" t="s">
        <v>61</v>
      </c>
      <c r="B7">
        <v>1</v>
      </c>
      <c r="C7" t="s">
        <v>3626</v>
      </c>
    </row>
    <row r="8" spans="1:3" x14ac:dyDescent="0.3">
      <c r="A8" s="9" t="s">
        <v>283</v>
      </c>
      <c r="B8">
        <v>5</v>
      </c>
      <c r="C8" t="s">
        <v>3629</v>
      </c>
    </row>
    <row r="9" spans="1:3" x14ac:dyDescent="0.3">
      <c r="A9" s="9" t="s">
        <v>51</v>
      </c>
      <c r="B9">
        <v>6</v>
      </c>
      <c r="C9" t="s">
        <v>3630</v>
      </c>
    </row>
    <row r="10" spans="1:3" x14ac:dyDescent="0.3">
      <c r="A10" s="9" t="s">
        <v>50</v>
      </c>
      <c r="B10">
        <v>7</v>
      </c>
      <c r="C10" t="s">
        <v>3631</v>
      </c>
    </row>
    <row r="11" spans="1:3" x14ac:dyDescent="0.3">
      <c r="A11" s="9" t="s">
        <v>69</v>
      </c>
      <c r="B11">
        <v>1</v>
      </c>
      <c r="C11" t="s">
        <v>3626</v>
      </c>
    </row>
    <row r="12" spans="1:3" x14ac:dyDescent="0.3">
      <c r="A12" s="9" t="s">
        <v>281</v>
      </c>
      <c r="B12">
        <v>1</v>
      </c>
      <c r="C12" t="s">
        <v>3626</v>
      </c>
    </row>
    <row r="13" spans="1:3" x14ac:dyDescent="0.3">
      <c r="A13" s="9" t="s">
        <v>259</v>
      </c>
      <c r="B13">
        <v>1</v>
      </c>
      <c r="C13" t="s">
        <v>3626</v>
      </c>
    </row>
    <row r="14" spans="1:3" x14ac:dyDescent="0.3">
      <c r="A14" s="9" t="s">
        <v>57</v>
      </c>
      <c r="B14">
        <v>8</v>
      </c>
      <c r="C14" t="s">
        <v>3632</v>
      </c>
    </row>
    <row r="15" spans="1:3" x14ac:dyDescent="0.3">
      <c r="A15" s="9" t="s">
        <v>263</v>
      </c>
      <c r="B15">
        <v>8</v>
      </c>
      <c r="C15" t="s">
        <v>3633</v>
      </c>
    </row>
    <row r="16" spans="1:3" x14ac:dyDescent="0.3">
      <c r="A16" s="9" t="s">
        <v>3622</v>
      </c>
      <c r="B16">
        <v>8</v>
      </c>
      <c r="C16" t="s">
        <v>3633</v>
      </c>
    </row>
    <row r="17" spans="1:3" x14ac:dyDescent="0.3">
      <c r="A17" s="9" t="s">
        <v>3619</v>
      </c>
      <c r="B17">
        <v>9</v>
      </c>
      <c r="C17" t="s">
        <v>74</v>
      </c>
    </row>
    <row r="18" spans="1:3" x14ac:dyDescent="0.3">
      <c r="A18" s="9" t="s">
        <v>55</v>
      </c>
      <c r="B18">
        <v>10</v>
      </c>
      <c r="C18" t="s">
        <v>3634</v>
      </c>
    </row>
    <row r="19" spans="1:3" x14ac:dyDescent="0.3">
      <c r="A19" s="9" t="s">
        <v>212</v>
      </c>
      <c r="B19">
        <v>1</v>
      </c>
      <c r="C19" t="s">
        <v>3626</v>
      </c>
    </row>
    <row r="20" spans="1:3" x14ac:dyDescent="0.3">
      <c r="A20" s="9" t="s">
        <v>56</v>
      </c>
      <c r="B20">
        <v>1</v>
      </c>
      <c r="C20" t="s">
        <v>3626</v>
      </c>
    </row>
    <row r="21" spans="1:3" x14ac:dyDescent="0.3">
      <c r="A21" s="9" t="s">
        <v>225</v>
      </c>
      <c r="B21">
        <v>1</v>
      </c>
      <c r="C21" t="s">
        <v>3626</v>
      </c>
    </row>
    <row r="22" spans="1:3" x14ac:dyDescent="0.3">
      <c r="A22" t="s">
        <v>72</v>
      </c>
      <c r="B22">
        <v>2</v>
      </c>
      <c r="C22" t="s">
        <v>72</v>
      </c>
    </row>
    <row r="23" spans="1:3" x14ac:dyDescent="0.3">
      <c r="A23" t="s">
        <v>74</v>
      </c>
      <c r="B23">
        <v>9</v>
      </c>
      <c r="C23" t="s">
        <v>74</v>
      </c>
    </row>
    <row r="24" spans="1:3" x14ac:dyDescent="0.3">
      <c r="A24" s="9" t="s">
        <v>3644</v>
      </c>
      <c r="B24">
        <v>11</v>
      </c>
      <c r="C24" t="s">
        <v>3645</v>
      </c>
    </row>
    <row r="25" spans="1:3" x14ac:dyDescent="0.3">
      <c r="A25" s="9" t="s">
        <v>3620</v>
      </c>
      <c r="B25">
        <v>12</v>
      </c>
      <c r="C25" t="s">
        <v>3652</v>
      </c>
    </row>
  </sheetData>
  <autoFilter ref="A1:B21" xr:uid="{194B55ED-2F27-435F-B95C-83E5295350B7}">
    <sortState xmlns:xlrd2="http://schemas.microsoft.com/office/spreadsheetml/2017/richdata2" ref="A2:B23">
      <sortCondition ref="A1:A2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17A79-DE69-4A6A-8F27-A06397E61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costos_ampliados</vt:lpstr>
      <vt:lpstr>facturacion</vt:lpstr>
      <vt:lpstr>Vista_RUBRO</vt:lpstr>
      <vt:lpstr>costos</vt:lpstr>
      <vt:lpstr>BBDD_PROVEEDORES_FINAL</vt:lpstr>
      <vt:lpstr>union_gastos</vt:lpstr>
      <vt:lpstr>concepto_id</vt:lpstr>
      <vt:lpstr>facturas_ingresos</vt:lpstr>
      <vt:lpstr>venta_nico</vt:lpstr>
      <vt:lpstr>rubros</vt:lpstr>
      <vt:lpstr>nutri&amp;rrhh</vt:lpstr>
      <vt:lpstr>gastos_facturas</vt:lpstr>
      <vt:lpstr>BD Gastos_DICIEMBRE</vt:lpstr>
      <vt:lpstr>id_rubro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Tiscornia</dc:creator>
  <cp:lastModifiedBy>Felipe Posse</cp:lastModifiedBy>
  <cp:lastPrinted>2025-05-21T17:08:13Z</cp:lastPrinted>
  <dcterms:created xsi:type="dcterms:W3CDTF">2025-04-01T12:13:54Z</dcterms:created>
  <dcterms:modified xsi:type="dcterms:W3CDTF">2026-04-23T16:49:50Z</dcterms:modified>
</cp:coreProperties>
</file>