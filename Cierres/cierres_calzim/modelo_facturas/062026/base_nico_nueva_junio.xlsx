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 Capurro\Desktop\"/>
    </mc:Choice>
  </mc:AlternateContent>
  <xr:revisionPtr revIDLastSave="0" documentId="13_ncr:1_{A03D69C4-57A7-47E0-AECB-43712D2F331A}" xr6:coauthVersionLast="47" xr6:coauthVersionMax="47" xr10:uidLastSave="{00000000-0000-0000-0000-000000000000}"/>
  <bookViews>
    <workbookView xWindow="-108" yWindow="-108" windowWidth="23256" windowHeight="12456" tabRatio="684" activeTab="1" xr2:uid="{6818B4FE-8779-4BA9-A685-B56B62122A59}"/>
  </bookViews>
  <sheets>
    <sheet name="facturas_ventas" sheetId="15" r:id="rId1"/>
    <sheet name="facturas_gastos" sheetId="16" r:id="rId2"/>
    <sheet name="precios_mp" sheetId="14" r:id="rId3"/>
    <sheet name="formulas" sheetId="13" state="hidden" r:id="rId4"/>
    <sheet name="precios_mp_ac" sheetId="12" r:id="rId5"/>
    <sheet name="formula_ciclos" sheetId="11" r:id="rId6"/>
    <sheet name="genetica_nico " sheetId="7" r:id="rId7"/>
    <sheet name="sanidad_nico" sheetId="1" r:id="rId8"/>
    <sheet name="nutricion_nico" sheetId="6" r:id="rId9"/>
    <sheet name="produccion" sheetId="10" r:id="rId10"/>
    <sheet name="ad_hoc" sheetId="9" state="hidden" r:id="rId11"/>
    <sheet name="cco_calzim" sheetId="3" state="hidden" r:id="rId12"/>
    <sheet name="cco_lote" sheetId="2" state="hidden" r:id="rId13"/>
    <sheet name="CCO_NUT" sheetId="4" state="hidden" r:id="rId14"/>
    <sheet name="agrupado" sheetId="8" state="hidden" r:id="rId15"/>
  </sheets>
  <definedNames>
    <definedName name="_xlnm._FilterDatabase" localSheetId="14" hidden="1">agrupado!$A$1:$Q$25</definedName>
    <definedName name="_xlnm._FilterDatabase" localSheetId="6" hidden="1">'genetica_nico '!$B$2:$M$3</definedName>
    <definedName name="_xlnm._FilterDatabase" localSheetId="8" hidden="1">nutricion_nico!$A$1:$M$25</definedName>
    <definedName name="_xlnm._FilterDatabase" localSheetId="2" hidden="1">precios_mp!$A$1:$K$1</definedName>
    <definedName name="_xlnm._FilterDatabase" localSheetId="9" hidden="1">produccion!$A$1:$I$9</definedName>
    <definedName name="_xlnm._FilterDatabase" localSheetId="7" hidden="1">sanidad_nico!$A$1:$T$9</definedName>
    <definedName name="ExternalData_1" localSheetId="11" hidden="1">'cco_calzim'!$A$1:$J$26</definedName>
    <definedName name="ExternalData_1" localSheetId="12" hidden="1">'cco_lote'!$A$1:$G$20</definedName>
    <definedName name="ExternalData_1" localSheetId="5" hidden="1">formula_ciclos!$A$1:$E$13</definedName>
    <definedName name="ExternalData_1" localSheetId="3" hidden="1">formulas!$A$1:$I$53</definedName>
    <definedName name="ExternalData_1" localSheetId="4" hidden="1">precios_mp_ac!$A$1:$K$19</definedName>
    <definedName name="precios_internos">precios_mp!$A$1:$H$1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co_lote_7cd5db95-4f79-46aa-bee0-4477e80fd186" name="cco_lote" connection="Query - cco_lote"/>
          <x15:modelTable id="cco_calzim_d9a3e409-8b7d-4a61-9154-1ccc53cf315a" name="cco_calzim" connection="Query - cco_calzim"/>
          <x15:modelTable id="formula_ciclos-106c3dd1-3179-4c53-a267-f0611f003c20" name="formula_ciclos" connection="Query - formula_ciclos"/>
          <x15:modelTable id="precios_mp  2-dc2dc9b6-ff46-48da-bdeb-e81c1e3e6f66" name="precios_mp  2" connection="Query - precios_mp (2)"/>
          <x15:modelTable id="formulas_internas-0cd4cc90-d452-4ea5-8d74-a531e1fdecf6" name="formulas_internas" connection="Query - formulas_intern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0" l="1"/>
  <c r="F10" i="10"/>
  <c r="F7" i="10"/>
  <c r="F13" i="10"/>
  <c r="F9" i="10"/>
  <c r="F3" i="10"/>
  <c r="F6" i="10"/>
  <c r="F2" i="10"/>
  <c r="F8" i="10"/>
  <c r="F12" i="10"/>
  <c r="A12" i="10"/>
  <c r="A13" i="10" s="1"/>
  <c r="A11" i="10"/>
  <c r="A8" i="10"/>
  <c r="A9" i="10" s="1"/>
  <c r="A7" i="10"/>
  <c r="A4" i="10"/>
  <c r="A5" i="10" s="1"/>
  <c r="A3" i="10"/>
  <c r="J13" i="10"/>
  <c r="E13" i="10"/>
  <c r="D13" i="10"/>
  <c r="H13" i="10" s="1"/>
  <c r="J12" i="10"/>
  <c r="G12" i="10"/>
  <c r="H12" i="10"/>
  <c r="J11" i="10"/>
  <c r="H11" i="10"/>
  <c r="H10" i="10"/>
  <c r="K37" i="6"/>
  <c r="K36" i="6"/>
  <c r="K35" i="6"/>
  <c r="K34" i="6"/>
  <c r="K33" i="6"/>
  <c r="K32" i="6"/>
  <c r="K31" i="6"/>
  <c r="K30" i="6"/>
  <c r="K29" i="6"/>
  <c r="K28" i="6"/>
  <c r="K27" i="6"/>
  <c r="N37" i="6"/>
  <c r="E37" i="6"/>
  <c r="O37" i="6" s="1"/>
  <c r="P37" i="6" s="1"/>
  <c r="Q37" i="6" s="1"/>
  <c r="R37" i="6" s="1"/>
  <c r="G37" i="6" s="1"/>
  <c r="D37" i="6" s="1"/>
  <c r="N36" i="6"/>
  <c r="E36" i="6"/>
  <c r="O36" i="6" s="1"/>
  <c r="P36" i="6" s="1"/>
  <c r="Q36" i="6" s="1"/>
  <c r="R36" i="6" s="1"/>
  <c r="G36" i="6" s="1"/>
  <c r="D36" i="6" s="1"/>
  <c r="N35" i="6"/>
  <c r="E35" i="6"/>
  <c r="O35" i="6" s="1"/>
  <c r="P35" i="6" s="1"/>
  <c r="Q35" i="6" s="1"/>
  <c r="R35" i="6" s="1"/>
  <c r="G35" i="6" s="1"/>
  <c r="D35" i="6" s="1"/>
  <c r="N34" i="6"/>
  <c r="E34" i="6"/>
  <c r="O34" i="6" s="1"/>
  <c r="P34" i="6" s="1"/>
  <c r="Q34" i="6" s="1"/>
  <c r="R34" i="6" s="1"/>
  <c r="G34" i="6" s="1"/>
  <c r="D34" i="6" s="1"/>
  <c r="N33" i="6"/>
  <c r="E33" i="6"/>
  <c r="O33" i="6" s="1"/>
  <c r="P33" i="6" s="1"/>
  <c r="Q33" i="6" s="1"/>
  <c r="R33" i="6" s="1"/>
  <c r="G33" i="6" s="1"/>
  <c r="D33" i="6" s="1"/>
  <c r="N32" i="6"/>
  <c r="E32" i="6"/>
  <c r="O32" i="6" s="1"/>
  <c r="P32" i="6" s="1"/>
  <c r="Q32" i="6" s="1"/>
  <c r="R32" i="6" s="1"/>
  <c r="G32" i="6" s="1"/>
  <c r="D32" i="6" s="1"/>
  <c r="N31" i="6"/>
  <c r="E31" i="6"/>
  <c r="O31" i="6" s="1"/>
  <c r="P31" i="6" s="1"/>
  <c r="Q31" i="6" s="1"/>
  <c r="R31" i="6" s="1"/>
  <c r="G31" i="6" s="1"/>
  <c r="D31" i="6" s="1"/>
  <c r="N30" i="6"/>
  <c r="E30" i="6"/>
  <c r="O30" i="6" s="1"/>
  <c r="P30" i="6" s="1"/>
  <c r="Q30" i="6" s="1"/>
  <c r="R30" i="6" s="1"/>
  <c r="G30" i="6" s="1"/>
  <c r="D30" i="6" s="1"/>
  <c r="N29" i="6"/>
  <c r="E29" i="6"/>
  <c r="O29" i="6" s="1"/>
  <c r="P29" i="6" s="1"/>
  <c r="Q29" i="6" s="1"/>
  <c r="R29" i="6" s="1"/>
  <c r="G29" i="6" s="1"/>
  <c r="N28" i="6"/>
  <c r="E28" i="6"/>
  <c r="O28" i="6" s="1"/>
  <c r="P28" i="6" s="1"/>
  <c r="Q28" i="6" s="1"/>
  <c r="R28" i="6" s="1"/>
  <c r="G28" i="6" s="1"/>
  <c r="D28" i="6" s="1"/>
  <c r="N27" i="6"/>
  <c r="E27" i="6"/>
  <c r="O27" i="6" s="1"/>
  <c r="P27" i="6" s="1"/>
  <c r="Q27" i="6" s="1"/>
  <c r="R27" i="6" s="1"/>
  <c r="G27" i="6" s="1"/>
  <c r="D27" i="6" s="1"/>
  <c r="N26" i="6"/>
  <c r="E26" i="6"/>
  <c r="O26" i="6" s="1"/>
  <c r="P26" i="6" s="1"/>
  <c r="Q26" i="6" s="1"/>
  <c r="R26" i="6" s="1"/>
  <c r="G26" i="6" s="1"/>
  <c r="O13" i="1"/>
  <c r="P13" i="1" s="1"/>
  <c r="F13" i="1"/>
  <c r="D13" i="1"/>
  <c r="O12" i="1"/>
  <c r="D12" i="1"/>
  <c r="O11" i="1"/>
  <c r="P11" i="1" s="1"/>
  <c r="F11" i="1"/>
  <c r="D11" i="1"/>
  <c r="C11" i="1"/>
  <c r="Q10" i="1"/>
  <c r="O10" i="1"/>
  <c r="E10" i="1"/>
  <c r="D10" i="1"/>
  <c r="P4" i="7"/>
  <c r="N4" i="7"/>
  <c r="O4" i="7" s="1"/>
  <c r="K4" i="7"/>
  <c r="F4" i="7"/>
  <c r="D4" i="7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E19" i="12"/>
  <c r="F18" i="12"/>
  <c r="F17" i="12"/>
  <c r="F16" i="12"/>
  <c r="F15" i="12"/>
  <c r="F14" i="12"/>
  <c r="F13" i="12"/>
  <c r="F12" i="12"/>
  <c r="F11" i="12"/>
  <c r="F10" i="12"/>
  <c r="F9" i="12"/>
  <c r="E8" i="12"/>
  <c r="E7" i="12"/>
  <c r="E6" i="12"/>
  <c r="E5" i="12"/>
  <c r="E4" i="12"/>
  <c r="E3" i="12"/>
  <c r="E2" i="12"/>
  <c r="H4" i="14"/>
  <c r="H5" i="14" s="1"/>
  <c r="H6" i="14" s="1"/>
  <c r="H7" i="14" s="1"/>
  <c r="H8" i="14" s="1"/>
  <c r="H9" i="14" s="1"/>
  <c r="H10" i="14" s="1"/>
  <c r="H11" i="14" s="1"/>
  <c r="H12" i="14" s="1"/>
  <c r="H13" i="14" s="1"/>
  <c r="H14" i="14" s="1"/>
  <c r="H15" i="14" s="1"/>
  <c r="H16" i="14" s="1"/>
  <c r="H17" i="14" s="1"/>
  <c r="H18" i="14" s="1"/>
  <c r="H19" i="14" s="1"/>
  <c r="H3" i="14"/>
  <c r="F3" i="15"/>
  <c r="F2" i="15"/>
  <c r="L2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M2" i="12"/>
  <c r="M3" i="12"/>
  <c r="M4" i="12"/>
  <c r="M5" i="12"/>
  <c r="M6" i="12"/>
  <c r="M7" i="12"/>
  <c r="N7" i="12" s="1"/>
  <c r="M8" i="12"/>
  <c r="M9" i="12"/>
  <c r="M10" i="12"/>
  <c r="M11" i="12"/>
  <c r="M12" i="12"/>
  <c r="M13" i="12"/>
  <c r="M14" i="12"/>
  <c r="M15" i="12"/>
  <c r="M17" i="12"/>
  <c r="M19" i="12"/>
  <c r="N2" i="12"/>
  <c r="N3" i="12"/>
  <c r="N4" i="12"/>
  <c r="N5" i="12"/>
  <c r="N6" i="12"/>
  <c r="N8" i="12"/>
  <c r="J9" i="10"/>
  <c r="J8" i="10"/>
  <c r="J7" i="10"/>
  <c r="J6" i="10"/>
  <c r="J5" i="10"/>
  <c r="J4" i="10"/>
  <c r="J3" i="10"/>
  <c r="F4" i="10"/>
  <c r="E9" i="10"/>
  <c r="D5" i="10"/>
  <c r="E5" i="10"/>
  <c r="C7" i="1"/>
  <c r="C8" i="1" s="1"/>
  <c r="C9" i="1" s="1"/>
  <c r="C3" i="1"/>
  <c r="C4" i="1" s="1"/>
  <c r="C5" i="1" s="1"/>
  <c r="D29" i="6" l="1"/>
  <c r="F12" i="1"/>
  <c r="P12" i="1"/>
  <c r="C12" i="1"/>
  <c r="Q11" i="1"/>
  <c r="E11" i="1" s="1"/>
  <c r="P10" i="1"/>
  <c r="F10" i="1"/>
  <c r="M16" i="12"/>
  <c r="N16" i="12" s="1"/>
  <c r="M18" i="12"/>
  <c r="N18" i="12" s="1"/>
  <c r="N9" i="12"/>
  <c r="N10" i="12"/>
  <c r="N11" i="12"/>
  <c r="N12" i="12"/>
  <c r="N13" i="12"/>
  <c r="N14" i="12"/>
  <c r="N15" i="12"/>
  <c r="N17" i="12"/>
  <c r="N19" i="12"/>
  <c r="K2" i="3" a="1"/>
  <c r="K3" i="3" a="1"/>
  <c r="K4" i="3" a="1"/>
  <c r="K5" i="3" a="1"/>
  <c r="K6" i="3" a="1"/>
  <c r="K7" i="3" a="1"/>
  <c r="K8" i="3" a="1"/>
  <c r="K9" i="3" a="1"/>
  <c r="K10" i="3" a="1"/>
  <c r="K11" i="3" a="1"/>
  <c r="K12" i="3" a="1"/>
  <c r="K13" i="3" a="1"/>
  <c r="K14" i="3" a="1"/>
  <c r="K15" i="3" a="1"/>
  <c r="K16" i="3" a="1"/>
  <c r="K17" i="3" a="1"/>
  <c r="K18" i="3" a="1"/>
  <c r="K19" i="3" a="1"/>
  <c r="K20" i="3" a="1"/>
  <c r="K21" i="3" a="1"/>
  <c r="K22" i="3" a="1"/>
  <c r="K23" i="3" a="1"/>
  <c r="K24" i="3" a="1"/>
  <c r="K25" i="3" a="1"/>
  <c r="K26" i="3" a="1"/>
  <c r="K33" i="13"/>
  <c r="L33" i="13" s="1"/>
  <c r="K45" i="13"/>
  <c r="L45" i="13" s="1"/>
  <c r="J50" i="13"/>
  <c r="J21" i="13"/>
  <c r="J26" i="13"/>
  <c r="J43" i="13"/>
  <c r="J11" i="13"/>
  <c r="J46" i="13"/>
  <c r="J51" i="13"/>
  <c r="J22" i="13"/>
  <c r="J2" i="13"/>
  <c r="J5" i="13"/>
  <c r="J8" i="13"/>
  <c r="J27" i="13"/>
  <c r="J18" i="13"/>
  <c r="J34" i="13"/>
  <c r="J37" i="13"/>
  <c r="J31" i="13"/>
  <c r="J15" i="13"/>
  <c r="J40" i="13"/>
  <c r="J23" i="13"/>
  <c r="J3" i="13"/>
  <c r="J6" i="13"/>
  <c r="J9" i="13"/>
  <c r="J44" i="13"/>
  <c r="J12" i="13"/>
  <c r="J28" i="13"/>
  <c r="J19" i="13"/>
  <c r="J35" i="13"/>
  <c r="J38" i="13"/>
  <c r="J47" i="13"/>
  <c r="J32" i="13"/>
  <c r="J16" i="13"/>
  <c r="J41" i="13"/>
  <c r="J52" i="13"/>
  <c r="J24" i="13"/>
  <c r="J4" i="13"/>
  <c r="J29" i="13"/>
  <c r="J25" i="13"/>
  <c r="J30" i="13"/>
  <c r="J20" i="13"/>
  <c r="J17" i="13"/>
  <c r="J7" i="13"/>
  <c r="J10" i="13"/>
  <c r="J13" i="13"/>
  <c r="J33" i="13"/>
  <c r="J45" i="13"/>
  <c r="J36" i="13"/>
  <c r="J39" i="13"/>
  <c r="J48" i="13"/>
  <c r="J42" i="13"/>
  <c r="J49" i="13"/>
  <c r="J14" i="13"/>
  <c r="J53" i="13"/>
  <c r="K53" i="13"/>
  <c r="L53" i="13" s="1"/>
  <c r="C13" i="1" l="1"/>
  <c r="Q13" i="1" s="1"/>
  <c r="E13" i="1" s="1"/>
  <c r="Q12" i="1"/>
  <c r="E12" i="1" s="1"/>
  <c r="K17" i="13"/>
  <c r="L17" i="13" s="1"/>
  <c r="K20" i="13"/>
  <c r="L20" i="13" s="1"/>
  <c r="K46" i="13"/>
  <c r="L46" i="13" s="1"/>
  <c r="K51" i="13"/>
  <c r="L51" i="13" s="1"/>
  <c r="K43" i="13"/>
  <c r="L43" i="13" s="1"/>
  <c r="K11" i="13"/>
  <c r="L11" i="13" s="1"/>
  <c r="K21" i="13"/>
  <c r="L21" i="13" s="1"/>
  <c r="K26" i="13"/>
  <c r="L26" i="13" s="1"/>
  <c r="K10" i="13"/>
  <c r="L10" i="13" s="1"/>
  <c r="K13" i="13"/>
  <c r="L13" i="13" s="1"/>
  <c r="K7" i="13"/>
  <c r="L7" i="13" s="1"/>
  <c r="K40" i="13"/>
  <c r="L40" i="13" s="1"/>
  <c r="K22" i="13"/>
  <c r="L22" i="13" s="1"/>
  <c r="K8" i="13"/>
  <c r="L8" i="13" s="1"/>
  <c r="K27" i="13"/>
  <c r="L27" i="13" s="1"/>
  <c r="K2" i="13"/>
  <c r="L2" i="13" s="1"/>
  <c r="K5" i="13"/>
  <c r="L5" i="13" s="1"/>
  <c r="K50" i="13"/>
  <c r="L50" i="13" s="1"/>
  <c r="K18" i="13"/>
  <c r="L18" i="13" s="1"/>
  <c r="K34" i="13"/>
  <c r="L34" i="13" s="1"/>
  <c r="K49" i="13"/>
  <c r="L49" i="13" s="1"/>
  <c r="K37" i="13"/>
  <c r="L37" i="13" s="1"/>
  <c r="K14" i="13"/>
  <c r="L14" i="13" s="1"/>
  <c r="K31" i="13"/>
  <c r="L31" i="13" s="1"/>
  <c r="K15" i="13"/>
  <c r="L15" i="13" s="1"/>
  <c r="K32" i="13"/>
  <c r="L32" i="13" s="1"/>
  <c r="K23" i="13"/>
  <c r="L23" i="13" s="1"/>
  <c r="K16" i="13"/>
  <c r="L16" i="13" s="1"/>
  <c r="K3" i="13"/>
  <c r="L3" i="13" s="1"/>
  <c r="K41" i="13"/>
  <c r="L41" i="13" s="1"/>
  <c r="K44" i="13"/>
  <c r="L44" i="13" s="1"/>
  <c r="K12" i="13"/>
  <c r="L12" i="13" s="1"/>
  <c r="K6" i="13"/>
  <c r="L6" i="13" s="1"/>
  <c r="K52" i="13"/>
  <c r="L52" i="13" s="1"/>
  <c r="M50" i="13" s="1"/>
  <c r="K9" i="13"/>
  <c r="L9" i="13" s="1"/>
  <c r="K28" i="13"/>
  <c r="L28" i="13" s="1"/>
  <c r="K19" i="13"/>
  <c r="L19" i="13" s="1"/>
  <c r="K35" i="13"/>
  <c r="L35" i="13" s="1"/>
  <c r="K38" i="13"/>
  <c r="L38" i="13" s="1"/>
  <c r="K47" i="13"/>
  <c r="L47" i="13" s="1"/>
  <c r="K25" i="13"/>
  <c r="L25" i="13" s="1"/>
  <c r="K30" i="13"/>
  <c r="L30" i="13" s="1"/>
  <c r="K4" i="13"/>
  <c r="L4" i="13" s="1"/>
  <c r="K29" i="13"/>
  <c r="L29" i="13" s="1"/>
  <c r="M26" i="13" s="1"/>
  <c r="K24" i="13"/>
  <c r="L24" i="13" s="1"/>
  <c r="K42" i="13"/>
  <c r="L42" i="13" s="1"/>
  <c r="K36" i="13"/>
  <c r="L36" i="13" s="1"/>
  <c r="K48" i="13"/>
  <c r="L48" i="13" s="1"/>
  <c r="K39" i="13"/>
  <c r="L39" i="13" s="1"/>
  <c r="M41" i="13"/>
  <c r="M33" i="13"/>
  <c r="M31" i="13"/>
  <c r="M32" i="13"/>
  <c r="M18" i="13"/>
  <c r="M19" i="13"/>
  <c r="M20" i="13"/>
  <c r="M6" i="13"/>
  <c r="M46" i="13"/>
  <c r="M48" i="13"/>
  <c r="M37" i="13"/>
  <c r="M39" i="13"/>
  <c r="M43" i="13"/>
  <c r="M45" i="13"/>
  <c r="M44" i="13"/>
  <c r="M16" i="13"/>
  <c r="M51" i="13"/>
  <c r="M15" i="13"/>
  <c r="M53" i="13"/>
  <c r="M17" i="13" l="1"/>
  <c r="M7" i="13"/>
  <c r="M9" i="13"/>
  <c r="M8" i="13"/>
  <c r="M49" i="13"/>
  <c r="M47" i="13"/>
  <c r="M12" i="13"/>
  <c r="M30" i="13"/>
  <c r="M24" i="13"/>
  <c r="M21" i="13"/>
  <c r="M10" i="13"/>
  <c r="M23" i="13"/>
  <c r="M22" i="13"/>
  <c r="M40" i="13"/>
  <c r="M28" i="13"/>
  <c r="M14" i="13"/>
  <c r="M11" i="13"/>
  <c r="M13" i="13"/>
  <c r="M5" i="13"/>
  <c r="M42" i="13"/>
  <c r="M25" i="13"/>
  <c r="M38" i="13"/>
  <c r="M27" i="13"/>
  <c r="M29" i="13"/>
  <c r="M3" i="13"/>
  <c r="M2" i="13"/>
  <c r="M4" i="13"/>
  <c r="M34" i="13"/>
  <c r="M36" i="13"/>
  <c r="M35" i="13"/>
  <c r="M52" i="13"/>
  <c r="K25" i="6"/>
  <c r="K24" i="6"/>
  <c r="K23" i="6"/>
  <c r="K22" i="6"/>
  <c r="K21" i="6"/>
  <c r="K20" i="6"/>
  <c r="K19" i="6"/>
  <c r="K18" i="6"/>
  <c r="K17" i="6"/>
  <c r="K16" i="6"/>
  <c r="K15" i="6"/>
  <c r="K13" i="6"/>
  <c r="K12" i="6"/>
  <c r="K11" i="6"/>
  <c r="K10" i="6"/>
  <c r="K9" i="6"/>
  <c r="K8" i="6"/>
  <c r="K7" i="6"/>
  <c r="K6" i="6"/>
  <c r="K5" i="6"/>
  <c r="K4" i="6"/>
  <c r="K3" i="6"/>
  <c r="D9" i="10" l="1"/>
  <c r="H5" i="10"/>
  <c r="H3" i="10"/>
  <c r="H2" i="10"/>
  <c r="H8" i="10"/>
  <c r="G8" i="10"/>
  <c r="H7" i="10"/>
  <c r="H6" i="10"/>
  <c r="H4" i="10"/>
  <c r="G4" i="10"/>
  <c r="H9" i="10" l="1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" i="6"/>
  <c r="K3" i="7"/>
  <c r="P3" i="7"/>
  <c r="P2" i="7"/>
  <c r="O9" i="1"/>
  <c r="F9" i="1" s="1"/>
  <c r="E25" i="6"/>
  <c r="O25" i="6" s="1"/>
  <c r="P25" i="6" s="1"/>
  <c r="Q25" i="6" s="1"/>
  <c r="R25" i="6" s="1"/>
  <c r="G25" i="6" s="1"/>
  <c r="D25" i="6" s="1"/>
  <c r="E24" i="6"/>
  <c r="O24" i="6" s="1"/>
  <c r="P24" i="6" s="1"/>
  <c r="Q24" i="6" s="1"/>
  <c r="R24" i="6" s="1"/>
  <c r="G24" i="6" s="1"/>
  <c r="D24" i="6" s="1"/>
  <c r="E23" i="6"/>
  <c r="O23" i="6" s="1"/>
  <c r="P23" i="6" s="1"/>
  <c r="Q23" i="6" s="1"/>
  <c r="R23" i="6" s="1"/>
  <c r="G23" i="6" s="1"/>
  <c r="E22" i="6"/>
  <c r="O22" i="6" s="1"/>
  <c r="P22" i="6" s="1"/>
  <c r="Q22" i="6" s="1"/>
  <c r="R22" i="6" s="1"/>
  <c r="G22" i="6" s="1"/>
  <c r="E21" i="6"/>
  <c r="O21" i="6" s="1"/>
  <c r="P21" i="6" s="1"/>
  <c r="Q21" i="6" s="1"/>
  <c r="R21" i="6" s="1"/>
  <c r="G21" i="6" s="1"/>
  <c r="D21" i="6" s="1"/>
  <c r="E20" i="6"/>
  <c r="O20" i="6" s="1"/>
  <c r="P20" i="6" s="1"/>
  <c r="Q20" i="6" s="1"/>
  <c r="R20" i="6" s="1"/>
  <c r="G20" i="6" s="1"/>
  <c r="D20" i="6" s="1"/>
  <c r="E19" i="6"/>
  <c r="O19" i="6" s="1"/>
  <c r="P19" i="6" s="1"/>
  <c r="Q19" i="6" s="1"/>
  <c r="R19" i="6" s="1"/>
  <c r="G19" i="6" s="1"/>
  <c r="D19" i="6" s="1"/>
  <c r="E18" i="6"/>
  <c r="O18" i="6" s="1"/>
  <c r="P18" i="6" s="1"/>
  <c r="Q18" i="6" s="1"/>
  <c r="R18" i="6" s="1"/>
  <c r="G18" i="6" s="1"/>
  <c r="D18" i="6" s="1"/>
  <c r="E17" i="6"/>
  <c r="O17" i="6" s="1"/>
  <c r="P17" i="6" s="1"/>
  <c r="Q17" i="6" s="1"/>
  <c r="R17" i="6" s="1"/>
  <c r="G17" i="6" s="1"/>
  <c r="D17" i="6" s="1"/>
  <c r="E16" i="6"/>
  <c r="O16" i="6" s="1"/>
  <c r="P16" i="6" s="1"/>
  <c r="Q16" i="6" s="1"/>
  <c r="R16" i="6" s="1"/>
  <c r="G16" i="6" s="1"/>
  <c r="D16" i="6" s="1"/>
  <c r="E15" i="6"/>
  <c r="O15" i="6" s="1"/>
  <c r="P15" i="6" s="1"/>
  <c r="Q15" i="6" s="1"/>
  <c r="R15" i="6" s="1"/>
  <c r="G15" i="6" s="1"/>
  <c r="E14" i="6"/>
  <c r="O14" i="6" s="1"/>
  <c r="P14" i="6" s="1"/>
  <c r="Q14" i="6" s="1"/>
  <c r="R14" i="6" s="1"/>
  <c r="G14" i="6" s="1"/>
  <c r="D14" i="6" s="1"/>
  <c r="D22" i="6" l="1"/>
  <c r="D23" i="6"/>
  <c r="O2" i="1" l="1"/>
  <c r="F2" i="1" s="1"/>
  <c r="O3" i="1"/>
  <c r="F3" i="1" s="1"/>
  <c r="O4" i="1"/>
  <c r="F4" i="1" s="1"/>
  <c r="O5" i="1"/>
  <c r="F5" i="1" s="1"/>
  <c r="O6" i="1"/>
  <c r="F6" i="1" s="1"/>
  <c r="O7" i="1"/>
  <c r="F7" i="1" s="1"/>
  <c r="O8" i="1"/>
  <c r="F8" i="1" s="1"/>
  <c r="Q3" i="1"/>
  <c r="E3" i="1" s="1"/>
  <c r="Q4" i="1"/>
  <c r="Q5" i="1"/>
  <c r="Q6" i="1"/>
  <c r="Q7" i="1"/>
  <c r="Q8" i="1"/>
  <c r="Q9" i="1"/>
  <c r="Q2" i="1"/>
  <c r="E2" i="1" s="1"/>
  <c r="N3" i="7" l="1"/>
  <c r="F3" i="7" s="1"/>
  <c r="N2" i="7"/>
  <c r="F2" i="7" l="1"/>
  <c r="D3" i="7"/>
  <c r="O3" i="7"/>
  <c r="P3" i="1"/>
  <c r="P4" i="1"/>
  <c r="P5" i="1"/>
  <c r="P6" i="1"/>
  <c r="P7" i="1"/>
  <c r="P8" i="1"/>
  <c r="P9" i="1"/>
  <c r="P2" i="1"/>
  <c r="E4" i="1"/>
  <c r="E5" i="1"/>
  <c r="E6" i="1"/>
  <c r="E7" i="1"/>
  <c r="E8" i="1"/>
  <c r="E9" i="1"/>
  <c r="E3" i="6"/>
  <c r="O3" i="6" s="1"/>
  <c r="P3" i="6" s="1"/>
  <c r="Q3" i="6" s="1"/>
  <c r="R3" i="6" s="1"/>
  <c r="G3" i="6" s="1"/>
  <c r="D3" i="6" s="1"/>
  <c r="E4" i="6"/>
  <c r="O4" i="6" s="1"/>
  <c r="P4" i="6" s="1"/>
  <c r="Q4" i="6" s="1"/>
  <c r="R4" i="6" s="1"/>
  <c r="G4" i="6" s="1"/>
  <c r="D4" i="6" s="1"/>
  <c r="E5" i="6"/>
  <c r="O5" i="6" s="1"/>
  <c r="P5" i="6" s="1"/>
  <c r="Q5" i="6" s="1"/>
  <c r="R5" i="6" s="1"/>
  <c r="G5" i="6" s="1"/>
  <c r="D5" i="6" s="1"/>
  <c r="E7" i="6"/>
  <c r="O7" i="6" s="1"/>
  <c r="P7" i="6" s="1"/>
  <c r="Q7" i="6" s="1"/>
  <c r="R7" i="6" s="1"/>
  <c r="G7" i="6" s="1"/>
  <c r="D7" i="6" s="1"/>
  <c r="E9" i="6"/>
  <c r="O9" i="6" s="1"/>
  <c r="P9" i="6" s="1"/>
  <c r="Q9" i="6" s="1"/>
  <c r="R9" i="6" s="1"/>
  <c r="G9" i="6" s="1"/>
  <c r="D9" i="6" s="1"/>
  <c r="E8" i="6"/>
  <c r="O8" i="6" s="1"/>
  <c r="P8" i="6" s="1"/>
  <c r="Q8" i="6" s="1"/>
  <c r="R8" i="6" s="1"/>
  <c r="G8" i="6" s="1"/>
  <c r="D8" i="6" s="1"/>
  <c r="E6" i="6"/>
  <c r="O6" i="6" s="1"/>
  <c r="P6" i="6" s="1"/>
  <c r="Q6" i="6" s="1"/>
  <c r="R6" i="6" s="1"/>
  <c r="G6" i="6" s="1"/>
  <c r="D6" i="6" s="1"/>
  <c r="E13" i="6"/>
  <c r="O13" i="6" s="1"/>
  <c r="P13" i="6" s="1"/>
  <c r="Q13" i="6" s="1"/>
  <c r="R13" i="6" s="1"/>
  <c r="G13" i="6" s="1"/>
  <c r="D13" i="6" s="1"/>
  <c r="E11" i="6"/>
  <c r="O11" i="6" s="1"/>
  <c r="P11" i="6" s="1"/>
  <c r="Q11" i="6" s="1"/>
  <c r="R11" i="6" s="1"/>
  <c r="G11" i="6" s="1"/>
  <c r="D11" i="6" s="1"/>
  <c r="E12" i="6"/>
  <c r="O12" i="6" s="1"/>
  <c r="P12" i="6" s="1"/>
  <c r="Q12" i="6" s="1"/>
  <c r="R12" i="6" s="1"/>
  <c r="G12" i="6" s="1"/>
  <c r="D12" i="6" s="1"/>
  <c r="E10" i="6"/>
  <c r="O10" i="6" s="1"/>
  <c r="P10" i="6" s="1"/>
  <c r="Q10" i="6" s="1"/>
  <c r="R10" i="6" s="1"/>
  <c r="G10" i="6" s="1"/>
  <c r="D10" i="6" s="1"/>
  <c r="E2" i="6"/>
  <c r="O2" i="6" s="1"/>
  <c r="P2" i="6" s="1"/>
  <c r="Q2" i="6" s="1"/>
  <c r="R2" i="6" s="1"/>
  <c r="G2" i="6" s="1"/>
  <c r="D2" i="6" s="1"/>
  <c r="D6" i="1" l="1"/>
  <c r="D5" i="1"/>
  <c r="D2" i="1"/>
  <c r="D3" i="1"/>
  <c r="D4" i="1"/>
  <c r="D9" i="1"/>
  <c r="D7" i="1"/>
  <c r="D8" i="1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26" i="8"/>
  <c r="K2" i="7" l="1"/>
  <c r="D2" i="7" s="1"/>
  <c r="O2" i="7" l="1"/>
  <c r="D15" i="6" l="1"/>
  <c r="D2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tc={12F9B16C-0E74-4C78-85DA-0BFE20FFBB9E}</author>
    <author>tc={50AB8FEF-18ED-4539-B9A4-0DB8DD8D4CD2}</author>
    <author>tc={7030D5C5-ED4E-4C4E-B293-7809352C37F0}</author>
  </authors>
  <commentList>
    <comment ref="K2" authorId="0" shapeId="0" xr:uid="{12F9B16C-0E74-4C78-85DA-0BFE20FFBB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ej 1925
</t>
      </text>
    </comment>
    <comment ref="K14" authorId="1" shapeId="0" xr:uid="{50AB8FEF-18ED-4539-B9A4-0DB8DD8D4CD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ej 1925
</t>
      </text>
    </comment>
    <comment ref="K26" authorId="2" shapeId="0" xr:uid="{7030D5C5-ED4E-4C4E-B293-7809352C37F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ej 1925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D525F5-C041-4794-908D-9C0FE1B44811}" keepAlive="1" name="ModelConnection_ExternalData_1" description="Data Model" type="5" refreshedVersion="8" minRefreshableVersion="5" saveData="1">
    <dbPr connection="Data Model Connection" command="cco_lot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B04A0E9-9935-4906-A16C-F43C9B942EFC}" keepAlive="1" name="ModelConnection_ExternalData_11" description="Data Model" type="5" refreshedVersion="8" minRefreshableVersion="5" saveData="1">
    <dbPr connection="Data Model Connection" command="cco_calzim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FD1209AA-2701-4A60-AF04-6CF124CF97B0}" keepAlive="1" name="ModelConnection_ExternalData_12" description="Data Model" type="5" refreshedVersion="8" minRefreshableVersion="5" saveData="1">
    <dbPr connection="Data Model Connection" command="formula_ciclo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7CDD68F7-B1AE-4446-89EA-3109C7783875}" keepAlive="1" name="ModelConnection_ExternalData_13" description="Data Model" type="5" refreshedVersion="8" minRefreshableVersion="5" saveData="1">
    <dbPr connection="Data Model Connection" command="precios_mp  2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98DFDC55-EF55-476E-BB88-1DF1EF8F32B3}" keepAlive="1" name="ModelConnection_ExternalData_14" description="Data Model" type="5" refreshedVersion="8" minRefreshableVersion="5" saveData="1">
    <dbPr connection="Data Model Connection" command="formulas_interna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DBA0FE77-2F9A-413C-A7D0-FE3722F50C18}" name="Query - cco_calzim" description="Connection to the 'cco_calzim' query in the workbook." type="100" refreshedVersion="8" minRefreshableVersion="5">
    <extLst>
      <ext xmlns:x15="http://schemas.microsoft.com/office/spreadsheetml/2010/11/main" uri="{DE250136-89BD-433C-8126-D09CA5730AF9}">
        <x15:connection id="1d312605-fa09-46e3-ab10-e177e638b4ec">
          <x15:oledbPr connection="Provider=Microsoft.Mashup.OleDb.1;Data Source=$Workbook$;Location=cco_calzim;Extended Properties=&quot;&quot;">
            <x15:dbTables>
              <x15:dbTable name="cco_calzim"/>
            </x15:dbTables>
          </x15:oledbPr>
        </x15:connection>
      </ext>
    </extLst>
  </connection>
  <connection id="7" xr16:uid="{B5A66398-49CA-4516-B8CB-1E023457CB82}" name="Query - cco_lote" description="Connection to the 'cco_lote' query in the workbook." type="100" refreshedVersion="8" minRefreshableVersion="5">
    <extLst>
      <ext xmlns:x15="http://schemas.microsoft.com/office/spreadsheetml/2010/11/main" uri="{DE250136-89BD-433C-8126-D09CA5730AF9}">
        <x15:connection id="42a20b86-d774-4cc9-a957-859aee0898b2">
          <x15:oledbPr connection="Provider=Microsoft.Mashup.OleDb.1;Data Source=$Workbook$;Location=cco_lote;Extended Properties=&quot;&quot;">
            <x15:dbTables>
              <x15:dbTable name="cco_lote"/>
            </x15:dbTables>
          </x15:oledbPr>
        </x15:connection>
      </ext>
    </extLst>
  </connection>
  <connection id="8" xr16:uid="{8D5E52FD-2B14-4D4F-A68B-F96ADB915DE0}" name="Query - formula_ciclos" description="Connection to the 'formula_ciclos' query in the workbook." type="100" refreshedVersion="8" minRefreshableVersion="5">
    <extLst>
      <ext xmlns:x15="http://schemas.microsoft.com/office/spreadsheetml/2010/11/main" uri="{DE250136-89BD-433C-8126-D09CA5730AF9}">
        <x15:connection id="284ce782-d275-40fa-b76b-462ca0594843"/>
      </ext>
    </extLst>
  </connection>
  <connection id="9" xr16:uid="{5AE49495-8281-48E6-8F92-D3EDBD3702A7}" name="Query - formulas_internas" description="Connection to the 'formulas_internas' query in the workbook." type="100" refreshedVersion="8" minRefreshableVersion="5">
    <extLst>
      <ext xmlns:x15="http://schemas.microsoft.com/office/spreadsheetml/2010/11/main" uri="{DE250136-89BD-433C-8126-D09CA5730AF9}">
        <x15:connection id="5ca5c4b8-8b82-4a58-b6a6-3a7fc330c50c">
          <x15:oledbPr connection="Provider=Microsoft.Mashup.OleDb.1;Data Source=$Workbook$;Location=formulas_internas;Extended Properties=&quot;&quot;">
            <x15:dbTables>
              <x15:dbTable name="formulas_internas"/>
            </x15:dbTables>
          </x15:oledbPr>
        </x15:connection>
      </ext>
    </extLst>
  </connection>
  <connection id="10" xr16:uid="{BB227268-6F1B-4584-ADC6-F82476019795}" name="Query - precios_mp (2)" description="Connection to the 'precios_mp (2)' query in the workbook." type="100" refreshedVersion="8" minRefreshableVersion="5">
    <extLst>
      <ext xmlns:x15="http://schemas.microsoft.com/office/spreadsheetml/2010/11/main" uri="{DE250136-89BD-433C-8126-D09CA5730AF9}">
        <x15:connection id="35f731a5-0725-44e8-900a-88e5b5ce4fe3"/>
      </ext>
    </extLst>
  </connection>
  <connection id="11" xr16:uid="{4D1CF579-AEF6-4A17-8B97-C4EE9172CA2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<sst xmlns="http://schemas.openxmlformats.org/spreadsheetml/2006/main" count="1783" uniqueCount="368">
  <si>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</si>
  <si>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</si>
  <si>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</si>
  <si>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</si>
  <si>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</si>
  <si>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</si>
  <si>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</si>
  <si>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</si>
  <si>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</si>
  <si>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Concepto</t>
  </si>
  <si>
    <t>Tipo de Gasto 1</t>
  </si>
  <si>
    <t>Tipo de Gasto 2</t>
  </si>
  <si>
    <t>CCO - SECTOR</t>
  </si>
  <si>
    <t>Column15</t>
  </si>
  <si>
    <t>Origen</t>
  </si>
  <si>
    <t>OPEX</t>
  </si>
  <si>
    <t>CC1</t>
  </si>
  <si>
    <t>CCC _oct25</t>
  </si>
  <si>
    <t>Column1</t>
  </si>
  <si>
    <t>id</t>
  </si>
  <si>
    <t>LOTES</t>
  </si>
  <si>
    <t>prc</t>
  </si>
  <si>
    <t>{1525,1725}</t>
  </si>
  <si>
    <t>COD CCO</t>
  </si>
  <si>
    <t>SECTOR</t>
  </si>
  <si>
    <t>DCOMUN</t>
  </si>
  <si>
    <t>IMPUTACION</t>
  </si>
  <si>
    <t>#SECTORES</t>
  </si>
  <si>
    <t>GESTACIÓN</t>
  </si>
  <si>
    <t>CC1GESTACIÓN</t>
  </si>
  <si>
    <t>Fijo</t>
  </si>
  <si>
    <t>Directo</t>
  </si>
  <si>
    <t>GESTACIÓN , MATERNIDAD, SITIO 2, SITIO 3</t>
  </si>
  <si>
    <t>MATERNIDAD</t>
  </si>
  <si>
    <t>CC1MATERNIDAD</t>
  </si>
  <si>
    <t>SITIO 2</t>
  </si>
  <si>
    <t>CC1SITIO 2</t>
  </si>
  <si>
    <t>SITIO 3</t>
  </si>
  <si>
    <t>CC1SITIO 3</t>
  </si>
  <si>
    <t>CC2</t>
  </si>
  <si>
    <t>CC2GESTACIÓN</t>
  </si>
  <si>
    <t>Variable</t>
  </si>
  <si>
    <t>CC3</t>
  </si>
  <si>
    <t>lista_etapas</t>
  </si>
  <si>
    <t>0.25</t>
  </si>
  <si>
    <t>PERSONAL GNRAL ;SANIDAD-INSUMOS;OTROS</t>
  </si>
  <si>
    <t>4</t>
  </si>
  <si>
    <t>PERSONAL GNRAL</t>
  </si>
  <si>
    <t>1</t>
  </si>
  <si>
    <t>GESTACIÓN  PURA/GENETICA</t>
  </si>
  <si>
    <t>CC3MATERNIDAD</t>
  </si>
  <si>
    <t>MATERNIDAD PURA</t>
  </si>
  <si>
    <t>CC4</t>
  </si>
  <si>
    <t>CC4SITIO 2</t>
  </si>
  <si>
    <t>SITIO 2 PURA</t>
  </si>
  <si>
    <t>CC5</t>
  </si>
  <si>
    <t>CC5SITIO 3</t>
  </si>
  <si>
    <t>SITIO 3 PURA/FLETES</t>
  </si>
  <si>
    <t>CC6</t>
  </si>
  <si>
    <t>CC6GESTACIÓN</t>
  </si>
  <si>
    <t>0.53</t>
  </si>
  <si>
    <t>SANIDAD-VACUNA</t>
  </si>
  <si>
    <t>CC6MATERNIDAD</t>
  </si>
  <si>
    <t>0.23</t>
  </si>
  <si>
    <t>CC6SITIO 2</t>
  </si>
  <si>
    <t>CC6SITIO 3</t>
  </si>
  <si>
    <t>0.01</t>
  </si>
  <si>
    <t>CC7</t>
  </si>
  <si>
    <t>CC7GESTACIÓN</t>
  </si>
  <si>
    <t>0.3</t>
  </si>
  <si>
    <t>SANIDAD-MEDICAMENTO</t>
  </si>
  <si>
    <t>CC7MATERNIDAD</t>
  </si>
  <si>
    <t>CC7SITIO 2</t>
  </si>
  <si>
    <t>CC7SITIO 3</t>
  </si>
  <si>
    <t>0.1</t>
  </si>
  <si>
    <t>CC8</t>
  </si>
  <si>
    <t>CC8GESTACIÓN</t>
  </si>
  <si>
    <t>ENERGIA</t>
  </si>
  <si>
    <t>2</t>
  </si>
  <si>
    <t>GESTACIÓN , MATERNIDAD</t>
  </si>
  <si>
    <t>CC8MATERNIDAD</t>
  </si>
  <si>
    <t>C8</t>
  </si>
  <si>
    <t>C8SITIO 2</t>
  </si>
  <si>
    <t>SITIO 2, SITIO 3</t>
  </si>
  <si>
    <t>C8SITIO 3</t>
  </si>
  <si>
    <t>NO</t>
  </si>
  <si>
    <t>NOSECOMPUTA</t>
  </si>
  <si>
    <t>0</t>
  </si>
  <si>
    <t>ANULADO</t>
  </si>
  <si>
    <t>Indirecto</t>
  </si>
  <si>
    <t>CC9</t>
  </si>
  <si>
    <t>CC9GESTACIÓN</t>
  </si>
  <si>
    <t>0.5</t>
  </si>
  <si>
    <t>RRHH GEST-MAT</t>
  </si>
  <si>
    <t>CC9MATERNIDAD</t>
  </si>
  <si>
    <t>CC10</t>
  </si>
  <si>
    <t>CC10SITIO 2</t>
  </si>
  <si>
    <t>RRHH S2&amp;S3</t>
  </si>
  <si>
    <t>CC10SITIO 3</t>
  </si>
  <si>
    <t>formula</t>
  </si>
  <si>
    <t>{gestacion,cachorra}</t>
  </si>
  <si>
    <t>q</t>
  </si>
  <si>
    <t>{madres}</t>
  </si>
  <si>
    <t>{lechones}</t>
  </si>
  <si>
    <t>{capones}</t>
  </si>
  <si>
    <t>{lactancia}</t>
  </si>
  <si>
    <t>{fase0}</t>
  </si>
  <si>
    <t>{fase1}</t>
  </si>
  <si>
    <t>{fase2}</t>
  </si>
  <si>
    <t>{fase3}</t>
  </si>
  <si>
    <t>{fase4}</t>
  </si>
  <si>
    <t>{desarrollo}</t>
  </si>
  <si>
    <t>{t1}</t>
  </si>
  <si>
    <t>{t2}</t>
  </si>
  <si>
    <t>VACUNAS</t>
  </si>
  <si>
    <t>unidades</t>
  </si>
  <si>
    <t>q_servicios</t>
  </si>
  <si>
    <t>q_partos</t>
  </si>
  <si>
    <t>q_lechones/capones</t>
  </si>
  <si>
    <t>monto_final</t>
  </si>
  <si>
    <t>dosis_por_madre</t>
  </si>
  <si>
    <t>precio_por_dosis</t>
  </si>
  <si>
    <t>base_capurro_nutricion</t>
  </si>
  <si>
    <t>n1</t>
  </si>
  <si>
    <t>n2</t>
  </si>
  <si>
    <t>Kg.</t>
  </si>
  <si>
    <t>NUTRICIÓN</t>
  </si>
  <si>
    <t>CCO EMPRESA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</si>
  <si>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</si>
  <si>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</si>
  <si>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</si>
  <si>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</si>
  <si>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</si>
  <si>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</si>
  <si>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</si>
  <si>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</si>
  <si>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</si>
  <si>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</si>
  <si>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</si>
  <si>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</si>
  <si>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</si>
  <si>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</si>
  <si>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</si>
  <si>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</si>
  <si>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</si>
  <si>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</si>
  <si>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</si>
  <si>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</si>
  <si>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</si>
  <si>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</si>
  <si>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etapa_pura</t>
  </si>
  <si>
    <t>SANIDAD</t>
  </si>
  <si>
    <t>sanidad_nico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</si>
  <si>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</si>
  <si>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</si>
  <si>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</si>
  <si>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</si>
  <si>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</si>
  <si>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</si>
  <si>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</si>
  <si>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</si>
  <si>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</si>
  <si>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</si>
  <si>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</si>
  <si>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</si>
  <si>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</si>
  <si>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</si>
  <si>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</si>
  <si>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</si>
  <si>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</si>
  <si>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</si>
  <si>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</si>
  <si>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</si>
  <si>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base_capurro_sanidad</t>
  </si>
  <si>
    <t>base_capurro_genetica</t>
  </si>
  <si>
    <t>g1</t>
  </si>
  <si>
    <t>g2</t>
  </si>
  <si>
    <t>GENÉTICA</t>
  </si>
  <si>
    <t>genetica_nico</t>
  </si>
  <si>
    <t>nutricion_nico</t>
  </si>
  <si>
    <t>FASE</t>
  </si>
  <si>
    <t>CCO</t>
  </si>
  <si>
    <t>Opex</t>
  </si>
  <si>
    <t>id_lote</t>
  </si>
  <si>
    <t>tipo_animal</t>
  </si>
  <si>
    <t>precio_total_por_animal</t>
  </si>
  <si>
    <t>q _final</t>
  </si>
  <si>
    <t>Semen</t>
  </si>
  <si>
    <t>X</t>
  </si>
  <si>
    <t>orden_sitio</t>
  </si>
  <si>
    <t>orden</t>
  </si>
  <si>
    <t>cat_alimento</t>
  </si>
  <si>
    <t>GESTACIÓN-{gestacion,cachorra}-{madres}</t>
  </si>
  <si>
    <t>MATERNIDAD-{lactancia}-{madres}</t>
  </si>
  <si>
    <t>MATERNIDAD-{fase0}-{lechones}</t>
  </si>
  <si>
    <t>MATERNIDAD-{fase1}-{lechones}</t>
  </si>
  <si>
    <t>SITIO 2-{fase1}-{lechones}</t>
  </si>
  <si>
    <t>SITIO 2-{fase2}-{lechones}</t>
  </si>
  <si>
    <t>SITIO 2-{fase3}-{lechones}</t>
  </si>
  <si>
    <t>SITIO 2-{fase4}-{lechones}</t>
  </si>
  <si>
    <t>SITIO 3-{fase4}-{capones}</t>
  </si>
  <si>
    <t>SITIO 3-{desarrollo}-{capones}</t>
  </si>
  <si>
    <t>SITIO 3-{t1}-{capones}</t>
  </si>
  <si>
    <t>SITIO 3-{t2}-{capones}</t>
  </si>
  <si>
    <t>etapa_alimentaria</t>
  </si>
  <si>
    <t>gestacion_1</t>
  </si>
  <si>
    <t>tipo</t>
  </si>
  <si>
    <t>internas</t>
  </si>
  <si>
    <t>lactancia</t>
  </si>
  <si>
    <t>externos</t>
  </si>
  <si>
    <t>formula_id</t>
  </si>
  <si>
    <t>fase3</t>
  </si>
  <si>
    <t>fase_4</t>
  </si>
  <si>
    <t>terminador_c_arveja_1a</t>
  </si>
  <si>
    <t>terminador_c_arveja_2a</t>
  </si>
  <si>
    <t>lote</t>
  </si>
  <si>
    <t>etapa</t>
  </si>
  <si>
    <t>descripcion</t>
  </si>
  <si>
    <t>kg_prom</t>
  </si>
  <si>
    <t>mortandad_sitio_3</t>
  </si>
  <si>
    <t>modalidad_de_venta</t>
  </si>
  <si>
    <t>VENTA DE 1/2 RES</t>
  </si>
  <si>
    <t>precio_ref (c/iva)</t>
  </si>
  <si>
    <t>fecha</t>
  </si>
  <si>
    <t>id_nut</t>
  </si>
  <si>
    <t>id_nut2</t>
  </si>
  <si>
    <t>version</t>
  </si>
  <si>
    <t>id_ext</t>
  </si>
  <si>
    <t>v1</t>
  </si>
  <si>
    <t>E3</t>
  </si>
  <si>
    <t>E6</t>
  </si>
  <si>
    <t>E7</t>
  </si>
  <si>
    <t>desarrollo_c_arveja</t>
  </si>
  <si>
    <t>terminador_c_arveja_2b</t>
  </si>
  <si>
    <t>formula_ars</t>
  </si>
  <si>
    <t>ID</t>
  </si>
  <si>
    <t>campo</t>
  </si>
  <si>
    <t>Descripción</t>
  </si>
  <si>
    <t>UM</t>
  </si>
  <si>
    <t>ARS</t>
  </si>
  <si>
    <t>USD</t>
  </si>
  <si>
    <t>Proveedor</t>
  </si>
  <si>
    <t>ult_actualizacion</t>
  </si>
  <si>
    <t>Comentario</t>
  </si>
  <si>
    <t>RUBRO</t>
  </si>
  <si>
    <t>IVA</t>
  </si>
  <si>
    <t>dolar</t>
  </si>
  <si>
    <t>precio_ars</t>
  </si>
  <si>
    <t>precio_final</t>
  </si>
  <si>
    <t>I1</t>
  </si>
  <si>
    <t>DÓLAR BNA VENTA</t>
  </si>
  <si>
    <t>BNA</t>
  </si>
  <si>
    <t>Cot dólar bna momento de factura de Vetifarma</t>
  </si>
  <si>
    <t>NUTRICION</t>
  </si>
  <si>
    <t>I2</t>
  </si>
  <si>
    <t>Nutran Fason</t>
  </si>
  <si>
    <t>KG</t>
  </si>
  <si>
    <t>Nutran</t>
  </si>
  <si>
    <t>I3</t>
  </si>
  <si>
    <t>Nutran Embolsado</t>
  </si>
  <si>
    <t>I4</t>
  </si>
  <si>
    <t>Maíz</t>
  </si>
  <si>
    <t>FOA</t>
  </si>
  <si>
    <t>I5</t>
  </si>
  <si>
    <t>Expeller de soja</t>
  </si>
  <si>
    <t>CERSA</t>
  </si>
  <si>
    <t>I6</t>
  </si>
  <si>
    <t>Afrechillo de trigo</t>
  </si>
  <si>
    <t>I7</t>
  </si>
  <si>
    <t>Arveja</t>
  </si>
  <si>
    <t>EXT1</t>
  </si>
  <si>
    <t>MAXIMIX CERDAS REP. 2020</t>
  </si>
  <si>
    <t>Vetifarma</t>
  </si>
  <si>
    <t>EXT2</t>
  </si>
  <si>
    <t>SECUESTRANTE</t>
  </si>
  <si>
    <t>EXT3</t>
  </si>
  <si>
    <t>Starfeed 15% 2020 + iva</t>
  </si>
  <si>
    <t>EXT4</t>
  </si>
  <si>
    <t>Starfeed 6% 2020 + iva</t>
  </si>
  <si>
    <t>EXT5</t>
  </si>
  <si>
    <t>Starfeed Desarrollo 2023 + iva</t>
  </si>
  <si>
    <t>EXT6</t>
  </si>
  <si>
    <t>Starfeed Repro Lactancia 4%</t>
  </si>
  <si>
    <t>EXT7</t>
  </si>
  <si>
    <t>Starfeed Terminación 2023</t>
  </si>
  <si>
    <t>fase_0</t>
  </si>
  <si>
    <t>fase_1_med</t>
  </si>
  <si>
    <t>fase_2_med</t>
  </si>
  <si>
    <t>MAIZ</t>
  </si>
  <si>
    <t>ARVEJA</t>
  </si>
  <si>
    <t>EXPELLER</t>
  </si>
  <si>
    <t>terminador_c_arveja</t>
  </si>
  <si>
    <t>terminador_2</t>
  </si>
  <si>
    <t>terminador_1a</t>
  </si>
  <si>
    <t>terminador_1</t>
  </si>
  <si>
    <t>gestacion_c_prof</t>
  </si>
  <si>
    <t>AFRECHILLO</t>
  </si>
  <si>
    <t>desarrollo_2</t>
  </si>
  <si>
    <t>desarrollo_1</t>
  </si>
  <si>
    <t>cachorras</t>
  </si>
  <si>
    <t>precio_ac</t>
  </si>
  <si>
    <t>precio_mp</t>
  </si>
  <si>
    <t>precios_ars</t>
  </si>
  <si>
    <t>formula_activa</t>
  </si>
  <si>
    <t>ID_MAT</t>
  </si>
  <si>
    <t>proveedor</t>
  </si>
  <si>
    <t>ultima_actualizacion</t>
  </si>
  <si>
    <t>activo</t>
  </si>
  <si>
    <t>m_prima</t>
  </si>
  <si>
    <t>precio_final_ars</t>
  </si>
  <si>
    <t>Column4</t>
  </si>
  <si>
    <t>Column5</t>
  </si>
  <si>
    <t>Column6</t>
  </si>
  <si>
    <t>Column7</t>
  </si>
  <si>
    <t>{0.49166666,0.4916666}</t>
  </si>
  <si>
    <t>1525</t>
  </si>
  <si>
    <t>{1}</t>
  </si>
  <si>
    <t>1725</t>
  </si>
  <si>
    <t>CCC _nov25</t>
  </si>
  <si>
    <t>{1925,2125}</t>
  </si>
  <si>
    <t>1925</t>
  </si>
  <si>
    <t>2125</t>
  </si>
  <si>
    <t>CCC _dic25</t>
  </si>
  <si>
    <t>{2325,2525,2725}</t>
  </si>
  <si>
    <t>{0.511,0.513,0.45532}</t>
  </si>
  <si>
    <t>2325</t>
  </si>
  <si>
    <t>2525</t>
  </si>
  <si>
    <t>2725</t>
  </si>
  <si>
    <t>CCC _ene26</t>
  </si>
  <si>
    <t>{2925,3125}</t>
  </si>
  <si>
    <t>2925</t>
  </si>
  <si>
    <t>3125</t>
  </si>
  <si>
    <t>CCC _feb26</t>
  </si>
  <si>
    <t>{3325,3525}</t>
  </si>
  <si>
    <t>3325</t>
  </si>
  <si>
    <t>3525</t>
  </si>
  <si>
    <t>NONOSECOMPUTA</t>
  </si>
  <si>
    <t>CCC _mar26</t>
  </si>
  <si>
    <t>{3725,3925}</t>
  </si>
  <si>
    <t>3725</t>
  </si>
  <si>
    <t>3925</t>
  </si>
  <si>
    <t>GENETICA</t>
  </si>
  <si>
    <t>Esta en facturas</t>
  </si>
  <si>
    <t>UN</t>
  </si>
  <si>
    <t>G1</t>
  </si>
  <si>
    <t>FACTURACION</t>
  </si>
  <si>
    <t>Cantidades</t>
  </si>
  <si>
    <t>kg_promedio</t>
  </si>
  <si>
    <t>Precio promedio</t>
  </si>
  <si>
    <t>Final +IVA</t>
  </si>
  <si>
    <t>Subtotal</t>
  </si>
  <si>
    <t>CAPON</t>
  </si>
  <si>
    <t>CHANCHA</t>
  </si>
  <si>
    <t>nico_1</t>
  </si>
  <si>
    <t>fason_calculo_alimentos_1</t>
  </si>
  <si>
    <t>Nutrición</t>
  </si>
  <si>
    <t>VARIABLE</t>
  </si>
  <si>
    <t>DIRECTO</t>
  </si>
  <si>
    <t>nico_2</t>
  </si>
  <si>
    <t>calculo_alimentos_total</t>
  </si>
  <si>
    <t>nico_3</t>
  </si>
  <si>
    <t>embolsado_calculo_alimentos_3</t>
  </si>
  <si>
    <t>remu</t>
  </si>
  <si>
    <t>nueva_planilla_rrhh</t>
  </si>
  <si>
    <t>#RRHH</t>
  </si>
  <si>
    <t>Personal</t>
  </si>
  <si>
    <t>FIJO</t>
  </si>
  <si>
    <t>$18.242,82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</si>
</sst>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&quot;$&quot;\ * #,##0.00_-;\-&quot;$&quot;\ * #,##0.00_-;_-&quot;$&quot;\ * &quot;-&quot;??_-;_-@_-"/>
    <numFmt numFmtId="168" formatCode="_(&quot;$&quot;* #,##0_);_(&quot;$&quot;* \(#,##0\);_(&quot;$&quot;* &quot;-&quot;??_);_(@_)"/>
    <numFmt numFmtId="169" formatCode="_(* #,##0_);_(* \(#,##0\);_(* &quot;-&quot;??_);_(@_)"/>
    <numFmt numFmtId="170" formatCode="_([$$-409]* #,##0_);_([$$-409]* \(#,##0\);_([$$-409]* &quot;-&quot;??_);_(@_)"/>
    <numFmt numFmtId="171" formatCode="0.0%"/>
    <numFmt numFmtId="172" formatCode="_([$$-409]* #,##0.00_);_([$$-409]* \(#,##0.00\);_([$$-409]* &quot;-&quot;??_);_(@_)"/>
    <numFmt numFmtId="173" formatCode="_-* #,##0_-;\-* #,##0_-;_-* &quot;-&quot;??_-;_-@_-"/>
    <numFmt numFmtId="174" formatCode="_-[$$-2C0A]\ * #,##0_-;\-[$$-2C0A]\ * #,##0_-;_-[$$-2C0A]\ 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/>
        <bgColor theme="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1F0C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7558519241921"/>
      </left>
      <right style="thin">
        <color theme="0"/>
      </right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5">
    <xf numFmtId="0" fontId="0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8" applyNumberFormat="0" applyFill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28">
    <xf numFmtId="0" fontId="0" fillId="0" borderId="0" xfId="0"/>
    <xf numFmtId="0" fontId="0" fillId="0" borderId="1" xfId="0" applyBorder="1"/>
    <xf numFmtId="168" fontId="0" fillId="0" borderId="1" xfId="1" applyNumberFormat="1" applyFont="1" applyBorder="1"/>
    <xf numFmtId="0" fontId="3" fillId="0" borderId="1" xfId="0" applyFont="1" applyBorder="1"/>
    <xf numFmtId="166" fontId="0" fillId="0" borderId="0" xfId="0" applyNumberFormat="1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14" fontId="0" fillId="3" borderId="0" xfId="0" applyNumberFormat="1" applyFill="1"/>
    <xf numFmtId="0" fontId="0" fillId="3" borderId="0" xfId="0" applyFill="1"/>
    <xf numFmtId="14" fontId="4" fillId="4" borderId="0" xfId="0" applyNumberFormat="1" applyFont="1" applyFill="1"/>
    <xf numFmtId="0" fontId="4" fillId="4" borderId="0" xfId="0" applyFont="1" applyFill="1"/>
    <xf numFmtId="168" fontId="0" fillId="2" borderId="0" xfId="1" applyNumberFormat="1" applyFont="1" applyFill="1"/>
    <xf numFmtId="168" fontId="0" fillId="3" borderId="0" xfId="1" applyNumberFormat="1" applyFont="1" applyFill="1"/>
    <xf numFmtId="168" fontId="4" fillId="4" borderId="0" xfId="1" applyNumberFormat="1" applyFont="1" applyFill="1"/>
    <xf numFmtId="14" fontId="5" fillId="5" borderId="3" xfId="0" applyNumberFormat="1" applyFont="1" applyFill="1" applyBorder="1"/>
    <xf numFmtId="0" fontId="5" fillId="5" borderId="4" xfId="0" applyFont="1" applyFill="1" applyBorder="1"/>
    <xf numFmtId="168" fontId="5" fillId="5" borderId="4" xfId="1" applyNumberFormat="1" applyFont="1" applyFill="1" applyBorder="1"/>
    <xf numFmtId="14" fontId="0" fillId="0" borderId="1" xfId="0" applyNumberFormat="1" applyBorder="1"/>
    <xf numFmtId="164" fontId="3" fillId="0" borderId="1" xfId="0" applyNumberFormat="1" applyFont="1" applyBorder="1"/>
    <xf numFmtId="169" fontId="0" fillId="0" borderId="1" xfId="0" applyNumberFormat="1" applyBorder="1"/>
    <xf numFmtId="169" fontId="5" fillId="8" borderId="5" xfId="4" applyNumberFormat="1" applyFont="1" applyFill="1" applyBorder="1"/>
    <xf numFmtId="0" fontId="5" fillId="9" borderId="2" xfId="0" applyFont="1" applyFill="1" applyBorder="1"/>
    <xf numFmtId="166" fontId="5" fillId="8" borderId="5" xfId="4" applyFont="1" applyFill="1" applyBorder="1"/>
    <xf numFmtId="169" fontId="5" fillId="10" borderId="0" xfId="4" applyNumberFormat="1" applyFont="1" applyFill="1" applyBorder="1"/>
    <xf numFmtId="0" fontId="5" fillId="9" borderId="0" xfId="0" applyFont="1" applyFill="1"/>
    <xf numFmtId="0" fontId="0" fillId="11" borderId="1" xfId="0" applyFill="1" applyBorder="1"/>
    <xf numFmtId="169" fontId="0" fillId="11" borderId="1" xfId="4" applyNumberFormat="1" applyFont="1" applyFill="1" applyBorder="1"/>
    <xf numFmtId="166" fontId="0" fillId="12" borderId="1" xfId="4" applyFont="1" applyFill="1" applyBorder="1"/>
    <xf numFmtId="169" fontId="0" fillId="12" borderId="1" xfId="0" applyNumberFormat="1" applyFill="1" applyBorder="1"/>
    <xf numFmtId="0" fontId="0" fillId="3" borderId="1" xfId="0" applyFill="1" applyBorder="1"/>
    <xf numFmtId="164" fontId="0" fillId="11" borderId="1" xfId="0" applyNumberFormat="1" applyFill="1" applyBorder="1"/>
    <xf numFmtId="0" fontId="0" fillId="15" borderId="1" xfId="0" applyFill="1" applyBorder="1"/>
    <xf numFmtId="14" fontId="6" fillId="5" borderId="3" xfId="0" applyNumberFormat="1" applyFont="1" applyFill="1" applyBorder="1"/>
    <xf numFmtId="0" fontId="6" fillId="5" borderId="4" xfId="0" applyFont="1" applyFill="1" applyBorder="1"/>
    <xf numFmtId="168" fontId="6" fillId="5" borderId="4" xfId="1" applyNumberFormat="1" applyFont="1" applyFill="1" applyBorder="1"/>
    <xf numFmtId="0" fontId="6" fillId="6" borderId="2" xfId="0" applyFont="1" applyFill="1" applyBorder="1"/>
    <xf numFmtId="0" fontId="7" fillId="0" borderId="0" xfId="0" applyFont="1"/>
    <xf numFmtId="14" fontId="2" fillId="3" borderId="1" xfId="0" applyNumberFormat="1" applyFont="1" applyFill="1" applyBorder="1"/>
    <xf numFmtId="0" fontId="2" fillId="3" borderId="1" xfId="0" applyFont="1" applyFill="1" applyBorder="1"/>
    <xf numFmtId="0" fontId="2" fillId="11" borderId="1" xfId="4" applyNumberFormat="1" applyFont="1" applyFill="1" applyBorder="1" applyAlignment="1">
      <alignment horizontal="center" vertical="center"/>
    </xf>
    <xf numFmtId="0" fontId="7" fillId="3" borderId="1" xfId="0" applyFont="1" applyFill="1" applyBorder="1"/>
    <xf numFmtId="14" fontId="2" fillId="3" borderId="6" xfId="0" applyNumberFormat="1" applyFont="1" applyFill="1" applyBorder="1"/>
    <xf numFmtId="0" fontId="2" fillId="3" borderId="6" xfId="0" applyFont="1" applyFill="1" applyBorder="1"/>
    <xf numFmtId="14" fontId="2" fillId="15" borderId="1" xfId="0" applyNumberFormat="1" applyFont="1" applyFill="1" applyBorder="1"/>
    <xf numFmtId="0" fontId="2" fillId="15" borderId="1" xfId="0" applyFont="1" applyFill="1" applyBorder="1"/>
    <xf numFmtId="0" fontId="2" fillId="16" borderId="1" xfId="4" applyNumberFormat="1" applyFont="1" applyFill="1" applyBorder="1" applyAlignment="1">
      <alignment horizontal="center" vertical="center"/>
    </xf>
    <xf numFmtId="0" fontId="7" fillId="15" borderId="1" xfId="0" applyFont="1" applyFill="1" applyBorder="1"/>
    <xf numFmtId="14" fontId="2" fillId="15" borderId="6" xfId="0" applyNumberFormat="1" applyFont="1" applyFill="1" applyBorder="1"/>
    <xf numFmtId="0" fontId="2" fillId="15" borderId="6" xfId="0" applyFont="1" applyFill="1" applyBorder="1"/>
    <xf numFmtId="169" fontId="7" fillId="0" borderId="0" xfId="4" applyNumberFormat="1" applyFont="1"/>
    <xf numFmtId="172" fontId="0" fillId="0" borderId="0" xfId="8" applyNumberFormat="1" applyFont="1"/>
    <xf numFmtId="172" fontId="0" fillId="0" borderId="0" xfId="0" applyNumberFormat="1"/>
    <xf numFmtId="10" fontId="0" fillId="0" borderId="0" xfId="5" applyNumberFormat="1" applyFont="1"/>
    <xf numFmtId="172" fontId="8" fillId="0" borderId="8" xfId="7" applyNumberFormat="1" applyFill="1"/>
    <xf numFmtId="22" fontId="0" fillId="0" borderId="0" xfId="0" applyNumberFormat="1"/>
    <xf numFmtId="10" fontId="0" fillId="0" borderId="0" xfId="0" applyNumberFormat="1"/>
    <xf numFmtId="0" fontId="0" fillId="18" borderId="1" xfId="0" applyFill="1" applyBorder="1"/>
    <xf numFmtId="0" fontId="0" fillId="18" borderId="1" xfId="0" applyFill="1" applyBorder="1" applyAlignment="1">
      <alignment wrapText="1"/>
    </xf>
    <xf numFmtId="14" fontId="0" fillId="3" borderId="1" xfId="0" applyNumberFormat="1" applyFill="1" applyBorder="1"/>
    <xf numFmtId="4" fontId="0" fillId="11" borderId="1" xfId="0" applyNumberFormat="1" applyFill="1" applyBorder="1"/>
    <xf numFmtId="0" fontId="9" fillId="10" borderId="1" xfId="0" applyFont="1" applyFill="1" applyBorder="1"/>
    <xf numFmtId="0" fontId="10" fillId="13" borderId="2" xfId="0" applyFont="1" applyFill="1" applyBorder="1"/>
    <xf numFmtId="0" fontId="7" fillId="11" borderId="1" xfId="4" applyNumberFormat="1" applyFont="1" applyFill="1" applyBorder="1" applyAlignment="1">
      <alignment horizontal="center" vertical="center"/>
    </xf>
    <xf numFmtId="0" fontId="2" fillId="3" borderId="10" xfId="0" applyFont="1" applyFill="1" applyBorder="1"/>
    <xf numFmtId="0" fontId="2" fillId="3" borderId="11" xfId="0" applyFont="1" applyFill="1" applyBorder="1"/>
    <xf numFmtId="0" fontId="2" fillId="15" borderId="10" xfId="0" applyFont="1" applyFill="1" applyBorder="1"/>
    <xf numFmtId="0" fontId="2" fillId="15" borderId="11" xfId="0" applyFont="1" applyFill="1" applyBorder="1"/>
    <xf numFmtId="168" fontId="2" fillId="17" borderId="12" xfId="1" applyNumberFormat="1" applyFont="1" applyFill="1" applyBorder="1"/>
    <xf numFmtId="169" fontId="2" fillId="11" borderId="13" xfId="4" applyNumberFormat="1" applyFont="1" applyFill="1" applyBorder="1"/>
    <xf numFmtId="169" fontId="2" fillId="11" borderId="14" xfId="4" applyNumberFormat="1" applyFont="1" applyFill="1" applyBorder="1"/>
    <xf numFmtId="169" fontId="2" fillId="11" borderId="15" xfId="4" applyNumberFormat="1" applyFont="1" applyFill="1" applyBorder="1"/>
    <xf numFmtId="169" fontId="2" fillId="16" borderId="14" xfId="4" applyNumberFormat="1" applyFont="1" applyFill="1" applyBorder="1"/>
    <xf numFmtId="169" fontId="2" fillId="16" borderId="15" xfId="4" applyNumberFormat="1" applyFont="1" applyFill="1" applyBorder="1"/>
    <xf numFmtId="0" fontId="0" fillId="18" borderId="10" xfId="0" applyFill="1" applyBorder="1"/>
    <xf numFmtId="0" fontId="0" fillId="3" borderId="5" xfId="0" applyFill="1" applyBorder="1"/>
    <xf numFmtId="0" fontId="0" fillId="0" borderId="9" xfId="0" applyBorder="1"/>
    <xf numFmtId="169" fontId="6" fillId="7" borderId="5" xfId="4" applyNumberFormat="1" applyFont="1" applyFill="1" applyBorder="1"/>
    <xf numFmtId="0" fontId="6" fillId="6" borderId="0" xfId="0" applyFont="1" applyFill="1"/>
    <xf numFmtId="14" fontId="7" fillId="0" borderId="1" xfId="0" applyNumberFormat="1" applyFont="1" applyBorder="1"/>
    <xf numFmtId="0" fontId="7" fillId="0" borderId="1" xfId="0" applyFont="1" applyBorder="1"/>
    <xf numFmtId="0" fontId="7" fillId="11" borderId="1" xfId="0" applyFont="1" applyFill="1" applyBorder="1"/>
    <xf numFmtId="165" fontId="7" fillId="3" borderId="1" xfId="0" applyNumberFormat="1" applyFont="1" applyFill="1" applyBorder="1"/>
    <xf numFmtId="168" fontId="7" fillId="3" borderId="1" xfId="1" applyNumberFormat="1" applyFont="1" applyFill="1" applyBorder="1"/>
    <xf numFmtId="0" fontId="10" fillId="3" borderId="1" xfId="0" applyFont="1" applyFill="1" applyBorder="1"/>
    <xf numFmtId="0" fontId="7" fillId="0" borderId="7" xfId="0" applyFont="1" applyBorder="1"/>
    <xf numFmtId="0" fontId="7" fillId="16" borderId="7" xfId="0" applyFont="1" applyFill="1" applyBorder="1"/>
    <xf numFmtId="165" fontId="7" fillId="0" borderId="7" xfId="0" applyNumberFormat="1" applyFont="1" applyBorder="1"/>
    <xf numFmtId="0" fontId="7" fillId="14" borderId="7" xfId="0" applyFont="1" applyFill="1" applyBorder="1"/>
    <xf numFmtId="168" fontId="7" fillId="14" borderId="7" xfId="1" applyNumberFormat="1" applyFont="1" applyFill="1" applyBorder="1"/>
    <xf numFmtId="0" fontId="10" fillId="14" borderId="7" xfId="0" applyFont="1" applyFill="1" applyBorder="1"/>
    <xf numFmtId="0" fontId="7" fillId="11" borderId="7" xfId="0" applyFont="1" applyFill="1" applyBorder="1"/>
    <xf numFmtId="0" fontId="7" fillId="16" borderId="1" xfId="0" applyFont="1" applyFill="1" applyBorder="1"/>
    <xf numFmtId="165" fontId="7" fillId="0" borderId="1" xfId="0" applyNumberFormat="1" applyFont="1" applyBorder="1"/>
    <xf numFmtId="168" fontId="7" fillId="14" borderId="1" xfId="1" applyNumberFormat="1" applyFont="1" applyFill="1" applyBorder="1"/>
    <xf numFmtId="0" fontId="7" fillId="14" borderId="1" xfId="0" applyFont="1" applyFill="1" applyBorder="1"/>
    <xf numFmtId="0" fontId="10" fillId="14" borderId="1" xfId="0" applyFont="1" applyFill="1" applyBorder="1"/>
    <xf numFmtId="0" fontId="7" fillId="11" borderId="0" xfId="0" applyFont="1" applyFill="1"/>
    <xf numFmtId="0" fontId="7" fillId="3" borderId="0" xfId="0" applyFont="1" applyFill="1"/>
    <xf numFmtId="170" fontId="7" fillId="3" borderId="0" xfId="6" applyNumberFormat="1" applyFont="1" applyFill="1"/>
    <xf numFmtId="14" fontId="7" fillId="0" borderId="0" xfId="0" applyNumberFormat="1" applyFont="1"/>
    <xf numFmtId="2" fontId="7" fillId="11" borderId="0" xfId="0" applyNumberFormat="1" applyFont="1" applyFill="1"/>
    <xf numFmtId="171" fontId="7" fillId="3" borderId="0" xfId="5" applyNumberFormat="1" applyFont="1" applyFill="1"/>
    <xf numFmtId="0" fontId="7" fillId="16" borderId="0" xfId="0" applyFont="1" applyFill="1"/>
    <xf numFmtId="0" fontId="7" fillId="12" borderId="0" xfId="0" applyFont="1" applyFill="1"/>
    <xf numFmtId="170" fontId="7" fillId="12" borderId="0" xfId="6" applyNumberFormat="1" applyFont="1" applyFill="1"/>
    <xf numFmtId="2" fontId="7" fillId="16" borderId="0" xfId="0" applyNumberFormat="1" applyFont="1" applyFill="1"/>
    <xf numFmtId="171" fontId="7" fillId="12" borderId="0" xfId="5" applyNumberFormat="1" applyFont="1" applyFill="1"/>
    <xf numFmtId="170" fontId="7" fillId="0" borderId="0" xfId="0" applyNumberFormat="1" applyFont="1"/>
    <xf numFmtId="173" fontId="0" fillId="0" borderId="0" xfId="3" applyNumberFormat="1" applyFont="1"/>
    <xf numFmtId="173" fontId="0" fillId="19" borderId="0" xfId="3" applyNumberFormat="1" applyFont="1" applyFill="1"/>
    <xf numFmtId="172" fontId="0" fillId="19" borderId="0" xfId="0" applyNumberFormat="1" applyFill="1"/>
    <xf numFmtId="174" fontId="0" fillId="19" borderId="0" xfId="8" applyNumberFormat="1" applyFont="1" applyFill="1"/>
    <xf numFmtId="174" fontId="0" fillId="0" borderId="0" xfId="8" applyNumberFormat="1" applyFont="1"/>
    <xf numFmtId="0" fontId="0" fillId="20" borderId="0" xfId="0" applyFill="1"/>
    <xf numFmtId="0" fontId="0" fillId="20" borderId="0" xfId="0" applyFill="1" applyAlignment="1">
      <alignment horizontal="center"/>
    </xf>
    <xf numFmtId="169" fontId="0" fillId="20" borderId="0" xfId="4" applyNumberFormat="1" applyFont="1" applyFill="1"/>
    <xf numFmtId="169" fontId="0" fillId="0" borderId="0" xfId="4" applyNumberFormat="1" applyFont="1"/>
    <xf numFmtId="168" fontId="0" fillId="0" borderId="0" xfId="1" applyNumberFormat="1" applyFont="1"/>
    <xf numFmtId="169" fontId="0" fillId="19" borderId="1" xfId="4" applyNumberFormat="1" applyFont="1" applyFill="1" applyBorder="1"/>
    <xf numFmtId="0" fontId="0" fillId="19" borderId="1" xfId="0" applyFill="1" applyBorder="1"/>
    <xf numFmtId="165" fontId="0" fillId="20" borderId="0" xfId="1" applyFont="1" applyFill="1"/>
    <xf numFmtId="165" fontId="0" fillId="0" borderId="0" xfId="1" applyFont="1"/>
    <xf numFmtId="2" fontId="0" fillId="19" borderId="1" xfId="0" applyNumberFormat="1" applyFill="1" applyBorder="1"/>
    <xf numFmtId="43" fontId="0" fillId="19" borderId="0" xfId="3" applyNumberFormat="1" applyFont="1" applyFill="1"/>
    <xf numFmtId="4" fontId="0" fillId="0" borderId="0" xfId="0" applyNumberFormat="1"/>
    <xf numFmtId="0" fontId="7" fillId="11" borderId="0" xfId="4" applyNumberFormat="1" applyFont="1" applyFill="1" applyAlignment="1">
      <alignment horizontal="center" vertical="center"/>
    </xf>
    <xf numFmtId="0" fontId="7" fillId="16" borderId="0" xfId="4" applyNumberFormat="1" applyFont="1" applyFill="1" applyAlignment="1">
      <alignment horizontal="center" vertical="center"/>
    </xf>
  </cellXfs>
  <cellStyles count="15">
    <cellStyle name="Comma 2" xfId="3" xr:uid="{8CCF8252-4256-4F1D-B742-D1561D24A9D5}"/>
    <cellStyle name="Currency 2" xfId="2" xr:uid="{C8C4CA81-419D-41A1-9D4F-42183591A462}"/>
    <cellStyle name="Currency 3" xfId="8" xr:uid="{38B61A4A-61C2-49B5-A5AD-8A424483ACE4}"/>
    <cellStyle name="Millares" xfId="4" builtinId="3"/>
    <cellStyle name="Millares 2" xfId="13" xr:uid="{A33D2D0D-52C9-4CC0-A319-85230366F4D9}"/>
    <cellStyle name="Millares 3" xfId="11" xr:uid="{0F73870E-9048-456B-B0F2-8330E9FF4443}"/>
    <cellStyle name="Millares 4" xfId="9" xr:uid="{68D90E41-A4CE-40D7-89DF-D46CEC2A2C5B}"/>
    <cellStyle name="Moneda" xfId="1" builtinId="4"/>
    <cellStyle name="Moneda 2" xfId="6" xr:uid="{71F15504-D2A5-451C-A644-10E88AA854B1}"/>
    <cellStyle name="Moneda 3" xfId="12" xr:uid="{3FE17A11-30A3-40E8-95CB-B212659BE6C3}"/>
    <cellStyle name="Moneda 4" xfId="14" xr:uid="{EE6725A5-4894-47C0-A9BC-ACFE5C2BB07E}"/>
    <cellStyle name="Moneda 5" xfId="10" xr:uid="{AB7532B2-A032-4807-A0F0-41A719184CCD}"/>
    <cellStyle name="Normal" xfId="0" builtinId="0"/>
    <cellStyle name="Porcentaje" xfId="5" builtinId="5"/>
    <cellStyle name="Título 2" xfId="7" builtinId="17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5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72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5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2" formatCode="_([$$-409]* #,##0.00_);_([$$-409]* \(#,##0.00\);_([$$-409]* &quot;-&quot;??_);_(@_)"/>
    </dxf>
    <dxf>
      <numFmt numFmtId="0" formatCode="General"/>
    </dxf>
    <dxf>
      <numFmt numFmtId="172" formatCode="_([$$-409]* #,##0.00_);_([$$-409]* \(#,##0.00\);_([$$-409]* &quot;-&quot;??_);_(@_)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76" formatCode="dd/mm/yy\ hh:mm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</dxfs>
  <tableStyles count="0" defaultTableStyle="TableStyleMedium2" defaultPivotStyle="PivotStyleLight16"/>
  <colors>
    <mruColors>
      <color rgb="FFF1F0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6B942474-213E-4785-9D0D-7FE46450C029}" userId="0661141bbb365070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CDE3568D-59DC-4533-8AF8-1A3214E42A04}" autoFormatId="16" applyNumberFormats="0" applyBorderFormats="0" applyFontFormats="0" applyPatternFormats="0" applyAlignmentFormats="0" applyWidthHeightFormats="0">
  <queryTableRefresh nextId="14" unboundColumnsRight="4">
    <queryTableFields count="13">
      <queryTableField id="1" name="ID" tableColumnId="1"/>
      <queryTableField id="2" name="m_prima" tableColumnId="2"/>
      <queryTableField id="3" name="prc" tableColumnId="3"/>
      <queryTableField id="4" name="formula" tableColumnId="4"/>
      <queryTableField id="5" name="version" tableColumnId="5"/>
      <queryTableField id="6" name="activo" tableColumnId="6"/>
      <queryTableField id="7" name="ultima_actualizacion" tableColumnId="7"/>
      <queryTableField id="8" name="proveedor" tableColumnId="8"/>
      <queryTableField id="9" name="ID_MAT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  <extLst>
    <ext xmlns:x15="http://schemas.microsoft.com/office/spreadsheetml/2010/11/main" uri="{883FBD77-0823-4a55-B5E3-86C4891E6966}">
      <x15:queryTable sourceDataName="Query - formulas_interna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EC1BCA0D-B331-4658-A31D-B35DB505D8E7}" autoFormatId="16" applyNumberFormats="0" applyBorderFormats="0" applyFontFormats="0" applyPatternFormats="0" applyAlignmentFormats="0" applyWidthHeightFormats="0">
  <queryTableRefresh nextId="15" unboundColumnsRight="3">
    <queryTableFields count="14">
      <queryTableField id="1" name="ID" tableColumnId="1"/>
      <queryTableField id="2" name="campo" tableColumnId="2"/>
      <queryTableField id="3" name="Descripción" tableColumnId="3"/>
      <queryTableField id="4" name="UM" tableColumnId="4"/>
      <queryTableField id="5" name="ARS" tableColumnId="5"/>
      <queryTableField id="6" name="USD" tableColumnId="6"/>
      <queryTableField id="7" name="Proveedor" tableColumnId="7"/>
      <queryTableField id="8" name="ult_actualizacion" tableColumnId="8"/>
      <queryTableField id="9" name="Comentario" tableColumnId="9"/>
      <queryTableField id="10" name="RUBRO" tableColumnId="10"/>
      <queryTableField id="11" name="IVA" tableColumnId="11"/>
      <queryTableField id="12" dataBound="0" tableColumnId="12"/>
      <queryTableField id="13" dataBound="0" tableColumnId="13"/>
      <queryTableField id="14" dataBound="0" tableColumnId="14"/>
    </queryTableFields>
  </queryTableRefresh>
  <extLst>
    <ext xmlns:x15="http://schemas.microsoft.com/office/spreadsheetml/2010/11/main" uri="{883FBD77-0823-4a55-B5E3-86C4891E6966}">
      <x15:queryTable sourceDataName="Query - precios_mp (2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1A721860-CD4E-4BBA-87B1-564225E8A83E}" autoFormatId="16" applyNumberFormats="0" applyBorderFormats="0" applyFontFormats="0" applyPatternFormats="0" applyAlignmentFormats="0" applyWidthHeightFormats="0">
  <queryTableRefresh nextId="6">
    <queryTableFields count="5">
      <queryTableField id="1" name="etapa" tableColumnId="1"/>
      <queryTableField id="2" name="formula" tableColumnId="2"/>
      <queryTableField id="3" name="version" tableColumnId="3"/>
      <queryTableField id="4" name="fecha" tableColumnId="4"/>
      <queryTableField id="5" name="id_ext" tableColumnId="5"/>
    </queryTableFields>
  </queryTableRefresh>
  <extLst>
    <ext xmlns:x15="http://schemas.microsoft.com/office/spreadsheetml/2010/11/main" uri="{883FBD77-0823-4a55-B5E3-86C4891E6966}">
      <x15:queryTable sourceDataName="Query - formula_ciclo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EDDB18BE-41F8-4220-B35D-78EB723E101A}" autoFormatId="16" applyNumberFormats="0" applyBorderFormats="0" applyFontFormats="0" applyPatternFormats="0" applyAlignmentFormats="0" applyWidthHeightFormats="0">
  <queryTableRefresh nextId="14" unboundColumnsRight="1">
    <queryTableFields count="11">
      <queryTableField id="1" name="COD CCO" tableColumnId="1"/>
      <queryTableField id="2" name="SECTOR" tableColumnId="2"/>
      <queryTableField id="3" name="DCOMUN" tableColumnId="3"/>
      <queryTableField id="4" name="prc" tableColumnId="4"/>
      <queryTableField id="5" name="IMPUTACION" tableColumnId="5"/>
      <queryTableField id="6" name="#SECTORES" tableColumnId="6"/>
      <queryTableField id="7" name="Tipo de Gasto 1" tableColumnId="7"/>
      <queryTableField id="8" name="Tipo de Gasto 2" tableColumnId="8"/>
      <queryTableField id="11" name="lista_etapas" tableColumnId="9"/>
      <queryTableField id="13" name="etapa_pura" tableColumnId="12"/>
      <queryTableField id="10" dataBound="0" tableColumnId="10"/>
    </queryTableFields>
  </queryTableRefresh>
  <extLst>
    <ext xmlns:x15="http://schemas.microsoft.com/office/spreadsheetml/2010/11/main" uri="{883FBD77-0823-4a55-B5E3-86C4891E6966}">
      <x15:queryTable sourceDataName="Query - cco_calzim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18000C0-C104-43BD-945C-A050D3C54CA6}" autoFormatId="16" applyNumberFormats="0" applyBorderFormats="0" applyFontFormats="0" applyPatternFormats="0" applyAlignmentFormats="0" applyWidthHeightFormats="0">
  <queryTableRefresh nextId="11">
    <queryTableFields count="7">
      <queryTableField id="4" name="id" tableColumnId="4"/>
      <queryTableField id="5" name="LOTES" tableColumnId="5"/>
      <queryTableField id="6" name="prc" tableColumnId="6"/>
      <queryTableField id="7" name="Column4" tableColumnId="1"/>
      <queryTableField id="8" name="Column5" tableColumnId="2"/>
      <queryTableField id="9" name="Column6" tableColumnId="3"/>
      <queryTableField id="10" name="Column7" tableColumnId="7"/>
    </queryTableFields>
  </queryTableRefresh>
  <extLst>
    <ext xmlns:x15="http://schemas.microsoft.com/office/spreadsheetml/2010/11/main" uri="{883FBD77-0823-4a55-B5E3-86C4891E6966}">
      <x15:queryTable sourceDataName="Query - cco_lot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1A7028-7B50-4238-814F-859ADFB489E0}" name="formulas_internas" displayName="formulas_internas" ref="A1:M53" tableType="queryTable" totalsRowShown="0">
  <sortState xmlns:xlrd2="http://schemas.microsoft.com/office/spreadsheetml/2017/richdata2" ref="A2:M53">
    <sortCondition ref="D1:D53"/>
  </sortState>
  <tableColumns count="13">
    <tableColumn id="1" xr3:uid="{C5A39044-9FAE-4E3D-83BD-11C3083FDB0D}" uniqueName="1" name="ID" queryTableFieldId="1"/>
    <tableColumn id="2" xr3:uid="{054A85BC-5E4D-4F4F-8638-3A50B364E855}" uniqueName="2" name="m_prima" queryTableFieldId="2" dataDxfId="37"/>
    <tableColumn id="3" xr3:uid="{6FFCBA29-AFD1-42B5-A180-AFF0EE4CC9F2}" uniqueName="3" name="prc" queryTableFieldId="3" dataDxfId="36"/>
    <tableColumn id="4" xr3:uid="{395B034A-5A76-4A1A-9EAF-150945BD7315}" uniqueName="4" name="formula" queryTableFieldId="4" dataDxfId="35"/>
    <tableColumn id="5" xr3:uid="{4999E91E-7B28-4546-A159-B8F8D907D881}" uniqueName="5" name="version" queryTableFieldId="5" dataDxfId="34"/>
    <tableColumn id="6" xr3:uid="{DAC2EEB6-7A45-4CB9-8370-430953190AD5}" uniqueName="6" name="activo" queryTableFieldId="6"/>
    <tableColumn id="7" xr3:uid="{74C131D5-4676-4A3A-BB47-A32736A5CD39}" uniqueName="7" name="ultima_actualizacion" queryTableFieldId="7" dataDxfId="33"/>
    <tableColumn id="8" xr3:uid="{8F78FAC6-EA30-4E03-99AD-0AEBEEA6809C}" uniqueName="8" name="proveedor" queryTableFieldId="8" dataDxfId="32"/>
    <tableColumn id="9" xr3:uid="{017C1F43-6104-49B4-8E04-1E5D60818900}" uniqueName="9" name="ID_MAT" queryTableFieldId="9" dataDxfId="31"/>
    <tableColumn id="10" xr3:uid="{7C4332A6-E967-4F7D-A31E-8FB1C94D0AEA}" uniqueName="10" name="formula_activa" queryTableFieldId="10" dataDxfId="30">
      <calculatedColumnFormula>"OK"</calculatedColumnFormula>
    </tableColumn>
    <tableColumn id="11" xr3:uid="{9727106F-6181-433A-927D-CEC2307F3C03}" uniqueName="11" name="precios_ars" queryTableFieldId="11" dataDxfId="29">
      <calculatedColumnFormula>_xlfn.XLOOKUP(formulas_internas[[#This Row],[ID_MAT]],precios_mp_ac!A:A,precios_mp_ac!N:N)</calculatedColumnFormula>
    </tableColumn>
    <tableColumn id="12" xr3:uid="{E349E8E7-F22D-45BB-8D70-1A9F3F47B710}" uniqueName="12" name="precio_mp" queryTableFieldId="12" dataDxfId="28">
      <calculatedColumnFormula>formulas_internas[[#This Row],[precios_ars]]*formulas_internas[[#This Row],[prc]]</calculatedColumnFormula>
    </tableColumn>
    <tableColumn id="13" xr3:uid="{BE6A6183-22AB-4077-88F1-A5C10FAA29CC}" uniqueName="13" name="precio_ac" queryTableFieldId="13" dataDxfId="27">
      <calculatedColumnFormula>SUMIFS(L:L,D:D,formulas_internas[[#This Row],[formula]])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97288D-2F2D-42E6-9EB8-86A972597F58}" name="precios_mp__2" displayName="precios_mp__2" ref="A1:N19" tableType="queryTable" totalsRowShown="0">
  <tableColumns count="14">
    <tableColumn id="1" xr3:uid="{406DD753-1A6C-4F77-8C9D-EC5C197468F0}" uniqueName="1" name="ID" queryTableFieldId="1" dataDxfId="26"/>
    <tableColumn id="2" xr3:uid="{5CE783CD-9D7A-403F-9C1E-C3A3572E83DC}" uniqueName="2" name="campo" queryTableFieldId="2" dataDxfId="25"/>
    <tableColumn id="3" xr3:uid="{950C55F6-FF27-463B-A667-7D661256A802}" uniqueName="3" name="Descripción" queryTableFieldId="3"/>
    <tableColumn id="4" xr3:uid="{27C4AB4E-F05D-4530-98AA-EAD496EE47D1}" uniqueName="4" name="UM" queryTableFieldId="4" dataDxfId="24"/>
    <tableColumn id="5" xr3:uid="{635E7D64-0EA6-4C92-B776-7C5F3782A141}" uniqueName="5" name="ARS" queryTableFieldId="5"/>
    <tableColumn id="6" xr3:uid="{207DAA7D-AF8A-4D93-BDD3-0C36FD401951}" uniqueName="6" name="USD" queryTableFieldId="6"/>
    <tableColumn id="7" xr3:uid="{66AD08C1-246A-41CC-A145-7CEDCB99ABDB}" uniqueName="7" name="Proveedor" queryTableFieldId="7" dataDxfId="23"/>
    <tableColumn id="8" xr3:uid="{AF2C7622-7353-473D-89D5-68D7EFC59940}" uniqueName="8" name="ult_actualizacion" queryTableFieldId="8" dataDxfId="22"/>
    <tableColumn id="9" xr3:uid="{08980CDC-77E6-4D2D-B934-4D5199BD4CE8}" uniqueName="9" name="Comentario" queryTableFieldId="9" dataDxfId="21"/>
    <tableColumn id="10" xr3:uid="{F9C5E31E-BDC5-46D7-BABF-5316C5E28BD8}" uniqueName="10" name="RUBRO" queryTableFieldId="10" dataDxfId="20"/>
    <tableColumn id="11" xr3:uid="{85481832-038C-4CC4-B6D9-193FB6E5E89A}" uniqueName="11" name="IVA" queryTableFieldId="11"/>
    <tableColumn id="12" xr3:uid="{DEC3B2C3-93D3-4DC6-B2DA-5B7795D02141}" uniqueName="12" name="dolar" queryTableFieldId="12" dataDxfId="19">
      <calculatedColumnFormula>_xlfn.XLOOKUP($B$2,B:B,E:E)</calculatedColumnFormula>
    </tableColumn>
    <tableColumn id="13" xr3:uid="{FDBE7C07-1D3B-4DC8-97BE-FF5968BF1A3F}" uniqueName="13" name="precio_ars" queryTableFieldId="13" dataDxfId="18">
      <calculatedColumnFormula>IF(ISBLANK(precios_mp__2[[#This Row],[ARS]]),F2*L2,precios_mp__2[[#This Row],[ARS]])</calculatedColumnFormula>
    </tableColumn>
    <tableColumn id="14" xr3:uid="{7F6C6812-83E3-44F3-824E-7CC3C4CD21AC}" uniqueName="14" name="precio_final" queryTableFieldId="14" dataDxfId="17" dataCellStyle="Currency 3">
      <calculatedColumnFormula>precios_mp__2[[#This Row],[precio_ars]]*(1+precios_mp__2[[#This Row],[IVA]])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6CF58F-DFC6-4AB4-B07A-8D88638C7961}" name="formula_ciclos" displayName="formula_ciclos" ref="A1:E13" tableType="queryTable" totalsRowShown="0">
  <autoFilter ref="A1:E13" xr:uid="{F844F573-AD3F-4DB2-A415-4AEC356C8559}"/>
  <tableColumns count="5">
    <tableColumn id="1" xr3:uid="{ADE9448B-E962-41F5-94E1-D31A0F5DB45E}" uniqueName="1" name="etapa" queryTableFieldId="1" dataDxfId="16"/>
    <tableColumn id="2" xr3:uid="{28A17C27-DAEC-4F94-8B37-6BD60DE3670A}" uniqueName="2" name="formula" queryTableFieldId="2" dataDxfId="15"/>
    <tableColumn id="3" xr3:uid="{566A5B9F-E589-430B-9278-9687BB860B36}" uniqueName="3" name="version" queryTableFieldId="3" dataDxfId="14"/>
    <tableColumn id="4" xr3:uid="{2185D380-76EC-40C2-8088-E7EE5EFF47BE}" uniqueName="4" name="fecha" queryTableFieldId="4" dataDxfId="13"/>
    <tableColumn id="5" xr3:uid="{098C6B7A-32F8-4809-8E2B-0CF083B3B8EF}" uniqueName="5" name="id_ext" queryTableFieldId="5" dataDxfId="1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0A6F0E-92D8-4960-A9F2-E47398D975A7}" name="cco_calzim" displayName="cco_calzim" ref="A1:K26" tableType="queryTable" totalsRowShown="0">
  <tableColumns count="11">
    <tableColumn id="1" xr3:uid="{AB271189-55BA-4BE2-BDBC-4427D9F8A373}" uniqueName="1" name="COD CCO" queryTableFieldId="1" dataDxfId="11"/>
    <tableColumn id="2" xr3:uid="{F2554D16-6045-4DB9-ADDF-4FBBA0E563FE}" uniqueName="2" name="SECTOR" queryTableFieldId="2" dataDxfId="10"/>
    <tableColumn id="3" xr3:uid="{E95730CF-EA3A-4BDC-8376-8376B5DABF92}" uniqueName="3" name="DCOMUN" queryTableFieldId="3" dataDxfId="9"/>
    <tableColumn id="4" xr3:uid="{B8E1E54D-BDAB-4B2A-962C-70066E76FA76}" uniqueName="4" name="prc" queryTableFieldId="4" dataDxfId="8"/>
    <tableColumn id="5" xr3:uid="{9F88AD59-2B5E-443B-AD8D-7B63458C6907}" uniqueName="5" name="IMPUTACION" queryTableFieldId="5" dataDxfId="7"/>
    <tableColumn id="6" xr3:uid="{0BD9A170-E45F-41B0-95FA-C5C7C1530039}" uniqueName="6" name="#SECTORES" queryTableFieldId="6" dataDxfId="6"/>
    <tableColumn id="7" xr3:uid="{80733086-4CD6-4E2F-9EE8-7501B589EFFE}" uniqueName="7" name="Tipo de Gasto 1" queryTableFieldId="7" dataDxfId="5"/>
    <tableColumn id="8" xr3:uid="{1E4B49D4-9529-4B94-BCD9-469754DA6F8A}" uniqueName="8" name="Tipo de Gasto 2" queryTableFieldId="8" dataDxfId="4"/>
    <tableColumn id="9" xr3:uid="{85C3B061-4F8B-4233-B7CE-484DBDBF0C8E}" uniqueName="9" name="lista_etapas" queryTableFieldId="11"/>
    <tableColumn id="12" xr3:uid="{E71078A5-AF25-4013-BB33-18405228A237}" uniqueName="12" name="etapa_pura" queryTableFieldId="13"/>
    <tableColumn id="10" xr3:uid="{03E7358B-BEFA-4603-B389-E25604DF1941}" uniqueName="10" name="Column1" queryTableFieldId="10" dataDxfId="3">
      <calculatedColumnFormula array="1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9A507E-1B8E-4183-A1B7-BB915A0281CD}" name="cco_lote" displayName="cco_lote" ref="A1:G20" tableType="queryTable" totalsRowShown="0">
  <autoFilter ref="A1:G20" xr:uid="{DC9A507E-1B8E-4183-A1B7-BB915A0281CD}"/>
  <tableColumns count="7">
    <tableColumn id="4" xr3:uid="{24E6B6DF-97BF-460E-8199-FBF9246083BD}" uniqueName="4" name="id" queryTableFieldId="4" dataDxfId="2"/>
    <tableColumn id="5" xr3:uid="{A7C2CBD8-D7FB-4A3E-B163-F8183A9DCA2F}" uniqueName="5" name="LOTES" queryTableFieldId="5" dataDxfId="1"/>
    <tableColumn id="6" xr3:uid="{317D1ADF-1A2F-427D-84AC-891A029FFF97}" uniqueName="6" name="prc" queryTableFieldId="6" dataDxfId="0"/>
    <tableColumn id="1" xr3:uid="{4006F5FF-A020-4933-A3D5-4D51EC326866}" uniqueName="1" name="Column4" queryTableFieldId="7"/>
    <tableColumn id="2" xr3:uid="{CECE8DB6-5C24-4B0B-85FB-112356D30C69}" uniqueName="2" name="Column5" queryTableFieldId="8"/>
    <tableColumn id="3" xr3:uid="{26D8005E-4ACB-4DF7-8208-8EB36F818A4E}" uniqueName="3" name="Column6" queryTableFieldId="9"/>
    <tableColumn id="7" xr3:uid="{E5D4CD52-9B31-49F8-AAA2-EB9A6E88D07B}" uniqueName="7" name="Column7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6-01-05T17:22:02.49" personId="{6B942474-213E-4785-9D0D-7FE46450C029}" id="{12F9B16C-0E74-4C78-85DA-0BFE20FFBB9E}">
    <text xml:space="preserve">Por ej 1925
</text>
  </threadedComment>
  <threadedComment ref="K14" dT="2026-01-05T17:22:02.49" personId="{6B942474-213E-4785-9D0D-7FE46450C029}" id="{50AB8FEF-18ED-4539-B9A4-0DB8DD8D4CD2}">
    <text xml:space="preserve">Por ej 1925
</text>
  </threadedComment>
  <threadedComment ref="K26" dT="2026-01-05T17:22:02.49" personId="{6B942474-213E-4785-9D0D-7FE46450C029}" id="{7030D5C5-ED4E-4C4E-B293-7809352C37F0}">
    <text xml:space="preserve">Por ej 1925
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1D5C-92CE-43FB-8985-10A81F7732D0}">
  <dimension ref="A1:G3"/>
  <sheetViews>
    <sheetView workbookViewId="0">
      <selection activeCell="F5" sqref="F5"/>
    </sheetView>
  </sheetViews>
  <sheetFormatPr baseColWidth="10" defaultColWidth="8.88671875" defaultRowHeight="14.4" x14ac:dyDescent="0.3"/>
  <cols>
    <col min="1" max="1" width="13" bestFit="1" customWidth="1"/>
    <col min="3" max="3" width="15.109375" customWidth="1"/>
    <col min="4" max="4" width="13.88671875" customWidth="1"/>
    <col min="6" max="6" width="16.88671875" customWidth="1"/>
    <col min="7" max="7" width="10.33203125" bestFit="1" customWidth="1"/>
  </cols>
  <sheetData>
    <row r="1" spans="1:7" x14ac:dyDescent="0.3">
      <c r="A1" t="s">
        <v>345</v>
      </c>
      <c r="B1" s="109" t="s">
        <v>346</v>
      </c>
      <c r="C1" s="109" t="s">
        <v>347</v>
      </c>
      <c r="D1" s="52" t="s">
        <v>348</v>
      </c>
      <c r="E1" t="s">
        <v>349</v>
      </c>
      <c r="F1" t="s">
        <v>350</v>
      </c>
      <c r="G1" s="5" t="s">
        <v>223</v>
      </c>
    </row>
    <row r="2" spans="1:7" x14ac:dyDescent="0.3">
      <c r="A2" t="s">
        <v>351</v>
      </c>
      <c r="B2" s="110">
        <v>1399</v>
      </c>
      <c r="C2" s="124">
        <v>121.2</v>
      </c>
      <c r="D2" s="111">
        <v>2446.4865640010498</v>
      </c>
      <c r="E2" s="112">
        <v>2626.3033264551268</v>
      </c>
      <c r="F2" s="113">
        <f>B2*C2*E2</f>
        <v>445312840.46973962</v>
      </c>
      <c r="G2" s="5">
        <v>46173</v>
      </c>
    </row>
    <row r="3" spans="1:7" x14ac:dyDescent="0.3">
      <c r="A3" t="s">
        <v>352</v>
      </c>
      <c r="B3" s="110">
        <v>15</v>
      </c>
      <c r="C3" s="124">
        <v>240.4</v>
      </c>
      <c r="D3" s="111">
        <v>1575</v>
      </c>
      <c r="E3" s="112">
        <v>1690.76</v>
      </c>
      <c r="F3" s="113">
        <f>B3*C3*E3</f>
        <v>6096880.5599999996</v>
      </c>
      <c r="G3" s="5">
        <v>46173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D3D9-6B2D-4D85-B8B9-A45BE6B5B232}">
  <dimension ref="A1:K5"/>
  <sheetViews>
    <sheetView tabSelected="1" topLeftCell="C1" zoomScaleNormal="100" workbookViewId="0">
      <selection activeCell="E9" sqref="E9"/>
    </sheetView>
  </sheetViews>
  <sheetFormatPr baseColWidth="10" defaultColWidth="8.88671875" defaultRowHeight="14.4" x14ac:dyDescent="0.3"/>
  <cols>
    <col min="1" max="1" width="0" hidden="1" customWidth="1"/>
    <col min="2" max="2" width="16.109375" hidden="1" customWidth="1"/>
    <col min="3" max="3" width="33.88671875" customWidth="1"/>
    <col min="4" max="4" width="25.109375" customWidth="1"/>
    <col min="5" max="5" width="30.6640625" customWidth="1"/>
    <col min="7" max="7" width="0" hidden="1" customWidth="1"/>
    <col min="8" max="11" width="9.109375" hidden="1" customWidth="1"/>
    <col min="12" max="12" width="0" hidden="1" customWidth="1"/>
  </cols>
  <sheetData>
    <row r="1" spans="1:11" x14ac:dyDescent="0.3">
      <c r="A1" s="114" t="s">
        <v>2</v>
      </c>
      <c r="B1" s="121" t="s">
        <v>3</v>
      </c>
      <c r="C1" s="114" t="s">
        <v>4</v>
      </c>
      <c r="D1" s="116" t="s">
        <v>5</v>
      </c>
      <c r="E1" s="114" t="s">
        <v>6</v>
      </c>
      <c r="F1" s="114" t="s">
        <v>7</v>
      </c>
      <c r="G1" s="114" t="s">
        <v>8</v>
      </c>
      <c r="H1" s="114" t="s">
        <v>9</v>
      </c>
      <c r="I1" s="114" t="s">
        <v>10</v>
      </c>
      <c r="J1" s="114" t="s">
        <v>11</v>
      </c>
      <c r="K1" s="115" t="s">
        <v>12</v>
      </c>
    </row>
    <row r="2" spans="1:11" x14ac:dyDescent="0.3">
      <c r="A2" t="s">
        <v>353</v>
      </c>
      <c r="B2" s="122">
        <v>-25737687.625</v>
      </c>
      <c r="C2" t="s">
        <v>354</v>
      </c>
      <c r="D2" s="119">
        <v>502900</v>
      </c>
      <c r="E2" s="120">
        <v>47</v>
      </c>
      <c r="F2" t="s">
        <v>256</v>
      </c>
      <c r="G2" t="s">
        <v>355</v>
      </c>
      <c r="H2" t="s">
        <v>15</v>
      </c>
      <c r="I2" t="s">
        <v>356</v>
      </c>
      <c r="J2" t="s">
        <v>357</v>
      </c>
    </row>
    <row r="3" spans="1:11" x14ac:dyDescent="0.3">
      <c r="A3" t="s">
        <v>358</v>
      </c>
      <c r="B3" s="122">
        <v>-205058386</v>
      </c>
      <c r="C3" t="s">
        <v>359</v>
      </c>
      <c r="D3" s="119">
        <v>510925</v>
      </c>
      <c r="E3" s="123">
        <v>395.28866349443723</v>
      </c>
      <c r="F3" t="s">
        <v>256</v>
      </c>
      <c r="G3" t="s">
        <v>355</v>
      </c>
      <c r="H3" t="s">
        <v>15</v>
      </c>
      <c r="I3" t="s">
        <v>356</v>
      </c>
      <c r="J3" t="s">
        <v>357</v>
      </c>
    </row>
    <row r="4" spans="1:11" x14ac:dyDescent="0.3">
      <c r="A4" t="s">
        <v>360</v>
      </c>
      <c r="B4" s="122">
        <v>-463680</v>
      </c>
      <c r="C4" t="s">
        <v>361</v>
      </c>
      <c r="D4" s="119">
        <v>14210</v>
      </c>
      <c r="E4" s="120">
        <v>28.8</v>
      </c>
      <c r="F4" t="s">
        <v>256</v>
      </c>
      <c r="G4" t="s">
        <v>355</v>
      </c>
      <c r="H4" t="s">
        <v>15</v>
      </c>
      <c r="I4" t="s">
        <v>15</v>
      </c>
      <c r="J4" t="s">
        <v>356</v>
      </c>
    </row>
    <row r="5" spans="1:11" hidden="1" x14ac:dyDescent="0.3">
      <c r="A5" t="s">
        <v>362</v>
      </c>
      <c r="B5" s="122">
        <v>-48937777</v>
      </c>
      <c r="C5" t="s">
        <v>363</v>
      </c>
      <c r="D5" s="117">
        <v>20</v>
      </c>
      <c r="E5" s="118">
        <v>48937777</v>
      </c>
      <c r="F5" t="s">
        <v>364</v>
      </c>
      <c r="G5" t="s">
        <v>365</v>
      </c>
      <c r="H5" t="s">
        <v>15</v>
      </c>
      <c r="I5" t="s">
        <v>15</v>
      </c>
      <c r="J5" t="s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2710-AA7C-481D-A064-FED1BE0C6B2B}">
  <dimension ref="A1:K19"/>
  <sheetViews>
    <sheetView workbookViewId="0">
      <pane ySplit="1" topLeftCell="A2" activePane="bottomLeft" state="frozen"/>
      <selection pane="bottomLeft" activeCell="K3" sqref="K3"/>
    </sheetView>
  </sheetViews>
  <sheetFormatPr baseColWidth="10" defaultColWidth="8.88671875" defaultRowHeight="14.4" x14ac:dyDescent="0.3"/>
  <cols>
    <col min="2" max="4" width="24" customWidth="1"/>
    <col min="5" max="6" width="14.33203125" customWidth="1"/>
    <col min="8" max="8" width="14.44140625" bestFit="1" customWidth="1"/>
    <col min="9" max="9" width="13.109375" customWidth="1"/>
    <col min="10" max="10" width="13.33203125" customWidth="1"/>
  </cols>
  <sheetData>
    <row r="1" spans="1:11" x14ac:dyDescent="0.3">
      <c r="A1" s="61" t="s">
        <v>235</v>
      </c>
      <c r="B1" s="61" t="s">
        <v>236</v>
      </c>
      <c r="C1" s="61" t="s">
        <v>237</v>
      </c>
      <c r="D1" s="61" t="s">
        <v>238</v>
      </c>
      <c r="E1" s="61" t="s">
        <v>239</v>
      </c>
      <c r="F1" s="61" t="s">
        <v>240</v>
      </c>
      <c r="G1" s="61" t="s">
        <v>241</v>
      </c>
      <c r="H1" s="61" t="s">
        <v>242</v>
      </c>
      <c r="I1" s="61" t="s">
        <v>243</v>
      </c>
      <c r="J1" s="61" t="s">
        <v>244</v>
      </c>
      <c r="K1" s="61" t="s">
        <v>245</v>
      </c>
    </row>
    <row r="2" spans="1:11" x14ac:dyDescent="0.3">
      <c r="A2" s="30" t="s">
        <v>249</v>
      </c>
      <c r="B2" s="30" t="s">
        <v>250</v>
      </c>
      <c r="C2" s="30"/>
      <c r="D2" s="30" t="s">
        <v>239</v>
      </c>
      <c r="E2" s="60">
        <v>1500</v>
      </c>
      <c r="F2" s="30"/>
      <c r="G2" s="30" t="s">
        <v>251</v>
      </c>
      <c r="H2" s="59">
        <v>46203</v>
      </c>
      <c r="I2" s="30" t="s">
        <v>252</v>
      </c>
      <c r="J2" s="30" t="s">
        <v>253</v>
      </c>
      <c r="K2" s="30"/>
    </row>
    <row r="3" spans="1:11" x14ac:dyDescent="0.3">
      <c r="A3" s="30" t="s">
        <v>254</v>
      </c>
      <c r="B3" s="30" t="s">
        <v>255</v>
      </c>
      <c r="C3" s="30"/>
      <c r="D3" s="30" t="s">
        <v>256</v>
      </c>
      <c r="E3" s="26">
        <v>47</v>
      </c>
      <c r="F3" s="30"/>
      <c r="G3" s="30" t="s">
        <v>257</v>
      </c>
      <c r="H3" s="59">
        <f>H2</f>
        <v>46203</v>
      </c>
      <c r="I3" s="30"/>
      <c r="J3" s="30" t="s">
        <v>253</v>
      </c>
      <c r="K3" s="30">
        <v>0.105</v>
      </c>
    </row>
    <row r="4" spans="1:11" x14ac:dyDescent="0.3">
      <c r="A4" s="30" t="s">
        <v>258</v>
      </c>
      <c r="B4" s="30" t="s">
        <v>259</v>
      </c>
      <c r="C4" s="30"/>
      <c r="D4" s="30" t="s">
        <v>256</v>
      </c>
      <c r="E4" s="26">
        <v>28.8</v>
      </c>
      <c r="F4" s="30"/>
      <c r="G4" s="30" t="s">
        <v>257</v>
      </c>
      <c r="H4" s="59">
        <f t="shared" ref="H4:H19" si="0">H3</f>
        <v>46203</v>
      </c>
      <c r="I4" s="30"/>
      <c r="J4" s="30" t="s">
        <v>253</v>
      </c>
      <c r="K4" s="30">
        <v>0.21</v>
      </c>
    </row>
    <row r="5" spans="1:11" x14ac:dyDescent="0.3">
      <c r="A5" s="30" t="s">
        <v>260</v>
      </c>
      <c r="B5" s="30" t="s">
        <v>261</v>
      </c>
      <c r="C5" s="30"/>
      <c r="D5" s="30" t="s">
        <v>256</v>
      </c>
      <c r="E5" s="26">
        <v>265</v>
      </c>
      <c r="F5" s="30"/>
      <c r="G5" s="30" t="s">
        <v>262</v>
      </c>
      <c r="H5" s="59">
        <f t="shared" si="0"/>
        <v>46203</v>
      </c>
      <c r="I5" s="30"/>
      <c r="J5" s="30" t="s">
        <v>253</v>
      </c>
      <c r="K5" s="30">
        <v>0</v>
      </c>
    </row>
    <row r="6" spans="1:11" x14ac:dyDescent="0.3">
      <c r="A6" s="30" t="s">
        <v>263</v>
      </c>
      <c r="B6" s="30" t="s">
        <v>264</v>
      </c>
      <c r="C6" s="30"/>
      <c r="D6" s="30" t="s">
        <v>256</v>
      </c>
      <c r="E6" s="26">
        <v>427.5</v>
      </c>
      <c r="F6" s="30"/>
      <c r="G6" s="30" t="s">
        <v>265</v>
      </c>
      <c r="H6" s="59">
        <f t="shared" si="0"/>
        <v>46203</v>
      </c>
      <c r="I6" s="30"/>
      <c r="J6" s="30" t="s">
        <v>253</v>
      </c>
      <c r="K6" s="30">
        <v>0</v>
      </c>
    </row>
    <row r="7" spans="1:11" x14ac:dyDescent="0.3">
      <c r="A7" s="30" t="s">
        <v>266</v>
      </c>
      <c r="B7" s="30" t="s">
        <v>267</v>
      </c>
      <c r="C7" s="30"/>
      <c r="D7" s="30" t="s">
        <v>256</v>
      </c>
      <c r="E7" s="26">
        <v>220</v>
      </c>
      <c r="F7" s="30"/>
      <c r="G7" s="30" t="s">
        <v>257</v>
      </c>
      <c r="H7" s="59">
        <f t="shared" si="0"/>
        <v>46203</v>
      </c>
      <c r="I7" s="30"/>
      <c r="J7" s="30" t="s">
        <v>253</v>
      </c>
      <c r="K7" s="30">
        <v>0</v>
      </c>
    </row>
    <row r="8" spans="1:11" x14ac:dyDescent="0.3">
      <c r="A8" s="30" t="s">
        <v>268</v>
      </c>
      <c r="B8" s="30" t="s">
        <v>269</v>
      </c>
      <c r="C8" s="30"/>
      <c r="D8" s="30" t="s">
        <v>256</v>
      </c>
      <c r="E8" s="26">
        <v>265</v>
      </c>
      <c r="F8" s="30"/>
      <c r="G8" s="30" t="s">
        <v>257</v>
      </c>
      <c r="H8" s="59">
        <f t="shared" si="0"/>
        <v>46203</v>
      </c>
      <c r="I8" s="30"/>
      <c r="J8" s="30" t="s">
        <v>253</v>
      </c>
      <c r="K8" s="30">
        <v>0</v>
      </c>
    </row>
    <row r="9" spans="1:11" x14ac:dyDescent="0.3">
      <c r="A9" s="30" t="s">
        <v>270</v>
      </c>
      <c r="B9" s="30" t="s">
        <v>271</v>
      </c>
      <c r="C9" s="30"/>
      <c r="D9" s="30" t="s">
        <v>256</v>
      </c>
      <c r="E9" s="30"/>
      <c r="F9" s="26">
        <v>0.93</v>
      </c>
      <c r="G9" s="30" t="s">
        <v>272</v>
      </c>
      <c r="H9" s="59">
        <f t="shared" si="0"/>
        <v>46203</v>
      </c>
      <c r="I9" s="30"/>
      <c r="J9" s="30" t="s">
        <v>253</v>
      </c>
      <c r="K9" s="30">
        <v>0.21</v>
      </c>
    </row>
    <row r="10" spans="1:11" x14ac:dyDescent="0.3">
      <c r="A10" s="30" t="s">
        <v>273</v>
      </c>
      <c r="B10" s="30" t="s">
        <v>274</v>
      </c>
      <c r="C10" s="30"/>
      <c r="D10" s="30" t="s">
        <v>256</v>
      </c>
      <c r="E10" s="30"/>
      <c r="F10" s="26">
        <v>5.9</v>
      </c>
      <c r="G10" s="30" t="s">
        <v>272</v>
      </c>
      <c r="H10" s="59">
        <f t="shared" si="0"/>
        <v>46203</v>
      </c>
      <c r="I10" s="30"/>
      <c r="J10" s="30" t="s">
        <v>253</v>
      </c>
      <c r="K10" s="30">
        <v>0.21</v>
      </c>
    </row>
    <row r="11" spans="1:11" x14ac:dyDescent="0.3">
      <c r="A11" s="30" t="s">
        <v>275</v>
      </c>
      <c r="B11" s="30" t="s">
        <v>276</v>
      </c>
      <c r="C11" s="30"/>
      <c r="D11" s="30" t="s">
        <v>256</v>
      </c>
      <c r="E11" s="30"/>
      <c r="F11" s="26">
        <v>1.84</v>
      </c>
      <c r="G11" s="30" t="s">
        <v>272</v>
      </c>
      <c r="H11" s="59">
        <f t="shared" si="0"/>
        <v>46203</v>
      </c>
      <c r="I11" s="30"/>
      <c r="J11" s="30" t="s">
        <v>253</v>
      </c>
      <c r="K11" s="30">
        <v>0.21</v>
      </c>
    </row>
    <row r="12" spans="1:11" x14ac:dyDescent="0.3">
      <c r="A12" s="30" t="s">
        <v>277</v>
      </c>
      <c r="B12" s="30" t="s">
        <v>278</v>
      </c>
      <c r="C12" s="30"/>
      <c r="D12" s="30" t="s">
        <v>256</v>
      </c>
      <c r="E12" s="30"/>
      <c r="F12" s="26">
        <v>2.34</v>
      </c>
      <c r="G12" s="30" t="s">
        <v>272</v>
      </c>
      <c r="H12" s="59">
        <f t="shared" si="0"/>
        <v>46203</v>
      </c>
      <c r="I12" s="30"/>
      <c r="J12" s="30" t="s">
        <v>253</v>
      </c>
      <c r="K12" s="30">
        <v>0.21</v>
      </c>
    </row>
    <row r="13" spans="1:11" x14ac:dyDescent="0.3">
      <c r="A13" s="30" t="s">
        <v>279</v>
      </c>
      <c r="B13" s="30" t="s">
        <v>280</v>
      </c>
      <c r="C13" s="30"/>
      <c r="D13" s="30" t="s">
        <v>256</v>
      </c>
      <c r="E13" s="30"/>
      <c r="F13" s="26">
        <v>1.51</v>
      </c>
      <c r="G13" s="30" t="s">
        <v>272</v>
      </c>
      <c r="H13" s="59">
        <f t="shared" si="0"/>
        <v>46203</v>
      </c>
      <c r="I13" s="30"/>
      <c r="J13" s="30" t="s">
        <v>253</v>
      </c>
      <c r="K13" s="30">
        <v>0.21</v>
      </c>
    </row>
    <row r="14" spans="1:11" x14ac:dyDescent="0.3">
      <c r="A14" s="30" t="s">
        <v>281</v>
      </c>
      <c r="B14" s="30" t="s">
        <v>282</v>
      </c>
      <c r="C14" s="30"/>
      <c r="D14" s="30" t="s">
        <v>256</v>
      </c>
      <c r="E14" s="30"/>
      <c r="F14" s="26">
        <v>1.64</v>
      </c>
      <c r="G14" s="30" t="s">
        <v>272</v>
      </c>
      <c r="H14" s="59">
        <f t="shared" si="0"/>
        <v>46203</v>
      </c>
      <c r="I14" s="30"/>
      <c r="J14" s="30" t="s">
        <v>253</v>
      </c>
      <c r="K14" s="30">
        <v>0.21</v>
      </c>
    </row>
    <row r="15" spans="1:11" x14ac:dyDescent="0.3">
      <c r="A15" s="30" t="s">
        <v>283</v>
      </c>
      <c r="B15" s="30" t="s">
        <v>284</v>
      </c>
      <c r="C15" s="30"/>
      <c r="D15" s="30" t="s">
        <v>256</v>
      </c>
      <c r="E15" s="30"/>
      <c r="F15" s="26">
        <v>1.26</v>
      </c>
      <c r="G15" s="30" t="s">
        <v>272</v>
      </c>
      <c r="H15" s="59">
        <f t="shared" si="0"/>
        <v>46203</v>
      </c>
      <c r="I15" s="30"/>
      <c r="J15" s="30" t="s">
        <v>253</v>
      </c>
      <c r="K15" s="30">
        <v>0.21</v>
      </c>
    </row>
    <row r="16" spans="1:11" x14ac:dyDescent="0.3">
      <c r="A16" s="30" t="s">
        <v>229</v>
      </c>
      <c r="B16" s="30" t="s">
        <v>285</v>
      </c>
      <c r="C16" s="30"/>
      <c r="D16" s="30" t="s">
        <v>256</v>
      </c>
      <c r="E16" s="30"/>
      <c r="F16" s="26">
        <v>1.46</v>
      </c>
      <c r="G16" s="30" t="s">
        <v>272</v>
      </c>
      <c r="H16" s="59">
        <f t="shared" si="0"/>
        <v>46203</v>
      </c>
      <c r="I16" s="30"/>
      <c r="J16" s="30" t="s">
        <v>253</v>
      </c>
      <c r="K16" s="30">
        <v>0.21</v>
      </c>
    </row>
    <row r="17" spans="1:11" x14ac:dyDescent="0.3">
      <c r="A17" s="30" t="s">
        <v>230</v>
      </c>
      <c r="B17" s="30" t="s">
        <v>286</v>
      </c>
      <c r="C17" s="30"/>
      <c r="D17" s="30" t="s">
        <v>256</v>
      </c>
      <c r="E17" s="30"/>
      <c r="F17" s="26">
        <v>1.44</v>
      </c>
      <c r="G17" s="30" t="s">
        <v>272</v>
      </c>
      <c r="H17" s="59">
        <f t="shared" si="0"/>
        <v>46203</v>
      </c>
      <c r="I17" s="30"/>
      <c r="J17" s="30" t="s">
        <v>253</v>
      </c>
      <c r="K17" s="30">
        <v>0.21</v>
      </c>
    </row>
    <row r="18" spans="1:11" ht="15" thickBot="1" x14ac:dyDescent="0.35">
      <c r="A18" s="30" t="s">
        <v>231</v>
      </c>
      <c r="B18" s="30" t="s">
        <v>287</v>
      </c>
      <c r="C18" s="30"/>
      <c r="D18" s="30" t="s">
        <v>256</v>
      </c>
      <c r="E18" s="30"/>
      <c r="F18" s="26">
        <v>1.1599999999999999</v>
      </c>
      <c r="G18" s="30" t="s">
        <v>272</v>
      </c>
      <c r="H18" s="59">
        <f t="shared" si="0"/>
        <v>46203</v>
      </c>
      <c r="I18" s="30"/>
      <c r="J18" s="30" t="s">
        <v>253</v>
      </c>
      <c r="K18" s="75">
        <v>0.21</v>
      </c>
    </row>
    <row r="19" spans="1:11" ht="29.4" thickBot="1" x14ac:dyDescent="0.35">
      <c r="A19" s="57" t="s">
        <v>344</v>
      </c>
      <c r="B19" s="57" t="s">
        <v>187</v>
      </c>
      <c r="C19" s="57"/>
      <c r="D19" s="57" t="s">
        <v>343</v>
      </c>
      <c r="E19" s="26" t="s">
        <v>367</v>
      </c>
      <c r="F19" s="57"/>
      <c r="G19" s="57"/>
      <c r="H19" s="59">
        <f t="shared" si="0"/>
        <v>46203</v>
      </c>
      <c r="I19" s="58" t="s">
        <v>342</v>
      </c>
      <c r="J19" s="74" t="s">
        <v>341</v>
      </c>
      <c r="K19" s="7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D200-FF99-4649-A6B4-2747A9D2437F}">
  <dimension ref="A1:M54"/>
  <sheetViews>
    <sheetView workbookViewId="0">
      <selection activeCell="K4" sqref="K4"/>
    </sheetView>
  </sheetViews>
  <sheetFormatPr baseColWidth="10" defaultColWidth="8.88671875" defaultRowHeight="14.4" x14ac:dyDescent="0.3"/>
  <cols>
    <col min="1" max="1" width="3" bestFit="1" customWidth="1"/>
    <col min="2" max="2" width="27.33203125" bestFit="1" customWidth="1"/>
    <col min="3" max="3" width="7.109375" style="53" bestFit="1" customWidth="1"/>
    <col min="4" max="4" width="22.44140625" bestFit="1" customWidth="1"/>
    <col min="5" max="5" width="7.6640625" bestFit="1" customWidth="1"/>
    <col min="6" max="6" width="6.44140625" bestFit="1" customWidth="1"/>
    <col min="7" max="7" width="19.5546875" bestFit="1" customWidth="1"/>
    <col min="8" max="8" width="10.33203125" bestFit="1" customWidth="1"/>
    <col min="9" max="9" width="7.5546875" bestFit="1" customWidth="1"/>
    <col min="10" max="10" width="14.33203125" bestFit="1" customWidth="1"/>
    <col min="11" max="11" width="13.109375" bestFit="1" customWidth="1"/>
    <col min="12" max="12" width="12" bestFit="1" customWidth="1"/>
    <col min="13" max="13" width="11" style="52" bestFit="1" customWidth="1"/>
  </cols>
  <sheetData>
    <row r="1" spans="1:13" x14ac:dyDescent="0.3">
      <c r="A1" t="s">
        <v>235</v>
      </c>
      <c r="B1" t="s">
        <v>308</v>
      </c>
      <c r="C1" s="53" t="s">
        <v>21</v>
      </c>
      <c r="D1" t="s">
        <v>99</v>
      </c>
      <c r="E1" t="s">
        <v>226</v>
      </c>
      <c r="F1" t="s">
        <v>307</v>
      </c>
      <c r="G1" t="s">
        <v>306</v>
      </c>
      <c r="H1" t="s">
        <v>305</v>
      </c>
      <c r="I1" t="s">
        <v>304</v>
      </c>
      <c r="J1" t="s">
        <v>303</v>
      </c>
      <c r="K1" t="s">
        <v>302</v>
      </c>
      <c r="L1" t="s">
        <v>301</v>
      </c>
      <c r="M1" s="52" t="s">
        <v>300</v>
      </c>
    </row>
    <row r="2" spans="1:13" ht="18" thickBot="1" x14ac:dyDescent="0.4">
      <c r="A2">
        <v>7</v>
      </c>
      <c r="B2" t="s">
        <v>290</v>
      </c>
      <c r="C2" s="53">
        <v>0.32500000000000001</v>
      </c>
      <c r="D2" t="s">
        <v>299</v>
      </c>
      <c r="E2" t="s">
        <v>228</v>
      </c>
      <c r="F2" t="b">
        <v>1</v>
      </c>
      <c r="G2" s="55">
        <v>46053</v>
      </c>
      <c r="H2" t="s">
        <v>265</v>
      </c>
      <c r="I2" t="s">
        <v>263</v>
      </c>
      <c r="J2" t="str">
        <f t="shared" ref="J2:J33" si="0">"OK"</f>
        <v>OK</v>
      </c>
      <c r="K2" s="54">
        <f>_xlfn.XLOOKUP(formulas_internas[[#This Row],[ID_MAT]],precios_mp_ac!A:A,precios_mp_ac!N:N)</f>
        <v>427.5</v>
      </c>
      <c r="L2">
        <f>formulas_internas[[#This Row],[precios_ars]]*formulas_internas[[#This Row],[prc]]</f>
        <v>138.9375</v>
      </c>
      <c r="M2" s="52">
        <f>SUMIFS(L:L,D:D,formulas_internas[[#This Row],[formula]])</f>
        <v>361.92394999999999</v>
      </c>
    </row>
    <row r="3" spans="1:13" ht="18.600000000000001" thickTop="1" thickBot="1" x14ac:dyDescent="0.4">
      <c r="A3">
        <v>6</v>
      </c>
      <c r="B3" t="s">
        <v>288</v>
      </c>
      <c r="C3" s="53">
        <v>0.64400000000000002</v>
      </c>
      <c r="D3" t="s">
        <v>299</v>
      </c>
      <c r="E3" t="s">
        <v>228</v>
      </c>
      <c r="F3" t="b">
        <v>1</v>
      </c>
      <c r="G3" s="55">
        <v>46053</v>
      </c>
      <c r="H3" t="s">
        <v>262</v>
      </c>
      <c r="I3" t="s">
        <v>260</v>
      </c>
      <c r="J3" t="str">
        <f t="shared" si="0"/>
        <v>OK</v>
      </c>
      <c r="K3" s="54">
        <f>_xlfn.XLOOKUP(formulas_internas[[#This Row],[ID_MAT]],precios_mp_ac!A:A,precios_mp_ac!N:N)</f>
        <v>265</v>
      </c>
      <c r="L3">
        <f>formulas_internas[[#This Row],[precios_ars]]*formulas_internas[[#This Row],[prc]]</f>
        <v>170.66</v>
      </c>
      <c r="M3" s="52">
        <f>SUMIFS(L:L,D:D,formulas_internas[[#This Row],[formula]])</f>
        <v>361.92394999999999</v>
      </c>
    </row>
    <row r="4" spans="1:13" ht="18.600000000000001" thickTop="1" thickBot="1" x14ac:dyDescent="0.4">
      <c r="A4">
        <v>8</v>
      </c>
      <c r="B4" t="s">
        <v>271</v>
      </c>
      <c r="C4" s="53">
        <v>3.1E-2</v>
      </c>
      <c r="D4" t="s">
        <v>299</v>
      </c>
      <c r="E4" t="s">
        <v>228</v>
      </c>
      <c r="F4" t="b">
        <v>1</v>
      </c>
      <c r="G4" s="55">
        <v>46053</v>
      </c>
      <c r="H4" t="s">
        <v>272</v>
      </c>
      <c r="I4" t="s">
        <v>270</v>
      </c>
      <c r="J4" t="str">
        <f t="shared" si="0"/>
        <v>OK</v>
      </c>
      <c r="K4" s="54">
        <f>_xlfn.XLOOKUP(formulas_internas[[#This Row],[ID_MAT]],precios_mp_ac!A:A,precios_mp_ac!N:N)</f>
        <v>1687.95</v>
      </c>
      <c r="L4" s="52">
        <f>formulas_internas[[#This Row],[precios_ars]]*formulas_internas[[#This Row],[prc]]</f>
        <v>52.326450000000001</v>
      </c>
      <c r="M4" s="52">
        <f>SUMIFS(L:L,D:D,formulas_internas[[#This Row],[formula]])</f>
        <v>361.92394999999999</v>
      </c>
    </row>
    <row r="5" spans="1:13" ht="18.600000000000001" thickTop="1" thickBot="1" x14ac:dyDescent="0.4">
      <c r="A5">
        <v>11</v>
      </c>
      <c r="B5" t="s">
        <v>290</v>
      </c>
      <c r="C5" s="53">
        <v>0.35721999999999998</v>
      </c>
      <c r="D5" t="s">
        <v>298</v>
      </c>
      <c r="E5" t="s">
        <v>228</v>
      </c>
      <c r="F5" t="b">
        <v>1</v>
      </c>
      <c r="G5" s="55">
        <v>46053</v>
      </c>
      <c r="H5" t="s">
        <v>265</v>
      </c>
      <c r="I5" t="s">
        <v>263</v>
      </c>
      <c r="J5" t="str">
        <f t="shared" si="0"/>
        <v>OK</v>
      </c>
      <c r="K5" s="54">
        <f>_xlfn.XLOOKUP(formulas_internas[[#This Row],[ID_MAT]],precios_mp_ac!A:A,precios_mp_ac!N:N)</f>
        <v>427.5</v>
      </c>
      <c r="L5">
        <f>formulas_internas[[#This Row],[precios_ars]]*formulas_internas[[#This Row],[prc]]</f>
        <v>152.71154999999999</v>
      </c>
      <c r="M5" s="52">
        <f>SUMIFS(L:L,D:D,formulas_internas[[#This Row],[formula]])</f>
        <v>397.31774999999999</v>
      </c>
    </row>
    <row r="6" spans="1:13" ht="18.600000000000001" thickTop="1" thickBot="1" x14ac:dyDescent="0.4">
      <c r="A6">
        <v>10</v>
      </c>
      <c r="B6" t="s">
        <v>288</v>
      </c>
      <c r="C6" s="53">
        <v>0.61277999999999999</v>
      </c>
      <c r="D6" t="s">
        <v>298</v>
      </c>
      <c r="E6" t="s">
        <v>228</v>
      </c>
      <c r="F6" t="b">
        <v>1</v>
      </c>
      <c r="G6" s="55">
        <v>46053</v>
      </c>
      <c r="H6" t="s">
        <v>262</v>
      </c>
      <c r="I6" t="s">
        <v>260</v>
      </c>
      <c r="J6" t="str">
        <f t="shared" si="0"/>
        <v>OK</v>
      </c>
      <c r="K6" s="54">
        <f>_xlfn.XLOOKUP(formulas_internas[[#This Row],[ID_MAT]],precios_mp_ac!A:A,precios_mp_ac!N:N)</f>
        <v>265</v>
      </c>
      <c r="L6">
        <f>formulas_internas[[#This Row],[precios_ars]]*formulas_internas[[#This Row],[prc]]</f>
        <v>162.38669999999999</v>
      </c>
      <c r="M6" s="52">
        <f>SUMIFS(L:L,D:D,formulas_internas[[#This Row],[formula]])</f>
        <v>397.31774999999999</v>
      </c>
    </row>
    <row r="7" spans="1:13" ht="18.600000000000001" thickTop="1" thickBot="1" x14ac:dyDescent="0.4">
      <c r="A7">
        <v>12</v>
      </c>
      <c r="B7" t="s">
        <v>280</v>
      </c>
      <c r="C7" s="53">
        <v>0.03</v>
      </c>
      <c r="D7" t="s">
        <v>298</v>
      </c>
      <c r="E7" t="s">
        <v>228</v>
      </c>
      <c r="F7" t="b">
        <v>1</v>
      </c>
      <c r="G7" s="55">
        <v>46053</v>
      </c>
      <c r="H7" t="s">
        <v>272</v>
      </c>
      <c r="I7" t="s">
        <v>279</v>
      </c>
      <c r="J7" t="str">
        <f t="shared" si="0"/>
        <v>OK</v>
      </c>
      <c r="K7" s="54">
        <f>_xlfn.XLOOKUP(formulas_internas[[#This Row],[ID_MAT]],precios_mp_ac!A:A,precios_mp_ac!N:N)</f>
        <v>2740.65</v>
      </c>
      <c r="L7">
        <f>formulas_internas[[#This Row],[precios_ars]]*formulas_internas[[#This Row],[prc]]</f>
        <v>82.219499999999996</v>
      </c>
      <c r="M7" s="52">
        <f>SUMIFS(L:L,D:D,formulas_internas[[#This Row],[formula]])</f>
        <v>397.31774999999999</v>
      </c>
    </row>
    <row r="8" spans="1:13" ht="18.600000000000001" thickTop="1" thickBot="1" x14ac:dyDescent="0.4">
      <c r="A8">
        <v>14</v>
      </c>
      <c r="B8" t="s">
        <v>290</v>
      </c>
      <c r="C8" s="53">
        <v>0.36768358952097502</v>
      </c>
      <c r="D8" t="s">
        <v>297</v>
      </c>
      <c r="E8" t="s">
        <v>228</v>
      </c>
      <c r="F8" t="b">
        <v>1</v>
      </c>
      <c r="G8" s="55">
        <v>46053</v>
      </c>
      <c r="H8" t="s">
        <v>265</v>
      </c>
      <c r="I8" t="s">
        <v>263</v>
      </c>
      <c r="J8" t="str">
        <f t="shared" si="0"/>
        <v>OK</v>
      </c>
      <c r="K8" s="54">
        <f>_xlfn.XLOOKUP(formulas_internas[[#This Row],[ID_MAT]],precios_mp_ac!A:A,precios_mp_ac!N:N)</f>
        <v>427.5</v>
      </c>
      <c r="L8">
        <f>formulas_internas[[#This Row],[precios_ars]]*formulas_internas[[#This Row],[prc]]</f>
        <v>157.18473452021681</v>
      </c>
      <c r="M8" s="52">
        <f>SUMIFS(L:L,D:D,formulas_internas[[#This Row],[formula]])</f>
        <v>399.0180832971584</v>
      </c>
    </row>
    <row r="9" spans="1:13" ht="18.600000000000001" thickTop="1" thickBot="1" x14ac:dyDescent="0.4">
      <c r="A9">
        <v>13</v>
      </c>
      <c r="B9" t="s">
        <v>288</v>
      </c>
      <c r="C9" s="53">
        <v>0.60231641047902496</v>
      </c>
      <c r="D9" t="s">
        <v>297</v>
      </c>
      <c r="E9" t="s">
        <v>228</v>
      </c>
      <c r="F9" t="b">
        <v>1</v>
      </c>
      <c r="G9" s="55">
        <v>46053</v>
      </c>
      <c r="H9" t="s">
        <v>262</v>
      </c>
      <c r="I9" t="s">
        <v>260</v>
      </c>
      <c r="J9" t="str">
        <f t="shared" si="0"/>
        <v>OK</v>
      </c>
      <c r="K9" s="54">
        <f>_xlfn.XLOOKUP(formulas_internas[[#This Row],[ID_MAT]],precios_mp_ac!A:A,precios_mp_ac!N:N)</f>
        <v>265</v>
      </c>
      <c r="L9">
        <f>formulas_internas[[#This Row],[precios_ars]]*formulas_internas[[#This Row],[prc]]</f>
        <v>159.61384877694161</v>
      </c>
      <c r="M9" s="52">
        <f>SUMIFS(L:L,D:D,formulas_internas[[#This Row],[formula]])</f>
        <v>399.0180832971584</v>
      </c>
    </row>
    <row r="10" spans="1:13" ht="18.600000000000001" thickTop="1" thickBot="1" x14ac:dyDescent="0.4">
      <c r="A10">
        <v>15</v>
      </c>
      <c r="B10" t="s">
        <v>280</v>
      </c>
      <c r="C10" s="53">
        <v>0.03</v>
      </c>
      <c r="D10" t="s">
        <v>297</v>
      </c>
      <c r="E10" t="s">
        <v>228</v>
      </c>
      <c r="F10" t="b">
        <v>1</v>
      </c>
      <c r="G10" s="55">
        <v>46053</v>
      </c>
      <c r="H10" t="s">
        <v>272</v>
      </c>
      <c r="I10" t="s">
        <v>279</v>
      </c>
      <c r="J10" t="str">
        <f t="shared" si="0"/>
        <v>OK</v>
      </c>
      <c r="K10" s="54">
        <f>_xlfn.XLOOKUP(formulas_internas[[#This Row],[ID_MAT]],precios_mp_ac!A:A,precios_mp_ac!N:N)</f>
        <v>2740.65</v>
      </c>
      <c r="L10">
        <f>formulas_internas[[#This Row],[precios_ars]]*formulas_internas[[#This Row],[prc]]</f>
        <v>82.219499999999996</v>
      </c>
      <c r="M10" s="52">
        <f>SUMIFS(L:L,D:D,formulas_internas[[#This Row],[formula]])</f>
        <v>399.0180832971584</v>
      </c>
    </row>
    <row r="11" spans="1:13" ht="18.600000000000001" thickTop="1" thickBot="1" x14ac:dyDescent="0.4">
      <c r="A11">
        <v>22</v>
      </c>
      <c r="B11" t="s">
        <v>289</v>
      </c>
      <c r="C11" s="53">
        <v>0.1</v>
      </c>
      <c r="D11" t="s">
        <v>232</v>
      </c>
      <c r="E11" t="s">
        <v>228</v>
      </c>
      <c r="F11" t="b">
        <v>1</v>
      </c>
      <c r="G11" s="55">
        <v>46053</v>
      </c>
      <c r="H11" t="s">
        <v>257</v>
      </c>
      <c r="I11" t="s">
        <v>268</v>
      </c>
      <c r="J11" t="str">
        <f t="shared" si="0"/>
        <v>OK</v>
      </c>
      <c r="K11" s="54">
        <f>_xlfn.XLOOKUP(formulas_internas[[#This Row],[ID_MAT]],precios_mp_ac!A:A,precios_mp_ac!N:N)</f>
        <v>265</v>
      </c>
      <c r="L11">
        <f>formulas_internas[[#This Row],[precios_ars]]*formulas_internas[[#This Row],[prc]]</f>
        <v>26.5</v>
      </c>
      <c r="M11" s="52">
        <f>SUMIFS(L:L,D:D,formulas_internas[[#This Row],[formula]])</f>
        <v>389.15699999999998</v>
      </c>
    </row>
    <row r="12" spans="1:13" ht="18.600000000000001" thickTop="1" thickBot="1" x14ac:dyDescent="0.4">
      <c r="A12">
        <v>20</v>
      </c>
      <c r="B12" t="s">
        <v>288</v>
      </c>
      <c r="C12" s="53">
        <v>0.56299999999999994</v>
      </c>
      <c r="D12" t="s">
        <v>232</v>
      </c>
      <c r="E12" t="s">
        <v>228</v>
      </c>
      <c r="F12" t="b">
        <v>1</v>
      </c>
      <c r="G12" s="55">
        <v>46053</v>
      </c>
      <c r="H12" t="s">
        <v>262</v>
      </c>
      <c r="I12" t="s">
        <v>260</v>
      </c>
      <c r="J12" t="str">
        <f t="shared" si="0"/>
        <v>OK</v>
      </c>
      <c r="K12" s="54">
        <f>_xlfn.XLOOKUP(formulas_internas[[#This Row],[ID_MAT]],precios_mp_ac!A:A,precios_mp_ac!N:N)</f>
        <v>265</v>
      </c>
      <c r="L12">
        <f>formulas_internas[[#This Row],[precios_ars]]*formulas_internas[[#This Row],[prc]]</f>
        <v>149.19499999999999</v>
      </c>
      <c r="M12" s="52">
        <f>SUMIFS(L:L,D:D,formulas_internas[[#This Row],[formula]])</f>
        <v>389.15699999999998</v>
      </c>
    </row>
    <row r="13" spans="1:13" ht="18.600000000000001" thickTop="1" thickBot="1" x14ac:dyDescent="0.4">
      <c r="A13">
        <v>23</v>
      </c>
      <c r="B13" t="s">
        <v>280</v>
      </c>
      <c r="C13" s="53">
        <v>0.03</v>
      </c>
      <c r="D13" t="s">
        <v>232</v>
      </c>
      <c r="E13" t="s">
        <v>228</v>
      </c>
      <c r="F13" t="b">
        <v>1</v>
      </c>
      <c r="G13" s="55">
        <v>46053</v>
      </c>
      <c r="H13" t="s">
        <v>272</v>
      </c>
      <c r="I13" t="s">
        <v>279</v>
      </c>
      <c r="J13" t="str">
        <f t="shared" si="0"/>
        <v>OK</v>
      </c>
      <c r="K13" s="54">
        <f>_xlfn.XLOOKUP(formulas_internas[[#This Row],[ID_MAT]],precios_mp_ac!A:A,precios_mp_ac!N:N)</f>
        <v>2740.65</v>
      </c>
      <c r="L13">
        <f>formulas_internas[[#This Row],[precios_ars]]*formulas_internas[[#This Row],[prc]]</f>
        <v>82.219499999999996</v>
      </c>
      <c r="M13" s="52">
        <f>SUMIFS(L:L,D:D,formulas_internas[[#This Row],[formula]])</f>
        <v>389.15699999999998</v>
      </c>
    </row>
    <row r="14" spans="1:13" ht="18.600000000000001" thickTop="1" thickBot="1" x14ac:dyDescent="0.4">
      <c r="A14">
        <v>23</v>
      </c>
      <c r="B14" t="s">
        <v>290</v>
      </c>
      <c r="C14" s="53">
        <v>0.307</v>
      </c>
      <c r="D14" t="s">
        <v>232</v>
      </c>
      <c r="E14" t="s">
        <v>228</v>
      </c>
      <c r="F14" t="b">
        <v>1</v>
      </c>
      <c r="G14" s="55">
        <v>46053</v>
      </c>
      <c r="H14" t="s">
        <v>265</v>
      </c>
      <c r="I14" t="s">
        <v>263</v>
      </c>
      <c r="J14" t="str">
        <f t="shared" si="0"/>
        <v>OK</v>
      </c>
      <c r="K14" s="54">
        <f>_xlfn.XLOOKUP(formulas_internas[[#This Row],[ID_MAT]],precios_mp_ac!A:A,precios_mp_ac!N:N)</f>
        <v>427.5</v>
      </c>
      <c r="L14">
        <f>formulas_internas[[#This Row],[precios_ars]]*formulas_internas[[#This Row],[prc]]</f>
        <v>131.24250000000001</v>
      </c>
      <c r="M14" s="52">
        <f>SUMIFS(L:L,D:D,formulas_internas[[#This Row],[formula]])</f>
        <v>389.15699999999998</v>
      </c>
    </row>
    <row r="15" spans="1:13" ht="18.600000000000001" thickTop="1" thickBot="1" x14ac:dyDescent="0.4">
      <c r="A15">
        <v>50</v>
      </c>
      <c r="B15" t="s">
        <v>290</v>
      </c>
      <c r="C15" s="53">
        <v>0.35397000000000001</v>
      </c>
      <c r="D15" t="s">
        <v>212</v>
      </c>
      <c r="E15" t="s">
        <v>228</v>
      </c>
      <c r="F15" t="b">
        <v>1</v>
      </c>
      <c r="G15" s="55">
        <v>46053</v>
      </c>
      <c r="H15" t="s">
        <v>265</v>
      </c>
      <c r="I15" t="s">
        <v>263</v>
      </c>
      <c r="J15" t="str">
        <f t="shared" si="0"/>
        <v>OK</v>
      </c>
      <c r="K15" s="54">
        <f>_xlfn.XLOOKUP(formulas_internas[[#This Row],[ID_MAT]],precios_mp_ac!A:A,precios_mp_ac!N:N)</f>
        <v>427.5</v>
      </c>
      <c r="L15">
        <f>formulas_internas[[#This Row],[precios_ars]]*formulas_internas[[#This Row],[prc]]</f>
        <v>151.32217500000002</v>
      </c>
      <c r="M15" s="52">
        <f>SUMIFS(L:L,D:D,formulas_internas[[#This Row],[formula]])</f>
        <v>561.44612499999994</v>
      </c>
    </row>
    <row r="16" spans="1:13" ht="18.600000000000001" thickTop="1" thickBot="1" x14ac:dyDescent="0.4">
      <c r="A16">
        <v>49</v>
      </c>
      <c r="B16" t="s">
        <v>288</v>
      </c>
      <c r="C16" s="53">
        <v>0.58603000000000005</v>
      </c>
      <c r="D16" t="s">
        <v>212</v>
      </c>
      <c r="E16" t="s">
        <v>228</v>
      </c>
      <c r="F16" t="b">
        <v>1</v>
      </c>
      <c r="G16" s="55">
        <v>46053</v>
      </c>
      <c r="H16" t="s">
        <v>262</v>
      </c>
      <c r="I16" t="s">
        <v>260</v>
      </c>
      <c r="J16" t="str">
        <f t="shared" si="0"/>
        <v>OK</v>
      </c>
      <c r="K16" s="54">
        <f>_xlfn.XLOOKUP(formulas_internas[[#This Row],[ID_MAT]],precios_mp_ac!A:A,precios_mp_ac!N:N)</f>
        <v>265</v>
      </c>
      <c r="L16">
        <f>formulas_internas[[#This Row],[precios_ars]]*formulas_internas[[#This Row],[prc]]</f>
        <v>155.29795000000001</v>
      </c>
      <c r="M16" s="52">
        <f>SUMIFS(L:L,D:D,formulas_internas[[#This Row],[formula]])</f>
        <v>561.44612499999994</v>
      </c>
    </row>
    <row r="17" spans="1:13" ht="18.600000000000001" thickTop="1" thickBot="1" x14ac:dyDescent="0.4">
      <c r="A17">
        <v>51</v>
      </c>
      <c r="B17" t="s">
        <v>278</v>
      </c>
      <c r="C17" s="53">
        <v>0.06</v>
      </c>
      <c r="D17" t="s">
        <v>212</v>
      </c>
      <c r="E17" t="s">
        <v>228</v>
      </c>
      <c r="F17" t="b">
        <v>1</v>
      </c>
      <c r="G17" s="55">
        <v>46053</v>
      </c>
      <c r="H17" t="s">
        <v>272</v>
      </c>
      <c r="I17" t="s">
        <v>277</v>
      </c>
      <c r="J17" t="str">
        <f t="shared" si="0"/>
        <v>OK</v>
      </c>
      <c r="K17" s="54">
        <f>_xlfn.XLOOKUP(formulas_internas[[#This Row],[ID_MAT]],precios_mp_ac!A:A,precios_mp_ac!N:N)</f>
        <v>4247.0999999999995</v>
      </c>
      <c r="L17">
        <f>formulas_internas[[#This Row],[precios_ars]]*formulas_internas[[#This Row],[prc]]</f>
        <v>254.82599999999996</v>
      </c>
      <c r="M17" s="52">
        <f>SUMIFS(L:L,D:D,formulas_internas[[#This Row],[formula]])</f>
        <v>561.44612499999994</v>
      </c>
    </row>
    <row r="18" spans="1:13" ht="18.600000000000001" thickTop="1" thickBot="1" x14ac:dyDescent="0.4">
      <c r="A18">
        <v>30</v>
      </c>
      <c r="B18" t="s">
        <v>290</v>
      </c>
      <c r="C18" s="53">
        <v>0.28952</v>
      </c>
      <c r="D18" t="s">
        <v>211</v>
      </c>
      <c r="E18" t="s">
        <v>228</v>
      </c>
      <c r="F18" t="b">
        <v>1</v>
      </c>
      <c r="G18" s="55">
        <v>46053</v>
      </c>
      <c r="H18" t="s">
        <v>265</v>
      </c>
      <c r="I18" t="s">
        <v>263</v>
      </c>
      <c r="J18" t="str">
        <f t="shared" si="0"/>
        <v>OK</v>
      </c>
      <c r="K18" s="54">
        <f>_xlfn.XLOOKUP(formulas_internas[[#This Row],[ID_MAT]],precios_mp_ac!A:A,precios_mp_ac!N:N)</f>
        <v>427.5</v>
      </c>
      <c r="L18">
        <f>formulas_internas[[#This Row],[precios_ars]]*formulas_internas[[#This Row],[prc]]</f>
        <v>123.7698</v>
      </c>
      <c r="M18" s="52">
        <f>SUMIFS(L:L,D:D,formulas_internas[[#This Row],[formula]])</f>
        <v>773.23699999999997</v>
      </c>
    </row>
    <row r="19" spans="1:13" ht="18.600000000000001" thickTop="1" thickBot="1" x14ac:dyDescent="0.4">
      <c r="A19">
        <v>29</v>
      </c>
      <c r="B19" t="s">
        <v>288</v>
      </c>
      <c r="C19" s="53">
        <v>0.56047999999999998</v>
      </c>
      <c r="D19" t="s">
        <v>211</v>
      </c>
      <c r="E19" t="s">
        <v>228</v>
      </c>
      <c r="F19" t="b">
        <v>1</v>
      </c>
      <c r="G19" s="55">
        <v>46053</v>
      </c>
      <c r="H19" t="s">
        <v>262</v>
      </c>
      <c r="I19" t="s">
        <v>260</v>
      </c>
      <c r="J19" t="str">
        <f t="shared" si="0"/>
        <v>OK</v>
      </c>
      <c r="K19" s="54">
        <f>_xlfn.XLOOKUP(formulas_internas[[#This Row],[ID_MAT]],precios_mp_ac!A:A,precios_mp_ac!N:N)</f>
        <v>265</v>
      </c>
      <c r="L19">
        <f>formulas_internas[[#This Row],[precios_ars]]*formulas_internas[[#This Row],[prc]]</f>
        <v>148.52719999999999</v>
      </c>
      <c r="M19" s="52">
        <f>SUMIFS(L:L,D:D,formulas_internas[[#This Row],[formula]])</f>
        <v>773.23699999999997</v>
      </c>
    </row>
    <row r="20" spans="1:13" ht="18.600000000000001" thickTop="1" thickBot="1" x14ac:dyDescent="0.4">
      <c r="A20">
        <v>31</v>
      </c>
      <c r="B20" t="s">
        <v>276</v>
      </c>
      <c r="C20" s="53">
        <v>0.15</v>
      </c>
      <c r="D20" t="s">
        <v>211</v>
      </c>
      <c r="E20" t="s">
        <v>228</v>
      </c>
      <c r="F20" t="b">
        <v>1</v>
      </c>
      <c r="G20" s="55">
        <v>46053</v>
      </c>
      <c r="H20" t="s">
        <v>272</v>
      </c>
      <c r="I20" t="s">
        <v>275</v>
      </c>
      <c r="J20" t="str">
        <f t="shared" si="0"/>
        <v>OK</v>
      </c>
      <c r="K20" s="54">
        <f>_xlfn.XLOOKUP(formulas_internas[[#This Row],[ID_MAT]],precios_mp_ac!A:A,precios_mp_ac!N:N)</f>
        <v>3339.6</v>
      </c>
      <c r="L20">
        <f>formulas_internas[[#This Row],[precios_ars]]*formulas_internas[[#This Row],[prc]]</f>
        <v>500.93999999999994</v>
      </c>
      <c r="M20" s="52">
        <f>SUMIFS(L:L,D:D,formulas_internas[[#This Row],[formula]])</f>
        <v>773.23699999999997</v>
      </c>
    </row>
    <row r="21" spans="1:13" ht="18.600000000000001" thickTop="1" thickBot="1" x14ac:dyDescent="0.4">
      <c r="A21">
        <v>2</v>
      </c>
      <c r="B21" t="s">
        <v>296</v>
      </c>
      <c r="C21" s="53">
        <v>0.3</v>
      </c>
      <c r="D21" t="s">
        <v>205</v>
      </c>
      <c r="E21" t="s">
        <v>228</v>
      </c>
      <c r="F21" t="b">
        <v>1</v>
      </c>
      <c r="G21" s="55">
        <v>46053</v>
      </c>
      <c r="H21" t="s">
        <v>257</v>
      </c>
      <c r="I21" t="s">
        <v>266</v>
      </c>
      <c r="J21" t="str">
        <f t="shared" si="0"/>
        <v>OK</v>
      </c>
      <c r="K21" s="54">
        <f>_xlfn.XLOOKUP(formulas_internas[[#This Row],[ID_MAT]],precios_mp_ac!A:A,precios_mp_ac!N:N)</f>
        <v>220</v>
      </c>
      <c r="L21">
        <f>formulas_internas[[#This Row],[precios_ars]]*formulas_internas[[#This Row],[prc]]</f>
        <v>66</v>
      </c>
      <c r="M21" s="52">
        <f>SUMIFS(L:L,D:D,formulas_internas[[#This Row],[formula]])</f>
        <v>332.58228013948684</v>
      </c>
    </row>
    <row r="22" spans="1:13" ht="18.600000000000001" thickTop="1" thickBot="1" x14ac:dyDescent="0.4">
      <c r="A22">
        <v>3</v>
      </c>
      <c r="B22" t="s">
        <v>290</v>
      </c>
      <c r="C22" s="53">
        <v>0.163245108550688</v>
      </c>
      <c r="D22" t="s">
        <v>205</v>
      </c>
      <c r="E22" t="s">
        <v>228</v>
      </c>
      <c r="F22" t="b">
        <v>1</v>
      </c>
      <c r="G22" s="55">
        <v>46053</v>
      </c>
      <c r="H22" t="s">
        <v>265</v>
      </c>
      <c r="I22" t="s">
        <v>263</v>
      </c>
      <c r="J22" t="str">
        <f t="shared" si="0"/>
        <v>OK</v>
      </c>
      <c r="K22" s="54">
        <f>_xlfn.XLOOKUP(formulas_internas[[#This Row],[ID_MAT]],precios_mp_ac!A:A,precios_mp_ac!N:N)</f>
        <v>427.5</v>
      </c>
      <c r="L22">
        <f>formulas_internas[[#This Row],[precios_ars]]*formulas_internas[[#This Row],[prc]]</f>
        <v>69.787283905419116</v>
      </c>
      <c r="M22" s="52">
        <f>SUMIFS(L:L,D:D,formulas_internas[[#This Row],[formula]])</f>
        <v>332.58228013948684</v>
      </c>
    </row>
    <row r="23" spans="1:13" ht="18.600000000000001" thickTop="1" thickBot="1" x14ac:dyDescent="0.4">
      <c r="A23">
        <v>1</v>
      </c>
      <c r="B23" t="s">
        <v>288</v>
      </c>
      <c r="C23" s="53">
        <v>0.50475489144931196</v>
      </c>
      <c r="D23" t="s">
        <v>205</v>
      </c>
      <c r="E23" t="s">
        <v>228</v>
      </c>
      <c r="F23" t="b">
        <v>1</v>
      </c>
      <c r="G23" s="55">
        <v>46053</v>
      </c>
      <c r="H23" t="s">
        <v>262</v>
      </c>
      <c r="I23" t="s">
        <v>260</v>
      </c>
      <c r="J23" t="str">
        <f t="shared" si="0"/>
        <v>OK</v>
      </c>
      <c r="K23" s="54">
        <f>_xlfn.XLOOKUP(formulas_internas[[#This Row],[ID_MAT]],precios_mp_ac!A:A,precios_mp_ac!N:N)</f>
        <v>265</v>
      </c>
      <c r="L23">
        <f>formulas_internas[[#This Row],[precios_ars]]*formulas_internas[[#This Row],[prc]]</f>
        <v>133.76004623406766</v>
      </c>
      <c r="M23" s="52">
        <f>SUMIFS(L:L,D:D,formulas_internas[[#This Row],[formula]])</f>
        <v>332.58228013948684</v>
      </c>
    </row>
    <row r="24" spans="1:13" ht="18.600000000000001" thickTop="1" thickBot="1" x14ac:dyDescent="0.4">
      <c r="A24">
        <v>4</v>
      </c>
      <c r="B24" t="s">
        <v>271</v>
      </c>
      <c r="C24" s="53">
        <v>3.1E-2</v>
      </c>
      <c r="D24" t="s">
        <v>205</v>
      </c>
      <c r="E24" t="s">
        <v>228</v>
      </c>
      <c r="F24" t="b">
        <v>1</v>
      </c>
      <c r="G24" s="55">
        <v>46053</v>
      </c>
      <c r="H24" t="s">
        <v>272</v>
      </c>
      <c r="I24" t="s">
        <v>270</v>
      </c>
      <c r="J24" t="str">
        <f t="shared" si="0"/>
        <v>OK</v>
      </c>
      <c r="K24" s="54">
        <f>_xlfn.XLOOKUP(formulas_internas[[#This Row],[ID_MAT]],precios_mp_ac!A:A,precios_mp_ac!N:N)</f>
        <v>1687.95</v>
      </c>
      <c r="L24">
        <f>formulas_internas[[#This Row],[precios_ars]]*formulas_internas[[#This Row],[prc]]</f>
        <v>52.326450000000001</v>
      </c>
      <c r="M24" s="52">
        <f>SUMIFS(L:L,D:D,formulas_internas[[#This Row],[formula]])</f>
        <v>332.58228013948684</v>
      </c>
    </row>
    <row r="25" spans="1:13" ht="18.600000000000001" thickTop="1" thickBot="1" x14ac:dyDescent="0.4">
      <c r="A25">
        <v>5</v>
      </c>
      <c r="B25" t="s">
        <v>274</v>
      </c>
      <c r="C25" s="53">
        <v>1E-3</v>
      </c>
      <c r="D25" t="s">
        <v>205</v>
      </c>
      <c r="E25" t="s">
        <v>228</v>
      </c>
      <c r="F25" t="b">
        <v>1</v>
      </c>
      <c r="G25" s="55">
        <v>46053</v>
      </c>
      <c r="H25" t="s">
        <v>272</v>
      </c>
      <c r="I25" t="s">
        <v>273</v>
      </c>
      <c r="J25" t="str">
        <f t="shared" si="0"/>
        <v>OK</v>
      </c>
      <c r="K25" s="54">
        <f>_xlfn.XLOOKUP(formulas_internas[[#This Row],[ID_MAT]],precios_mp_ac!A:A,precios_mp_ac!N:N)</f>
        <v>10708.5</v>
      </c>
      <c r="L25">
        <f>formulas_internas[[#This Row],[precios_ars]]*formulas_internas[[#This Row],[prc]]</f>
        <v>10.708500000000001</v>
      </c>
      <c r="M25" s="52">
        <f>SUMIFS(L:L,D:D,formulas_internas[[#This Row],[formula]])</f>
        <v>332.58228013948684</v>
      </c>
    </row>
    <row r="26" spans="1:13" ht="18.600000000000001" thickTop="1" thickBot="1" x14ac:dyDescent="0.4">
      <c r="A26">
        <v>25</v>
      </c>
      <c r="B26" t="s">
        <v>296</v>
      </c>
      <c r="C26" s="53">
        <v>0.2</v>
      </c>
      <c r="D26" t="s">
        <v>295</v>
      </c>
      <c r="E26" t="s">
        <v>228</v>
      </c>
      <c r="F26" t="b">
        <v>1</v>
      </c>
      <c r="G26" s="55">
        <v>46053</v>
      </c>
      <c r="H26" t="s">
        <v>257</v>
      </c>
      <c r="I26" t="s">
        <v>266</v>
      </c>
      <c r="J26" t="str">
        <f t="shared" si="0"/>
        <v>OK</v>
      </c>
      <c r="K26" s="54">
        <f>_xlfn.XLOOKUP(formulas_internas[[#This Row],[ID_MAT]],precios_mp_ac!A:A,precios_mp_ac!N:N)</f>
        <v>220</v>
      </c>
      <c r="L26">
        <f>formulas_internas[[#This Row],[precios_ars]]*formulas_internas[[#This Row],[prc]]</f>
        <v>44</v>
      </c>
      <c r="M26" s="52">
        <f>SUMIFS(L:L,D:D,formulas_internas[[#This Row],[formula]])</f>
        <v>342.46118898410572</v>
      </c>
    </row>
    <row r="27" spans="1:13" ht="18.600000000000001" thickTop="1" thickBot="1" x14ac:dyDescent="0.4">
      <c r="A27">
        <v>26</v>
      </c>
      <c r="B27" t="s">
        <v>290</v>
      </c>
      <c r="C27" s="53">
        <v>0.19634608605603501</v>
      </c>
      <c r="D27" t="s">
        <v>295</v>
      </c>
      <c r="E27" t="s">
        <v>228</v>
      </c>
      <c r="F27" t="b">
        <v>1</v>
      </c>
      <c r="G27" s="55">
        <v>46053</v>
      </c>
      <c r="H27" t="s">
        <v>265</v>
      </c>
      <c r="I27" t="s">
        <v>263</v>
      </c>
      <c r="J27" t="str">
        <f t="shared" si="0"/>
        <v>OK</v>
      </c>
      <c r="K27" s="54">
        <f>_xlfn.XLOOKUP(formulas_internas[[#This Row],[ID_MAT]],precios_mp_ac!A:A,precios_mp_ac!N:N)</f>
        <v>427.5</v>
      </c>
      <c r="L27">
        <f>formulas_internas[[#This Row],[precios_ars]]*formulas_internas[[#This Row],[prc]]</f>
        <v>83.937951788954962</v>
      </c>
      <c r="M27" s="52">
        <f>SUMIFS(L:L,D:D,formulas_internas[[#This Row],[formula]])</f>
        <v>342.46118898410572</v>
      </c>
    </row>
    <row r="28" spans="1:13" ht="18.600000000000001" thickTop="1" thickBot="1" x14ac:dyDescent="0.4">
      <c r="A28">
        <v>24</v>
      </c>
      <c r="B28" t="s">
        <v>288</v>
      </c>
      <c r="C28" s="53">
        <v>0.57165391394396503</v>
      </c>
      <c r="D28" t="s">
        <v>295</v>
      </c>
      <c r="E28" t="s">
        <v>228</v>
      </c>
      <c r="F28" t="b">
        <v>1</v>
      </c>
      <c r="G28" s="55">
        <v>46053</v>
      </c>
      <c r="H28" t="s">
        <v>262</v>
      </c>
      <c r="I28" t="s">
        <v>260</v>
      </c>
      <c r="J28" t="str">
        <f t="shared" si="0"/>
        <v>OK</v>
      </c>
      <c r="K28" s="54">
        <f>_xlfn.XLOOKUP(formulas_internas[[#This Row],[ID_MAT]],precios_mp_ac!A:A,precios_mp_ac!N:N)</f>
        <v>265</v>
      </c>
      <c r="L28">
        <f>formulas_internas[[#This Row],[precios_ars]]*formulas_internas[[#This Row],[prc]]</f>
        <v>151.48828719515075</v>
      </c>
      <c r="M28" s="52">
        <f>SUMIFS(L:L,D:D,formulas_internas[[#This Row],[formula]])</f>
        <v>342.46118898410572</v>
      </c>
    </row>
    <row r="29" spans="1:13" ht="18.600000000000001" thickTop="1" thickBot="1" x14ac:dyDescent="0.4">
      <c r="A29">
        <v>27</v>
      </c>
      <c r="B29" t="s">
        <v>271</v>
      </c>
      <c r="C29" s="53">
        <v>3.1E-2</v>
      </c>
      <c r="D29" t="s">
        <v>295</v>
      </c>
      <c r="E29" t="s">
        <v>228</v>
      </c>
      <c r="F29" t="b">
        <v>1</v>
      </c>
      <c r="G29" s="55">
        <v>46053</v>
      </c>
      <c r="H29" t="s">
        <v>272</v>
      </c>
      <c r="I29" t="s">
        <v>270</v>
      </c>
      <c r="J29" t="str">
        <f t="shared" si="0"/>
        <v>OK</v>
      </c>
      <c r="K29" s="54">
        <f>_xlfn.XLOOKUP(formulas_internas[[#This Row],[ID_MAT]],precios_mp_ac!A:A,precios_mp_ac!N:N)</f>
        <v>1687.95</v>
      </c>
      <c r="L29">
        <f>formulas_internas[[#This Row],[precios_ars]]*formulas_internas[[#This Row],[prc]]</f>
        <v>52.326450000000001</v>
      </c>
      <c r="M29" s="52">
        <f>SUMIFS(L:L,D:D,formulas_internas[[#This Row],[formula]])</f>
        <v>342.46118898410572</v>
      </c>
    </row>
    <row r="30" spans="1:13" ht="18.600000000000001" thickTop="1" thickBot="1" x14ac:dyDescent="0.4">
      <c r="A30">
        <v>28</v>
      </c>
      <c r="B30" t="s">
        <v>274</v>
      </c>
      <c r="C30" s="53">
        <v>1E-3</v>
      </c>
      <c r="D30" t="s">
        <v>295</v>
      </c>
      <c r="E30" t="s">
        <v>228</v>
      </c>
      <c r="F30" t="b">
        <v>1</v>
      </c>
      <c r="G30" s="55">
        <v>46053</v>
      </c>
      <c r="H30" t="s">
        <v>272</v>
      </c>
      <c r="I30" t="s">
        <v>273</v>
      </c>
      <c r="J30" t="str">
        <f t="shared" si="0"/>
        <v>OK</v>
      </c>
      <c r="K30" s="54">
        <f>_xlfn.XLOOKUP(formulas_internas[[#This Row],[ID_MAT]],precios_mp_ac!A:A,precios_mp_ac!N:N)</f>
        <v>10708.5</v>
      </c>
      <c r="L30">
        <f>formulas_internas[[#This Row],[precios_ars]]*formulas_internas[[#This Row],[prc]]</f>
        <v>10.708500000000001</v>
      </c>
      <c r="M30" s="52">
        <f>SUMIFS(L:L,D:D,formulas_internas[[#This Row],[formula]])</f>
        <v>342.46118898410572</v>
      </c>
    </row>
    <row r="31" spans="1:13" ht="18.600000000000001" thickTop="1" thickBot="1" x14ac:dyDescent="0.4">
      <c r="A31">
        <v>47</v>
      </c>
      <c r="B31" t="s">
        <v>290</v>
      </c>
      <c r="C31" s="53">
        <v>0.37252000000000002</v>
      </c>
      <c r="D31" t="s">
        <v>208</v>
      </c>
      <c r="E31" t="s">
        <v>228</v>
      </c>
      <c r="F31" t="b">
        <v>1</v>
      </c>
      <c r="G31" s="55">
        <v>46053</v>
      </c>
      <c r="H31" t="s">
        <v>265</v>
      </c>
      <c r="I31" t="s">
        <v>263</v>
      </c>
      <c r="J31" t="str">
        <f t="shared" si="0"/>
        <v>OK</v>
      </c>
      <c r="K31" s="54">
        <f>_xlfn.XLOOKUP(formulas_internas[[#This Row],[ID_MAT]],precios_mp_ac!A:A,precios_mp_ac!N:N)</f>
        <v>427.5</v>
      </c>
      <c r="L31">
        <f>formulas_internas[[#This Row],[precios_ars]]*formulas_internas[[#This Row],[prc]]</f>
        <v>159.25230000000002</v>
      </c>
      <c r="M31" s="52">
        <f>SUMIFS(L:L,D:D,formulas_internas[[#This Row],[formula]])</f>
        <v>433.99850000000004</v>
      </c>
    </row>
    <row r="32" spans="1:13" ht="18.600000000000001" thickTop="1" thickBot="1" x14ac:dyDescent="0.4">
      <c r="A32">
        <v>46</v>
      </c>
      <c r="B32" t="s">
        <v>288</v>
      </c>
      <c r="C32" s="53">
        <v>0.58748</v>
      </c>
      <c r="D32" t="s">
        <v>208</v>
      </c>
      <c r="E32" t="s">
        <v>228</v>
      </c>
      <c r="F32" t="b">
        <v>1</v>
      </c>
      <c r="G32" s="55">
        <v>46053</v>
      </c>
      <c r="H32" t="s">
        <v>262</v>
      </c>
      <c r="I32" t="s">
        <v>260</v>
      </c>
      <c r="J32" t="str">
        <f t="shared" si="0"/>
        <v>OK</v>
      </c>
      <c r="K32" s="54">
        <f>_xlfn.XLOOKUP(formulas_internas[[#This Row],[ID_MAT]],precios_mp_ac!A:A,precios_mp_ac!N:N)</f>
        <v>265</v>
      </c>
      <c r="L32">
        <f>formulas_internas[[#This Row],[precios_ars]]*formulas_internas[[#This Row],[prc]]</f>
        <v>155.68219999999999</v>
      </c>
      <c r="M32" s="52">
        <f>SUMIFS(L:L,D:D,formulas_internas[[#This Row],[formula]])</f>
        <v>433.99850000000004</v>
      </c>
    </row>
    <row r="33" spans="1:13" ht="18.600000000000001" thickTop="1" thickBot="1" x14ac:dyDescent="0.4">
      <c r="A33">
        <v>48</v>
      </c>
      <c r="B33" t="s">
        <v>282</v>
      </c>
      <c r="C33" s="53">
        <v>0.04</v>
      </c>
      <c r="D33" t="s">
        <v>208</v>
      </c>
      <c r="E33" t="s">
        <v>228</v>
      </c>
      <c r="F33" t="b">
        <v>1</v>
      </c>
      <c r="G33" s="55">
        <v>46053</v>
      </c>
      <c r="H33" t="s">
        <v>272</v>
      </c>
      <c r="I33" t="s">
        <v>281</v>
      </c>
      <c r="J33" t="str">
        <f t="shared" si="0"/>
        <v>OK</v>
      </c>
      <c r="K33" s="54">
        <f>_xlfn.XLOOKUP(formulas_internas[[#This Row],[ID_MAT]],precios_mp_ac!A:A,precios_mp_ac!N:N)</f>
        <v>2976.6</v>
      </c>
      <c r="L33">
        <f>formulas_internas[[#This Row],[precios_ars]]*formulas_internas[[#This Row],[prc]]</f>
        <v>119.06399999999999</v>
      </c>
      <c r="M33" s="52">
        <f>SUMIFS(L:L,D:D,formulas_internas[[#This Row],[formula]])</f>
        <v>433.99850000000004</v>
      </c>
    </row>
    <row r="34" spans="1:13" ht="18.600000000000001" thickTop="1" thickBot="1" x14ac:dyDescent="0.4">
      <c r="A34">
        <v>33</v>
      </c>
      <c r="B34" t="s">
        <v>290</v>
      </c>
      <c r="C34" s="53">
        <v>0.25017</v>
      </c>
      <c r="D34" t="s">
        <v>294</v>
      </c>
      <c r="E34" t="s">
        <v>228</v>
      </c>
      <c r="F34" t="b">
        <v>1</v>
      </c>
      <c r="G34" s="55">
        <v>46053</v>
      </c>
      <c r="H34" t="s">
        <v>265</v>
      </c>
      <c r="I34" t="s">
        <v>263</v>
      </c>
      <c r="J34" t="str">
        <f t="shared" ref="J34:J53" si="1">"OK"</f>
        <v>OK</v>
      </c>
      <c r="K34" s="54">
        <f>_xlfn.XLOOKUP(formulas_internas[[#This Row],[ID_MAT]],precios_mp_ac!A:A,precios_mp_ac!N:N)</f>
        <v>427.5</v>
      </c>
      <c r="L34">
        <f>formulas_internas[[#This Row],[precios_ars]]*formulas_internas[[#This Row],[prc]]</f>
        <v>106.947675</v>
      </c>
      <c r="M34" s="52">
        <f>SUMIFS(L:L,D:D,formulas_internas[[#This Row],[formula]])</f>
        <v>356.20012500000001</v>
      </c>
    </row>
    <row r="35" spans="1:13" ht="18.600000000000001" thickTop="1" thickBot="1" x14ac:dyDescent="0.4">
      <c r="A35">
        <v>32</v>
      </c>
      <c r="B35" t="s">
        <v>288</v>
      </c>
      <c r="C35" s="53">
        <v>0.72482999999999997</v>
      </c>
      <c r="D35" t="s">
        <v>294</v>
      </c>
      <c r="E35" t="s">
        <v>228</v>
      </c>
      <c r="F35" t="b">
        <v>1</v>
      </c>
      <c r="G35" s="55">
        <v>46053</v>
      </c>
      <c r="H35" t="s">
        <v>262</v>
      </c>
      <c r="I35" t="s">
        <v>260</v>
      </c>
      <c r="J35" t="str">
        <f t="shared" si="1"/>
        <v>OK</v>
      </c>
      <c r="K35" s="54">
        <f>_xlfn.XLOOKUP(formulas_internas[[#This Row],[ID_MAT]],precios_mp_ac!A:A,precios_mp_ac!N:N)</f>
        <v>265</v>
      </c>
      <c r="L35">
        <f>formulas_internas[[#This Row],[precios_ars]]*formulas_internas[[#This Row],[prc]]</f>
        <v>192.07995</v>
      </c>
      <c r="M35" s="52">
        <f>SUMIFS(L:L,D:D,formulas_internas[[#This Row],[formula]])</f>
        <v>356.20012500000001</v>
      </c>
    </row>
    <row r="36" spans="1:13" ht="18.600000000000001" thickTop="1" thickBot="1" x14ac:dyDescent="0.4">
      <c r="A36">
        <v>34</v>
      </c>
      <c r="B36" t="s">
        <v>284</v>
      </c>
      <c r="C36" s="53">
        <v>2.5000000000000001E-2</v>
      </c>
      <c r="D36" t="s">
        <v>294</v>
      </c>
      <c r="E36" t="s">
        <v>228</v>
      </c>
      <c r="F36" t="b">
        <v>1</v>
      </c>
      <c r="G36" s="55">
        <v>46053</v>
      </c>
      <c r="H36" t="s">
        <v>272</v>
      </c>
      <c r="I36" t="s">
        <v>283</v>
      </c>
      <c r="J36" t="str">
        <f t="shared" si="1"/>
        <v>OK</v>
      </c>
      <c r="K36" s="54">
        <f>_xlfn.XLOOKUP(formulas_internas[[#This Row],[ID_MAT]],precios_mp_ac!A:A,precios_mp_ac!N:N)</f>
        <v>2286.9</v>
      </c>
      <c r="L36">
        <f>formulas_internas[[#This Row],[precios_ars]]*formulas_internas[[#This Row],[prc]]</f>
        <v>57.172500000000007</v>
      </c>
      <c r="M36" s="52">
        <f>SUMIFS(L:L,D:D,formulas_internas[[#This Row],[formula]])</f>
        <v>356.20012500000001</v>
      </c>
    </row>
    <row r="37" spans="1:13" ht="18.600000000000001" thickTop="1" thickBot="1" x14ac:dyDescent="0.4">
      <c r="A37">
        <v>36</v>
      </c>
      <c r="B37" t="s">
        <v>290</v>
      </c>
      <c r="C37" s="53">
        <v>0.26585883442032199</v>
      </c>
      <c r="D37" t="s">
        <v>293</v>
      </c>
      <c r="E37" t="s">
        <v>228</v>
      </c>
      <c r="F37" t="b">
        <v>1</v>
      </c>
      <c r="G37" s="55">
        <v>46053</v>
      </c>
      <c r="H37" t="s">
        <v>265</v>
      </c>
      <c r="I37" t="s">
        <v>263</v>
      </c>
      <c r="J37" t="str">
        <f t="shared" si="1"/>
        <v>OK</v>
      </c>
      <c r="K37" s="54">
        <f>_xlfn.XLOOKUP(formulas_internas[[#This Row],[ID_MAT]],precios_mp_ac!A:A,precios_mp_ac!N:N)</f>
        <v>427.5</v>
      </c>
      <c r="L37">
        <f>formulas_internas[[#This Row],[precios_ars]]*formulas_internas[[#This Row],[prc]]</f>
        <v>113.65465171468765</v>
      </c>
      <c r="M37" s="52">
        <f>SUMIFS(L:L,D:D,formulas_internas[[#This Row],[formula]])</f>
        <v>358.74956059330236</v>
      </c>
    </row>
    <row r="38" spans="1:13" ht="18.600000000000001" thickTop="1" thickBot="1" x14ac:dyDescent="0.4">
      <c r="A38">
        <v>35</v>
      </c>
      <c r="B38" t="s">
        <v>288</v>
      </c>
      <c r="C38" s="53">
        <v>0.70914116557967799</v>
      </c>
      <c r="D38" t="s">
        <v>293</v>
      </c>
      <c r="E38" t="s">
        <v>228</v>
      </c>
      <c r="F38" t="b">
        <v>1</v>
      </c>
      <c r="G38" s="55">
        <v>46053</v>
      </c>
      <c r="H38" t="s">
        <v>262</v>
      </c>
      <c r="I38" t="s">
        <v>260</v>
      </c>
      <c r="J38" t="str">
        <f t="shared" si="1"/>
        <v>OK</v>
      </c>
      <c r="K38" s="54">
        <f>_xlfn.XLOOKUP(formulas_internas[[#This Row],[ID_MAT]],precios_mp_ac!A:A,precios_mp_ac!N:N)</f>
        <v>265</v>
      </c>
      <c r="L38">
        <f>formulas_internas[[#This Row],[precios_ars]]*formulas_internas[[#This Row],[prc]]</f>
        <v>187.92240887861468</v>
      </c>
      <c r="M38" s="52">
        <f>SUMIFS(L:L,D:D,formulas_internas[[#This Row],[formula]])</f>
        <v>358.74956059330236</v>
      </c>
    </row>
    <row r="39" spans="1:13" ht="18.600000000000001" thickTop="1" thickBot="1" x14ac:dyDescent="0.4">
      <c r="A39">
        <v>37</v>
      </c>
      <c r="B39" t="s">
        <v>284</v>
      </c>
      <c r="C39" s="53">
        <v>2.5000000000000001E-2</v>
      </c>
      <c r="D39" t="s">
        <v>293</v>
      </c>
      <c r="E39" t="s">
        <v>228</v>
      </c>
      <c r="F39" t="b">
        <v>1</v>
      </c>
      <c r="G39" s="55">
        <v>46053</v>
      </c>
      <c r="H39" t="s">
        <v>272</v>
      </c>
      <c r="I39" t="s">
        <v>283</v>
      </c>
      <c r="J39" t="str">
        <f t="shared" si="1"/>
        <v>OK</v>
      </c>
      <c r="K39" s="54">
        <f>_xlfn.XLOOKUP(formulas_internas[[#This Row],[ID_MAT]],precios_mp_ac!A:A,precios_mp_ac!N:N)</f>
        <v>2286.9</v>
      </c>
      <c r="L39">
        <f>formulas_internas[[#This Row],[precios_ars]]*formulas_internas[[#This Row],[prc]]</f>
        <v>57.172500000000007</v>
      </c>
      <c r="M39" s="52">
        <f>SUMIFS(L:L,D:D,formulas_internas[[#This Row],[formula]])</f>
        <v>358.74956059330236</v>
      </c>
    </row>
    <row r="40" spans="1:13" ht="18.600000000000001" thickTop="1" thickBot="1" x14ac:dyDescent="0.4">
      <c r="A40">
        <v>53</v>
      </c>
      <c r="B40" t="s">
        <v>290</v>
      </c>
      <c r="C40" s="53">
        <v>0.25385999999999997</v>
      </c>
      <c r="D40" t="s">
        <v>292</v>
      </c>
      <c r="E40" t="s">
        <v>228</v>
      </c>
      <c r="F40" t="b">
        <v>1</v>
      </c>
      <c r="G40" s="55">
        <v>46053</v>
      </c>
      <c r="H40" t="s">
        <v>265</v>
      </c>
      <c r="I40" t="s">
        <v>263</v>
      </c>
      <c r="J40" t="str">
        <f t="shared" si="1"/>
        <v>OK</v>
      </c>
      <c r="K40" s="54">
        <f>_xlfn.XLOOKUP(formulas_internas[[#This Row],[ID_MAT]],precios_mp_ac!A:A,precios_mp_ac!N:N)</f>
        <v>427.5</v>
      </c>
      <c r="L40">
        <f>formulas_internas[[#This Row],[precios_ars]]*formulas_internas[[#This Row],[prc]]</f>
        <v>108.52514999999998</v>
      </c>
      <c r="M40" s="52">
        <f>SUMIFS(L:L,D:D,formulas_internas[[#This Row],[formula]])</f>
        <v>346.69024999999999</v>
      </c>
    </row>
    <row r="41" spans="1:13" ht="18.600000000000001" thickTop="1" thickBot="1" x14ac:dyDescent="0.4">
      <c r="A41">
        <v>52</v>
      </c>
      <c r="B41" t="s">
        <v>288</v>
      </c>
      <c r="C41" s="53">
        <v>0.72614000000000001</v>
      </c>
      <c r="D41" t="s">
        <v>292</v>
      </c>
      <c r="E41" t="s">
        <v>228</v>
      </c>
      <c r="F41" t="b">
        <v>1</v>
      </c>
      <c r="G41" s="55">
        <v>46053</v>
      </c>
      <c r="H41" t="s">
        <v>262</v>
      </c>
      <c r="I41" t="s">
        <v>260</v>
      </c>
      <c r="J41" t="str">
        <f t="shared" si="1"/>
        <v>OK</v>
      </c>
      <c r="K41" s="54">
        <f>_xlfn.XLOOKUP(formulas_internas[[#This Row],[ID_MAT]],precios_mp_ac!A:A,precios_mp_ac!N:N)</f>
        <v>265</v>
      </c>
      <c r="L41">
        <f>formulas_internas[[#This Row],[precios_ars]]*formulas_internas[[#This Row],[prc]]</f>
        <v>192.4271</v>
      </c>
      <c r="M41" s="52">
        <f>SUMIFS(L:L,D:D,formulas_internas[[#This Row],[formula]])</f>
        <v>346.69024999999999</v>
      </c>
    </row>
    <row r="42" spans="1:13" ht="18.600000000000001" thickTop="1" thickBot="1" x14ac:dyDescent="0.4">
      <c r="A42">
        <v>54</v>
      </c>
      <c r="B42" t="s">
        <v>284</v>
      </c>
      <c r="C42" s="53">
        <v>0.02</v>
      </c>
      <c r="D42" t="s">
        <v>292</v>
      </c>
      <c r="E42" t="s">
        <v>228</v>
      </c>
      <c r="F42" t="b">
        <v>1</v>
      </c>
      <c r="G42" s="55">
        <v>46053</v>
      </c>
      <c r="H42" t="s">
        <v>272</v>
      </c>
      <c r="I42" t="s">
        <v>283</v>
      </c>
      <c r="J42" t="str">
        <f t="shared" si="1"/>
        <v>OK</v>
      </c>
      <c r="K42" s="54">
        <f>_xlfn.XLOOKUP(formulas_internas[[#This Row],[ID_MAT]],precios_mp_ac!A:A,precios_mp_ac!N:N)</f>
        <v>2286.9</v>
      </c>
      <c r="L42">
        <f>formulas_internas[[#This Row],[precios_ars]]*formulas_internas[[#This Row],[prc]]</f>
        <v>45.738</v>
      </c>
      <c r="M42" s="52">
        <f>SUMIFS(L:L,D:D,formulas_internas[[#This Row],[formula]])</f>
        <v>346.69024999999999</v>
      </c>
    </row>
    <row r="43" spans="1:13" ht="18.600000000000001" thickTop="1" thickBot="1" x14ac:dyDescent="0.4">
      <c r="A43">
        <v>17</v>
      </c>
      <c r="B43" t="s">
        <v>289</v>
      </c>
      <c r="C43" s="53">
        <v>0.15</v>
      </c>
      <c r="D43" t="s">
        <v>291</v>
      </c>
      <c r="E43" t="s">
        <v>228</v>
      </c>
      <c r="F43" t="b">
        <v>1</v>
      </c>
      <c r="G43" s="55">
        <v>46053</v>
      </c>
      <c r="H43" t="s">
        <v>257</v>
      </c>
      <c r="I43" t="s">
        <v>268</v>
      </c>
      <c r="J43" t="str">
        <f t="shared" si="1"/>
        <v>OK</v>
      </c>
      <c r="K43" s="54">
        <f>_xlfn.XLOOKUP(formulas_internas[[#This Row],[ID_MAT]],precios_mp_ac!A:A,precios_mp_ac!N:N)</f>
        <v>265</v>
      </c>
      <c r="L43">
        <f>formulas_internas[[#This Row],[precios_ars]]*formulas_internas[[#This Row],[prc]]</f>
        <v>39.75</v>
      </c>
      <c r="M43" s="52">
        <f>SUMIFS(L:L,D:D,formulas_internas[[#This Row],[formula]])</f>
        <v>267.74582095804948</v>
      </c>
    </row>
    <row r="44" spans="1:13" ht="18.600000000000001" thickTop="1" thickBot="1" x14ac:dyDescent="0.4">
      <c r="A44">
        <v>16</v>
      </c>
      <c r="B44" t="s">
        <v>288</v>
      </c>
      <c r="C44" s="53">
        <v>0.68776536210584704</v>
      </c>
      <c r="D44" t="s">
        <v>291</v>
      </c>
      <c r="E44" t="s">
        <v>228</v>
      </c>
      <c r="F44" t="b">
        <v>1</v>
      </c>
      <c r="G44" s="55">
        <v>46053</v>
      </c>
      <c r="H44" t="s">
        <v>262</v>
      </c>
      <c r="I44" t="s">
        <v>260</v>
      </c>
      <c r="J44" t="str">
        <f t="shared" si="1"/>
        <v>OK</v>
      </c>
      <c r="K44" s="54">
        <f>_xlfn.XLOOKUP(formulas_internas[[#This Row],[ID_MAT]],precios_mp_ac!A:A,precios_mp_ac!N:N)</f>
        <v>265</v>
      </c>
      <c r="L44">
        <f>formulas_internas[[#This Row],[precios_ars]]*formulas_internas[[#This Row],[prc]]</f>
        <v>182.25782095804948</v>
      </c>
      <c r="M44" s="52">
        <f>SUMIFS(L:L,D:D,formulas_internas[[#This Row],[formula]])</f>
        <v>267.74582095804948</v>
      </c>
    </row>
    <row r="45" spans="1:13" ht="18.600000000000001" thickTop="1" thickBot="1" x14ac:dyDescent="0.4">
      <c r="A45">
        <v>19</v>
      </c>
      <c r="B45" t="s">
        <v>284</v>
      </c>
      <c r="C45" s="53">
        <v>0.02</v>
      </c>
      <c r="D45" t="s">
        <v>291</v>
      </c>
      <c r="E45" t="s">
        <v>228</v>
      </c>
      <c r="F45" t="b">
        <v>1</v>
      </c>
      <c r="G45" s="55">
        <v>46053</v>
      </c>
      <c r="H45" t="s">
        <v>272</v>
      </c>
      <c r="I45" t="s">
        <v>283</v>
      </c>
      <c r="J45" t="str">
        <f t="shared" si="1"/>
        <v>OK</v>
      </c>
      <c r="K45" s="54">
        <f>_xlfn.XLOOKUP(formulas_internas[[#This Row],[ID_MAT]],precios_mp_ac!A:A,precios_mp_ac!N:N)</f>
        <v>2286.9</v>
      </c>
      <c r="L45">
        <f>formulas_internas[[#This Row],[precios_ars]]*formulas_internas[[#This Row],[prc]]</f>
        <v>45.738</v>
      </c>
      <c r="M45" s="52">
        <f>SUMIFS(L:L,D:D,formulas_internas[[#This Row],[formula]])</f>
        <v>267.74582095804948</v>
      </c>
    </row>
    <row r="46" spans="1:13" ht="18.600000000000001" thickTop="1" thickBot="1" x14ac:dyDescent="0.4">
      <c r="A46">
        <v>44</v>
      </c>
      <c r="B46" t="s">
        <v>289</v>
      </c>
      <c r="C46" s="53">
        <v>0.15</v>
      </c>
      <c r="D46" t="s">
        <v>213</v>
      </c>
      <c r="E46" t="s">
        <v>228</v>
      </c>
      <c r="F46" t="b">
        <v>1</v>
      </c>
      <c r="G46" s="55">
        <v>46053</v>
      </c>
      <c r="H46" t="s">
        <v>257</v>
      </c>
      <c r="I46" t="s">
        <v>268</v>
      </c>
      <c r="J46" t="str">
        <f t="shared" si="1"/>
        <v>OK</v>
      </c>
      <c r="K46" s="54">
        <f>_xlfn.XLOOKUP(formulas_internas[[#This Row],[ID_MAT]],precios_mp_ac!A:A,precios_mp_ac!N:N)</f>
        <v>265</v>
      </c>
      <c r="L46">
        <f>formulas_internas[[#This Row],[precios_ars]]*formulas_internas[[#This Row],[prc]]</f>
        <v>39.75</v>
      </c>
      <c r="M46" s="52">
        <f>SUMIFS(L:L,D:D,formulas_internas[[#This Row],[formula]])</f>
        <v>343.98500000000001</v>
      </c>
    </row>
    <row r="47" spans="1:13" ht="18.600000000000001" thickTop="1" thickBot="1" x14ac:dyDescent="0.4">
      <c r="A47">
        <v>42</v>
      </c>
      <c r="B47" t="s">
        <v>288</v>
      </c>
      <c r="C47" s="53">
        <v>0.65</v>
      </c>
      <c r="D47" t="s">
        <v>213</v>
      </c>
      <c r="E47" t="s">
        <v>228</v>
      </c>
      <c r="F47" t="b">
        <v>1</v>
      </c>
      <c r="G47" s="55">
        <v>46053</v>
      </c>
      <c r="H47" t="s">
        <v>262</v>
      </c>
      <c r="I47" t="s">
        <v>260</v>
      </c>
      <c r="J47" t="str">
        <f t="shared" si="1"/>
        <v>OK</v>
      </c>
      <c r="K47" s="54">
        <f>_xlfn.XLOOKUP(formulas_internas[[#This Row],[ID_MAT]],precios_mp_ac!A:A,precios_mp_ac!N:N)</f>
        <v>265</v>
      </c>
      <c r="L47">
        <f>formulas_internas[[#This Row],[precios_ars]]*formulas_internas[[#This Row],[prc]]</f>
        <v>172.25</v>
      </c>
      <c r="M47" s="52">
        <f>SUMIFS(L:L,D:D,formulas_internas[[#This Row],[formula]])</f>
        <v>343.98500000000001</v>
      </c>
    </row>
    <row r="48" spans="1:13" ht="18.600000000000001" thickTop="1" thickBot="1" x14ac:dyDescent="0.4">
      <c r="A48">
        <v>45</v>
      </c>
      <c r="B48" t="s">
        <v>284</v>
      </c>
      <c r="C48" s="53">
        <v>2.5000000000000001E-2</v>
      </c>
      <c r="D48" t="s">
        <v>213</v>
      </c>
      <c r="E48" t="s">
        <v>228</v>
      </c>
      <c r="F48" t="b">
        <v>1</v>
      </c>
      <c r="G48" s="55">
        <v>46053</v>
      </c>
      <c r="H48" t="s">
        <v>272</v>
      </c>
      <c r="I48" t="s">
        <v>283</v>
      </c>
      <c r="J48" t="str">
        <f t="shared" si="1"/>
        <v>OK</v>
      </c>
      <c r="K48" s="54">
        <f>_xlfn.XLOOKUP(formulas_internas[[#This Row],[ID_MAT]],precios_mp_ac!A:A,precios_mp_ac!N:N)</f>
        <v>2286.9</v>
      </c>
      <c r="L48">
        <f>formulas_internas[[#This Row],[precios_ars]]*formulas_internas[[#This Row],[prc]]</f>
        <v>57.172500000000007</v>
      </c>
      <c r="M48" s="52">
        <f>SUMIFS(L:L,D:D,formulas_internas[[#This Row],[formula]])</f>
        <v>343.98500000000001</v>
      </c>
    </row>
    <row r="49" spans="1:13" ht="18.600000000000001" thickTop="1" thickBot="1" x14ac:dyDescent="0.4">
      <c r="A49">
        <v>58</v>
      </c>
      <c r="B49" t="s">
        <v>290</v>
      </c>
      <c r="C49" s="53">
        <v>0.17499999999999999</v>
      </c>
      <c r="D49" t="s">
        <v>213</v>
      </c>
      <c r="E49" t="s">
        <v>228</v>
      </c>
      <c r="F49" t="b">
        <v>1</v>
      </c>
      <c r="G49" s="55">
        <v>46053</v>
      </c>
      <c r="H49" t="s">
        <v>272</v>
      </c>
      <c r="I49" t="s">
        <v>263</v>
      </c>
      <c r="J49" t="str">
        <f t="shared" si="1"/>
        <v>OK</v>
      </c>
      <c r="K49" s="54">
        <f>_xlfn.XLOOKUP(formulas_internas[[#This Row],[ID_MAT]],precios_mp_ac!A:A,precios_mp_ac!N:N)</f>
        <v>427.5</v>
      </c>
      <c r="L49">
        <f>formulas_internas[[#This Row],[precios_ars]]*formulas_internas[[#This Row],[prc]]</f>
        <v>74.8125</v>
      </c>
      <c r="M49" s="52">
        <f>SUMIFS(L:L,D:D,formulas_internas[[#This Row],[formula]])</f>
        <v>343.98500000000001</v>
      </c>
    </row>
    <row r="50" spans="1:13" ht="18.600000000000001" thickTop="1" thickBot="1" x14ac:dyDescent="0.4">
      <c r="A50">
        <v>55</v>
      </c>
      <c r="B50" t="s">
        <v>290</v>
      </c>
      <c r="C50" s="53">
        <v>0.16300000000000001</v>
      </c>
      <c r="D50" t="s">
        <v>233</v>
      </c>
      <c r="E50" t="s">
        <v>228</v>
      </c>
      <c r="F50" t="b">
        <v>1</v>
      </c>
      <c r="G50" s="55">
        <v>46053</v>
      </c>
      <c r="H50" t="s">
        <v>265</v>
      </c>
      <c r="I50" t="s">
        <v>263</v>
      </c>
      <c r="J50" t="str">
        <f t="shared" si="1"/>
        <v>OK</v>
      </c>
      <c r="K50" s="54">
        <f>_xlfn.XLOOKUP(formulas_internas[[#This Row],[ID_MAT]],precios_mp_ac!A:A,precios_mp_ac!N:N)</f>
        <v>427.5</v>
      </c>
      <c r="L50">
        <f>formulas_internas[[#This Row],[precios_ars]]*formulas_internas[[#This Row],[prc]]</f>
        <v>69.682500000000005</v>
      </c>
      <c r="M50" s="52">
        <f>SUMIFS(L:L,D:D,formulas_internas[[#This Row],[formula]])</f>
        <v>331.9255</v>
      </c>
    </row>
    <row r="51" spans="1:13" ht="18.600000000000001" thickTop="1" thickBot="1" x14ac:dyDescent="0.4">
      <c r="A51">
        <v>57</v>
      </c>
      <c r="B51" t="s">
        <v>289</v>
      </c>
      <c r="C51" s="53">
        <v>0.15</v>
      </c>
      <c r="D51" t="s">
        <v>233</v>
      </c>
      <c r="E51" t="s">
        <v>228</v>
      </c>
      <c r="F51" t="b">
        <v>1</v>
      </c>
      <c r="G51" s="55">
        <v>46053</v>
      </c>
      <c r="H51" t="s">
        <v>257</v>
      </c>
      <c r="I51" t="s">
        <v>268</v>
      </c>
      <c r="J51" t="str">
        <f t="shared" si="1"/>
        <v>OK</v>
      </c>
      <c r="K51" s="54">
        <f>_xlfn.XLOOKUP(formulas_internas[[#This Row],[ID_MAT]],precios_mp_ac!A:A,precios_mp_ac!N:N)</f>
        <v>265</v>
      </c>
      <c r="L51">
        <f>formulas_internas[[#This Row],[precios_ars]]*formulas_internas[[#This Row],[prc]]</f>
        <v>39.75</v>
      </c>
      <c r="M51" s="52">
        <f>SUMIFS(L:L,D:D,formulas_internas[[#This Row],[formula]])</f>
        <v>331.9255</v>
      </c>
    </row>
    <row r="52" spans="1:13" ht="18.600000000000001" thickTop="1" thickBot="1" x14ac:dyDescent="0.4">
      <c r="A52">
        <v>55</v>
      </c>
      <c r="B52" t="s">
        <v>288</v>
      </c>
      <c r="C52" s="53">
        <v>0.66700000000000004</v>
      </c>
      <c r="D52" t="s">
        <v>233</v>
      </c>
      <c r="E52" t="s">
        <v>228</v>
      </c>
      <c r="F52" t="b">
        <v>1</v>
      </c>
      <c r="G52" s="55">
        <v>46053</v>
      </c>
      <c r="H52" t="s">
        <v>262</v>
      </c>
      <c r="I52" t="s">
        <v>260</v>
      </c>
      <c r="J52" t="str">
        <f t="shared" si="1"/>
        <v>OK</v>
      </c>
      <c r="K52" s="54">
        <f>_xlfn.XLOOKUP(formulas_internas[[#This Row],[ID_MAT]],precios_mp_ac!A:A,precios_mp_ac!N:N)</f>
        <v>265</v>
      </c>
      <c r="L52">
        <f>formulas_internas[[#This Row],[precios_ars]]*formulas_internas[[#This Row],[prc]]</f>
        <v>176.75500000000002</v>
      </c>
      <c r="M52" s="52">
        <f>SUMIFS(L:L,D:D,formulas_internas[[#This Row],[formula]])</f>
        <v>331.9255</v>
      </c>
    </row>
    <row r="53" spans="1:13" ht="18.600000000000001" thickTop="1" thickBot="1" x14ac:dyDescent="0.4">
      <c r="A53">
        <v>55</v>
      </c>
      <c r="B53" t="s">
        <v>284</v>
      </c>
      <c r="C53" s="56">
        <v>0.02</v>
      </c>
      <c r="D53" t="s">
        <v>233</v>
      </c>
      <c r="E53" t="s">
        <v>228</v>
      </c>
      <c r="F53" t="b">
        <v>1</v>
      </c>
      <c r="G53" s="55">
        <v>46053</v>
      </c>
      <c r="H53" t="s">
        <v>272</v>
      </c>
      <c r="I53" t="s">
        <v>283</v>
      </c>
      <c r="J53" t="str">
        <f t="shared" si="1"/>
        <v>OK</v>
      </c>
      <c r="K53" s="54">
        <f>_xlfn.XLOOKUP(formulas_internas[[#This Row],[ID_MAT]],precios_mp_ac!A:A,precios_mp_ac!N:N)</f>
        <v>2286.9</v>
      </c>
      <c r="L53">
        <f>formulas_internas[[#This Row],[precios_ars]]*formulas_internas[[#This Row],[prc]]</f>
        <v>45.738</v>
      </c>
      <c r="M53" s="52">
        <f>SUMIFS(L:L,D:D,formulas_internas[[#This Row],[formula]])</f>
        <v>331.9255</v>
      </c>
    </row>
    <row r="54" spans="1:13" ht="15" thickTop="1" x14ac:dyDescent="0.3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7FD7-1EAD-4351-B3D5-20F7F079D220}">
  <dimension ref="A1:N19"/>
  <sheetViews>
    <sheetView workbookViewId="0">
      <selection activeCell="K6" sqref="K6"/>
    </sheetView>
  </sheetViews>
  <sheetFormatPr baseColWidth="10" defaultColWidth="8.88671875" defaultRowHeight="14.4" x14ac:dyDescent="0.3"/>
  <cols>
    <col min="1" max="1" width="5.109375" bestFit="1" customWidth="1"/>
    <col min="2" max="2" width="27.33203125" bestFit="1" customWidth="1"/>
    <col min="3" max="3" width="11.88671875" bestFit="1" customWidth="1"/>
    <col min="4" max="4" width="4.33203125" bestFit="1" customWidth="1"/>
    <col min="5" max="5" width="10.109375" bestFit="1" customWidth="1"/>
    <col min="6" max="6" width="5" bestFit="1" customWidth="1"/>
    <col min="7" max="7" width="10.33203125" bestFit="1" customWidth="1"/>
    <col min="8" max="8" width="16.109375" bestFit="1" customWidth="1"/>
    <col min="9" max="9" width="43.6640625" bestFit="1" customWidth="1"/>
    <col min="10" max="10" width="11" bestFit="1" customWidth="1"/>
    <col min="11" max="11" width="6" bestFit="1" customWidth="1"/>
    <col min="12" max="12" width="5.5546875" bestFit="1" customWidth="1"/>
    <col min="13" max="13" width="10.33203125" bestFit="1" customWidth="1"/>
    <col min="14" max="14" width="13.109375" style="51" bestFit="1" customWidth="1"/>
  </cols>
  <sheetData>
    <row r="1" spans="1:14" x14ac:dyDescent="0.3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s="51" t="s">
        <v>248</v>
      </c>
    </row>
    <row r="2" spans="1:14" x14ac:dyDescent="0.3">
      <c r="A2" t="s">
        <v>249</v>
      </c>
      <c r="B2" t="s">
        <v>250</v>
      </c>
      <c r="D2" t="s">
        <v>239</v>
      </c>
      <c r="E2" s="125">
        <f>precios_mp!E2</f>
        <v>1500</v>
      </c>
      <c r="G2" t="s">
        <v>251</v>
      </c>
      <c r="H2" s="5">
        <f>precios_mp!H2</f>
        <v>46203</v>
      </c>
      <c r="I2" t="s">
        <v>252</v>
      </c>
      <c r="J2" t="s">
        <v>253</v>
      </c>
      <c r="L2">
        <f t="shared" ref="L2:L19" si="0">_xlfn.XLOOKUP($B$2,B:B,E:E)</f>
        <v>1500</v>
      </c>
      <c r="M2">
        <f>IF(ISBLANK(precios_mp__2[[#This Row],[ARS]]),F2*L2,precios_mp__2[[#This Row],[ARS]])</f>
        <v>1500</v>
      </c>
      <c r="N2" s="51">
        <f>precios_mp__2[[#This Row],[precio_ars]]*(1+precios_mp__2[[#This Row],[IVA]])</f>
        <v>1500</v>
      </c>
    </row>
    <row r="3" spans="1:14" x14ac:dyDescent="0.3">
      <c r="A3" t="s">
        <v>254</v>
      </c>
      <c r="B3" t="s">
        <v>255</v>
      </c>
      <c r="D3" t="s">
        <v>256</v>
      </c>
      <c r="E3">
        <f>precios_mp!E3</f>
        <v>47</v>
      </c>
      <c r="G3" t="s">
        <v>257</v>
      </c>
      <c r="H3" s="5">
        <f>precios_mp!H3</f>
        <v>46203</v>
      </c>
      <c r="J3" t="s">
        <v>253</v>
      </c>
      <c r="K3">
        <v>0.105</v>
      </c>
      <c r="L3">
        <f t="shared" si="0"/>
        <v>1500</v>
      </c>
      <c r="M3">
        <f>IF(ISBLANK(precios_mp__2[[#This Row],[ARS]]),F3*L3,precios_mp__2[[#This Row],[ARS]])</f>
        <v>47</v>
      </c>
      <c r="N3" s="51">
        <f>precios_mp__2[[#This Row],[precio_ars]]*(1+precios_mp__2[[#This Row],[IVA]])</f>
        <v>51.935000000000002</v>
      </c>
    </row>
    <row r="4" spans="1:14" x14ac:dyDescent="0.3">
      <c r="A4" t="s">
        <v>258</v>
      </c>
      <c r="B4" t="s">
        <v>259</v>
      </c>
      <c r="D4" t="s">
        <v>256</v>
      </c>
      <c r="E4">
        <f>precios_mp!E4</f>
        <v>28.8</v>
      </c>
      <c r="G4" t="s">
        <v>257</v>
      </c>
      <c r="H4" s="5">
        <f>precios_mp!H4</f>
        <v>46203</v>
      </c>
      <c r="J4" t="s">
        <v>253</v>
      </c>
      <c r="K4">
        <v>0.21</v>
      </c>
      <c r="L4">
        <f t="shared" si="0"/>
        <v>1500</v>
      </c>
      <c r="M4">
        <f>IF(ISBLANK(precios_mp__2[[#This Row],[ARS]]),F4*L4,precios_mp__2[[#This Row],[ARS]])</f>
        <v>28.8</v>
      </c>
      <c r="N4" s="51">
        <f>precios_mp__2[[#This Row],[precio_ars]]*(1+precios_mp__2[[#This Row],[IVA]])</f>
        <v>34.847999999999999</v>
      </c>
    </row>
    <row r="5" spans="1:14" x14ac:dyDescent="0.3">
      <c r="A5" t="s">
        <v>260</v>
      </c>
      <c r="B5" t="s">
        <v>261</v>
      </c>
      <c r="D5" t="s">
        <v>256</v>
      </c>
      <c r="E5">
        <f>precios_mp!E5</f>
        <v>265</v>
      </c>
      <c r="G5" t="s">
        <v>262</v>
      </c>
      <c r="H5" s="5">
        <f>precios_mp!H5</f>
        <v>46203</v>
      </c>
      <c r="J5" t="s">
        <v>253</v>
      </c>
      <c r="K5">
        <v>0</v>
      </c>
      <c r="L5">
        <f t="shared" si="0"/>
        <v>1500</v>
      </c>
      <c r="M5">
        <f>IF(ISBLANK(precios_mp__2[[#This Row],[ARS]]),F5*L5,precios_mp__2[[#This Row],[ARS]])</f>
        <v>265</v>
      </c>
      <c r="N5" s="51">
        <f>precios_mp__2[[#This Row],[precio_ars]]*(1+precios_mp__2[[#This Row],[IVA]])</f>
        <v>265</v>
      </c>
    </row>
    <row r="6" spans="1:14" x14ac:dyDescent="0.3">
      <c r="A6" t="s">
        <v>263</v>
      </c>
      <c r="B6" t="s">
        <v>264</v>
      </c>
      <c r="D6" t="s">
        <v>256</v>
      </c>
      <c r="E6">
        <f>precios_mp!E6</f>
        <v>427.5</v>
      </c>
      <c r="G6" t="s">
        <v>265</v>
      </c>
      <c r="H6" s="5">
        <f>precios_mp!H6</f>
        <v>46203</v>
      </c>
      <c r="J6" t="s">
        <v>253</v>
      </c>
      <c r="K6">
        <v>0</v>
      </c>
      <c r="L6">
        <f t="shared" si="0"/>
        <v>1500</v>
      </c>
      <c r="M6">
        <f>IF(ISBLANK(precios_mp__2[[#This Row],[ARS]]),F6*L6,precios_mp__2[[#This Row],[ARS]])</f>
        <v>427.5</v>
      </c>
      <c r="N6" s="51">
        <f>precios_mp__2[[#This Row],[precio_ars]]*(1+precios_mp__2[[#This Row],[IVA]])</f>
        <v>427.5</v>
      </c>
    </row>
    <row r="7" spans="1:14" x14ac:dyDescent="0.3">
      <c r="A7" t="s">
        <v>266</v>
      </c>
      <c r="B7" t="s">
        <v>267</v>
      </c>
      <c r="D7" t="s">
        <v>256</v>
      </c>
      <c r="E7">
        <f>precios_mp!E7</f>
        <v>220</v>
      </c>
      <c r="G7" t="s">
        <v>257</v>
      </c>
      <c r="H7" s="5">
        <f>precios_mp!H7</f>
        <v>46203</v>
      </c>
      <c r="J7" t="s">
        <v>253</v>
      </c>
      <c r="K7">
        <v>0</v>
      </c>
      <c r="L7">
        <f t="shared" si="0"/>
        <v>1500</v>
      </c>
      <c r="M7">
        <f>IF(ISBLANK(precios_mp__2[[#This Row],[ARS]]),F7*L7,precios_mp__2[[#This Row],[ARS]])</f>
        <v>220</v>
      </c>
      <c r="N7" s="51">
        <f>precios_mp__2[[#This Row],[precio_ars]]*(1+precios_mp__2[[#This Row],[IVA]])</f>
        <v>220</v>
      </c>
    </row>
    <row r="8" spans="1:14" x14ac:dyDescent="0.3">
      <c r="A8" t="s">
        <v>268</v>
      </c>
      <c r="B8" t="s">
        <v>269</v>
      </c>
      <c r="D8" t="s">
        <v>256</v>
      </c>
      <c r="E8">
        <f>precios_mp!E8</f>
        <v>265</v>
      </c>
      <c r="G8" t="s">
        <v>257</v>
      </c>
      <c r="H8" s="5">
        <f>precios_mp!H8</f>
        <v>46203</v>
      </c>
      <c r="J8" t="s">
        <v>253</v>
      </c>
      <c r="K8">
        <v>0</v>
      </c>
      <c r="L8">
        <f t="shared" si="0"/>
        <v>1500</v>
      </c>
      <c r="M8">
        <f>IF(ISBLANK(precios_mp__2[[#This Row],[ARS]]),F8*L8,precios_mp__2[[#This Row],[ARS]])</f>
        <v>265</v>
      </c>
      <c r="N8" s="51">
        <f>precios_mp__2[[#This Row],[precio_ars]]*(1+precios_mp__2[[#This Row],[IVA]])</f>
        <v>265</v>
      </c>
    </row>
    <row r="9" spans="1:14" x14ac:dyDescent="0.3">
      <c r="A9" t="s">
        <v>270</v>
      </c>
      <c r="B9" t="s">
        <v>271</v>
      </c>
      <c r="D9" t="s">
        <v>256</v>
      </c>
      <c r="F9">
        <f>precios_mp!F9</f>
        <v>0.93</v>
      </c>
      <c r="G9" t="s">
        <v>272</v>
      </c>
      <c r="H9" s="5">
        <f>precios_mp!H9</f>
        <v>46203</v>
      </c>
      <c r="J9" t="s">
        <v>253</v>
      </c>
      <c r="K9">
        <v>0.21</v>
      </c>
      <c r="L9">
        <f t="shared" si="0"/>
        <v>1500</v>
      </c>
      <c r="M9">
        <f>IF(ISBLANK(precios_mp__2[[#This Row],[ARS]]),F9*L9,precios_mp__2[[#This Row],[ARS]])</f>
        <v>1395</v>
      </c>
      <c r="N9" s="51">
        <f>precios_mp__2[[#This Row],[precio_ars]]*(1+precios_mp__2[[#This Row],[IVA]])</f>
        <v>1687.95</v>
      </c>
    </row>
    <row r="10" spans="1:14" x14ac:dyDescent="0.3">
      <c r="A10" t="s">
        <v>273</v>
      </c>
      <c r="B10" t="s">
        <v>274</v>
      </c>
      <c r="D10" t="s">
        <v>256</v>
      </c>
      <c r="F10">
        <f>precios_mp!F10</f>
        <v>5.9</v>
      </c>
      <c r="G10" t="s">
        <v>272</v>
      </c>
      <c r="H10" s="5">
        <f>precios_mp!H10</f>
        <v>46203</v>
      </c>
      <c r="J10" t="s">
        <v>253</v>
      </c>
      <c r="K10">
        <v>0.21</v>
      </c>
      <c r="L10">
        <f t="shared" si="0"/>
        <v>1500</v>
      </c>
      <c r="M10">
        <f>IF(ISBLANK(precios_mp__2[[#This Row],[ARS]]),F10*L10,precios_mp__2[[#This Row],[ARS]])</f>
        <v>8850</v>
      </c>
      <c r="N10" s="51">
        <f>precios_mp__2[[#This Row],[precio_ars]]*(1+precios_mp__2[[#This Row],[IVA]])</f>
        <v>10708.5</v>
      </c>
    </row>
    <row r="11" spans="1:14" x14ac:dyDescent="0.3">
      <c r="A11" t="s">
        <v>275</v>
      </c>
      <c r="B11" t="s">
        <v>276</v>
      </c>
      <c r="D11" t="s">
        <v>256</v>
      </c>
      <c r="F11">
        <f>precios_mp!F11</f>
        <v>1.84</v>
      </c>
      <c r="G11" t="s">
        <v>272</v>
      </c>
      <c r="H11" s="5">
        <f>precios_mp!H11</f>
        <v>46203</v>
      </c>
      <c r="J11" t="s">
        <v>253</v>
      </c>
      <c r="K11">
        <v>0.21</v>
      </c>
      <c r="L11">
        <f t="shared" si="0"/>
        <v>1500</v>
      </c>
      <c r="M11">
        <f>IF(ISBLANK(precios_mp__2[[#This Row],[ARS]]),F11*L11,precios_mp__2[[#This Row],[ARS]])</f>
        <v>2760</v>
      </c>
      <c r="N11" s="51">
        <f>precios_mp__2[[#This Row],[precio_ars]]*(1+precios_mp__2[[#This Row],[IVA]])</f>
        <v>3339.6</v>
      </c>
    </row>
    <row r="12" spans="1:14" x14ac:dyDescent="0.3">
      <c r="A12" t="s">
        <v>277</v>
      </c>
      <c r="B12" t="s">
        <v>278</v>
      </c>
      <c r="D12" t="s">
        <v>256</v>
      </c>
      <c r="F12">
        <f>precios_mp!F12</f>
        <v>2.34</v>
      </c>
      <c r="G12" t="s">
        <v>272</v>
      </c>
      <c r="H12" s="5">
        <f>precios_mp!H12</f>
        <v>46203</v>
      </c>
      <c r="J12" t="s">
        <v>253</v>
      </c>
      <c r="K12">
        <v>0.21</v>
      </c>
      <c r="L12">
        <f t="shared" si="0"/>
        <v>1500</v>
      </c>
      <c r="M12">
        <f>IF(ISBLANK(precios_mp__2[[#This Row],[ARS]]),F12*L12,precios_mp__2[[#This Row],[ARS]])</f>
        <v>3510</v>
      </c>
      <c r="N12" s="51">
        <f>precios_mp__2[[#This Row],[precio_ars]]*(1+precios_mp__2[[#This Row],[IVA]])</f>
        <v>4247.0999999999995</v>
      </c>
    </row>
    <row r="13" spans="1:14" x14ac:dyDescent="0.3">
      <c r="A13" t="s">
        <v>279</v>
      </c>
      <c r="B13" t="s">
        <v>280</v>
      </c>
      <c r="D13" t="s">
        <v>256</v>
      </c>
      <c r="F13">
        <f>precios_mp!F13</f>
        <v>1.51</v>
      </c>
      <c r="G13" t="s">
        <v>272</v>
      </c>
      <c r="H13" s="5">
        <f>precios_mp!H13</f>
        <v>46203</v>
      </c>
      <c r="J13" t="s">
        <v>253</v>
      </c>
      <c r="K13">
        <v>0.21</v>
      </c>
      <c r="L13">
        <f t="shared" si="0"/>
        <v>1500</v>
      </c>
      <c r="M13">
        <f>IF(ISBLANK(precios_mp__2[[#This Row],[ARS]]),F13*L13,precios_mp__2[[#This Row],[ARS]])</f>
        <v>2265</v>
      </c>
      <c r="N13" s="51">
        <f>precios_mp__2[[#This Row],[precio_ars]]*(1+precios_mp__2[[#This Row],[IVA]])</f>
        <v>2740.65</v>
      </c>
    </row>
    <row r="14" spans="1:14" x14ac:dyDescent="0.3">
      <c r="A14" t="s">
        <v>281</v>
      </c>
      <c r="B14" t="s">
        <v>282</v>
      </c>
      <c r="D14" t="s">
        <v>256</v>
      </c>
      <c r="F14">
        <f>precios_mp!F14</f>
        <v>1.64</v>
      </c>
      <c r="G14" t="s">
        <v>272</v>
      </c>
      <c r="H14" s="5">
        <f>precios_mp!H14</f>
        <v>46203</v>
      </c>
      <c r="J14" t="s">
        <v>253</v>
      </c>
      <c r="K14">
        <v>0.21</v>
      </c>
      <c r="L14">
        <f t="shared" si="0"/>
        <v>1500</v>
      </c>
      <c r="M14">
        <f>IF(ISBLANK(precios_mp__2[[#This Row],[ARS]]),F14*L14,precios_mp__2[[#This Row],[ARS]])</f>
        <v>2460</v>
      </c>
      <c r="N14" s="51">
        <f>precios_mp__2[[#This Row],[precio_ars]]*(1+precios_mp__2[[#This Row],[IVA]])</f>
        <v>2976.6</v>
      </c>
    </row>
    <row r="15" spans="1:14" x14ac:dyDescent="0.3">
      <c r="A15" t="s">
        <v>283</v>
      </c>
      <c r="B15" t="s">
        <v>284</v>
      </c>
      <c r="D15" t="s">
        <v>256</v>
      </c>
      <c r="F15">
        <f>precios_mp!F15</f>
        <v>1.26</v>
      </c>
      <c r="G15" t="s">
        <v>272</v>
      </c>
      <c r="H15" s="5">
        <f>precios_mp!H15</f>
        <v>46203</v>
      </c>
      <c r="J15" t="s">
        <v>253</v>
      </c>
      <c r="K15">
        <v>0.21</v>
      </c>
      <c r="L15">
        <f t="shared" si="0"/>
        <v>1500</v>
      </c>
      <c r="M15">
        <f>IF(ISBLANK(precios_mp__2[[#This Row],[ARS]]),F15*L15,precios_mp__2[[#This Row],[ARS]])</f>
        <v>1890</v>
      </c>
      <c r="N15" s="51">
        <f>precios_mp__2[[#This Row],[precio_ars]]*(1+precios_mp__2[[#This Row],[IVA]])</f>
        <v>2286.9</v>
      </c>
    </row>
    <row r="16" spans="1:14" x14ac:dyDescent="0.3">
      <c r="A16" t="s">
        <v>229</v>
      </c>
      <c r="B16" t="s">
        <v>285</v>
      </c>
      <c r="D16" t="s">
        <v>256</v>
      </c>
      <c r="F16">
        <f>precios_mp!F16</f>
        <v>1.46</v>
      </c>
      <c r="G16" t="s">
        <v>272</v>
      </c>
      <c r="H16" s="5">
        <f>precios_mp!H16</f>
        <v>46203</v>
      </c>
      <c r="J16" t="s">
        <v>253</v>
      </c>
      <c r="K16">
        <v>0.21</v>
      </c>
      <c r="L16">
        <f t="shared" si="0"/>
        <v>1500</v>
      </c>
      <c r="M16">
        <f>IF(ISBLANK(precios_mp__2[[#This Row],[ARS]]),F16*L16,precios_mp__2[[#This Row],[ARS]])</f>
        <v>2190</v>
      </c>
      <c r="N16" s="51">
        <f>precios_mp__2[[#This Row],[precio_ars]]*(1+precios_mp__2[[#This Row],[IVA]])</f>
        <v>2649.9</v>
      </c>
    </row>
    <row r="17" spans="1:14" x14ac:dyDescent="0.3">
      <c r="A17" t="s">
        <v>230</v>
      </c>
      <c r="B17" t="s">
        <v>286</v>
      </c>
      <c r="D17" t="s">
        <v>256</v>
      </c>
      <c r="F17">
        <f>precios_mp!F17</f>
        <v>1.44</v>
      </c>
      <c r="G17" t="s">
        <v>272</v>
      </c>
      <c r="H17" s="5">
        <f>precios_mp!H17</f>
        <v>46203</v>
      </c>
      <c r="J17" t="s">
        <v>253</v>
      </c>
      <c r="K17">
        <v>0.21</v>
      </c>
      <c r="L17">
        <f t="shared" si="0"/>
        <v>1500</v>
      </c>
      <c r="M17">
        <f>IF(ISBLANK(precios_mp__2[[#This Row],[ARS]]),F17*L17,precios_mp__2[[#This Row],[ARS]])</f>
        <v>2160</v>
      </c>
      <c r="N17" s="51">
        <f>precios_mp__2[[#This Row],[precio_ars]]*(1+precios_mp__2[[#This Row],[IVA]])</f>
        <v>2613.6</v>
      </c>
    </row>
    <row r="18" spans="1:14" x14ac:dyDescent="0.3">
      <c r="A18" t="s">
        <v>231</v>
      </c>
      <c r="B18" t="s">
        <v>287</v>
      </c>
      <c r="D18" t="s">
        <v>256</v>
      </c>
      <c r="F18">
        <f>precios_mp!F18</f>
        <v>1.1599999999999999</v>
      </c>
      <c r="G18" t="s">
        <v>272</v>
      </c>
      <c r="H18" s="5">
        <f>precios_mp!H18</f>
        <v>46203</v>
      </c>
      <c r="J18" t="s">
        <v>253</v>
      </c>
      <c r="K18">
        <v>0.21</v>
      </c>
      <c r="L18">
        <f t="shared" si="0"/>
        <v>1500</v>
      </c>
      <c r="M18">
        <f>IF(ISBLANK(precios_mp__2[[#This Row],[ARS]]),F18*L18,precios_mp__2[[#This Row],[ARS]])</f>
        <v>1739.9999999999998</v>
      </c>
      <c r="N18" s="51">
        <f>precios_mp__2[[#This Row],[precio_ars]]*(1+precios_mp__2[[#This Row],[IVA]])</f>
        <v>2105.3999999999996</v>
      </c>
    </row>
    <row r="19" spans="1:14" x14ac:dyDescent="0.3">
      <c r="A19" t="s">
        <v>344</v>
      </c>
      <c r="B19" t="s">
        <v>187</v>
      </c>
      <c r="D19" t="s">
        <v>343</v>
      </c>
      <c r="E19" t="str">
        <f>precios_mp!E19</f>
        <v>$18.242,82</v>
      </c>
      <c r="H19" s="5">
        <f>precios_mp!H19</f>
        <v>46203</v>
      </c>
      <c r="I19" t="s">
        <v>342</v>
      </c>
      <c r="J19" t="s">
        <v>341</v>
      </c>
      <c r="K19">
        <v>0</v>
      </c>
      <c r="L19">
        <f t="shared" si="0"/>
        <v>1500</v>
      </c>
      <c r="M19" t="str">
        <f>IF(ISBLANK(precios_mp__2[[#This Row],[ARS]]),F19*L19,precios_mp__2[[#This Row],[ARS]])</f>
        <v>$18.242,82</v>
      </c>
      <c r="N19" s="51" t="e">
        <f>precios_mp__2[[#This Row],[precio_ars]]*(1+precios_mp__2[[#This Row],[IVA]])</f>
        <v>#VALUE!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1721-6E3A-4E42-8239-31FA77D22E23}">
  <dimension ref="A1:E13"/>
  <sheetViews>
    <sheetView workbookViewId="0">
      <selection activeCell="C2" sqref="C2"/>
    </sheetView>
  </sheetViews>
  <sheetFormatPr baseColWidth="10" defaultColWidth="8.88671875" defaultRowHeight="14.4" x14ac:dyDescent="0.3"/>
  <cols>
    <col min="1" max="1" width="39.5546875" bestFit="1" customWidth="1"/>
    <col min="2" max="2" width="22.44140625" bestFit="1" customWidth="1"/>
    <col min="3" max="3" width="10" bestFit="1" customWidth="1"/>
    <col min="4" max="4" width="8.44140625" bestFit="1" customWidth="1"/>
    <col min="5" max="5" width="8.6640625" bestFit="1" customWidth="1"/>
  </cols>
  <sheetData>
    <row r="1" spans="1:5" x14ac:dyDescent="0.3">
      <c r="A1" t="s">
        <v>216</v>
      </c>
      <c r="B1" t="s">
        <v>99</v>
      </c>
      <c r="C1" t="s">
        <v>226</v>
      </c>
      <c r="D1" t="s">
        <v>223</v>
      </c>
      <c r="E1" t="s">
        <v>227</v>
      </c>
    </row>
    <row r="2" spans="1:5" x14ac:dyDescent="0.3">
      <c r="A2" t="s">
        <v>192</v>
      </c>
      <c r="B2" t="s">
        <v>205</v>
      </c>
      <c r="C2" t="s">
        <v>228</v>
      </c>
      <c r="D2" s="5">
        <v>46172</v>
      </c>
      <c r="E2" t="s">
        <v>85</v>
      </c>
    </row>
    <row r="3" spans="1:5" x14ac:dyDescent="0.3">
      <c r="A3" t="s">
        <v>193</v>
      </c>
      <c r="B3" t="s">
        <v>208</v>
      </c>
      <c r="C3" t="s">
        <v>228</v>
      </c>
      <c r="D3" s="5">
        <v>46172</v>
      </c>
      <c r="E3" t="s">
        <v>85</v>
      </c>
    </row>
    <row r="4" spans="1:5" x14ac:dyDescent="0.3">
      <c r="A4" t="s">
        <v>194</v>
      </c>
      <c r="B4" t="s">
        <v>85</v>
      </c>
      <c r="C4" t="s">
        <v>85</v>
      </c>
      <c r="D4" s="5">
        <v>46172</v>
      </c>
      <c r="E4" t="s">
        <v>229</v>
      </c>
    </row>
    <row r="5" spans="1:5" x14ac:dyDescent="0.3">
      <c r="A5" t="s">
        <v>195</v>
      </c>
      <c r="B5" t="s">
        <v>85</v>
      </c>
      <c r="C5" t="s">
        <v>85</v>
      </c>
      <c r="D5" s="5">
        <v>46172</v>
      </c>
      <c r="E5" t="s">
        <v>230</v>
      </c>
    </row>
    <row r="6" spans="1:5" x14ac:dyDescent="0.3">
      <c r="A6" t="s">
        <v>196</v>
      </c>
      <c r="B6" t="s">
        <v>85</v>
      </c>
      <c r="C6" t="s">
        <v>85</v>
      </c>
      <c r="D6" s="5">
        <v>46172</v>
      </c>
      <c r="E6" t="s">
        <v>231</v>
      </c>
    </row>
    <row r="7" spans="1:5" x14ac:dyDescent="0.3">
      <c r="A7" t="s">
        <v>197</v>
      </c>
      <c r="B7" t="s">
        <v>85</v>
      </c>
      <c r="C7" t="s">
        <v>85</v>
      </c>
      <c r="D7" s="5">
        <v>46172</v>
      </c>
      <c r="E7" t="s">
        <v>231</v>
      </c>
    </row>
    <row r="8" spans="1:5" x14ac:dyDescent="0.3">
      <c r="A8" t="s">
        <v>198</v>
      </c>
      <c r="B8" t="s">
        <v>211</v>
      </c>
      <c r="C8" t="s">
        <v>228</v>
      </c>
      <c r="D8" s="5">
        <v>46172</v>
      </c>
      <c r="E8" t="s">
        <v>85</v>
      </c>
    </row>
    <row r="9" spans="1:5" x14ac:dyDescent="0.3">
      <c r="A9" t="s">
        <v>199</v>
      </c>
      <c r="B9" t="s">
        <v>212</v>
      </c>
      <c r="C9" t="s">
        <v>228</v>
      </c>
      <c r="D9" s="5">
        <v>46172</v>
      </c>
      <c r="E9" t="s">
        <v>85</v>
      </c>
    </row>
    <row r="10" spans="1:5" x14ac:dyDescent="0.3">
      <c r="A10" t="s">
        <v>200</v>
      </c>
      <c r="B10" t="s">
        <v>212</v>
      </c>
      <c r="C10" t="s">
        <v>228</v>
      </c>
      <c r="D10" s="5">
        <v>46172</v>
      </c>
      <c r="E10" t="s">
        <v>85</v>
      </c>
    </row>
    <row r="11" spans="1:5" x14ac:dyDescent="0.3">
      <c r="A11" t="s">
        <v>201</v>
      </c>
      <c r="B11" t="s">
        <v>232</v>
      </c>
      <c r="C11" t="s">
        <v>228</v>
      </c>
      <c r="D11" s="5">
        <v>46172</v>
      </c>
      <c r="E11" t="s">
        <v>85</v>
      </c>
    </row>
    <row r="12" spans="1:5" x14ac:dyDescent="0.3">
      <c r="A12" t="s">
        <v>202</v>
      </c>
      <c r="B12" t="s">
        <v>213</v>
      </c>
      <c r="C12" t="s">
        <v>228</v>
      </c>
      <c r="D12" s="5">
        <v>46172</v>
      </c>
      <c r="E12" t="s">
        <v>85</v>
      </c>
    </row>
    <row r="13" spans="1:5" x14ac:dyDescent="0.3">
      <c r="A13" t="s">
        <v>203</v>
      </c>
      <c r="B13" t="s">
        <v>233</v>
      </c>
      <c r="C13" t="s">
        <v>228</v>
      </c>
      <c r="D13" s="5">
        <v>46172</v>
      </c>
      <c r="E13" t="s">
        <v>85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A092-1570-40B9-AE5B-3E237B838C1F}">
  <dimension ref="A1:Q4"/>
  <sheetViews>
    <sheetView topLeftCell="F1" zoomScale="88" zoomScaleNormal="88" workbookViewId="0">
      <selection activeCell="P4" sqref="P4"/>
    </sheetView>
  </sheetViews>
  <sheetFormatPr baseColWidth="10" defaultColWidth="8.88671875" defaultRowHeight="14.4" x14ac:dyDescent="0.3"/>
  <cols>
    <col min="1" max="1" width="14.33203125" customWidth="1"/>
    <col min="2" max="2" width="28.109375" customWidth="1"/>
    <col min="3" max="3" width="24.5546875" customWidth="1"/>
    <col min="4" max="4" width="24.5546875" hidden="1" customWidth="1"/>
    <col min="5" max="5" width="29.44140625" customWidth="1"/>
    <col min="6" max="6" width="18.44140625" customWidth="1"/>
    <col min="7" max="7" width="23.33203125" customWidth="1"/>
    <col min="8" max="8" width="10.88671875" customWidth="1"/>
    <col min="9" max="9" width="15.44140625" customWidth="1"/>
    <col min="10" max="10" width="15.44140625" style="4" customWidth="1"/>
    <col min="11" max="11" width="6.6640625" style="4" hidden="1" customWidth="1"/>
    <col min="13" max="13" width="15.6640625" customWidth="1"/>
    <col min="15" max="15" width="16.5546875" customWidth="1"/>
    <col min="16" max="16" width="30.33203125" customWidth="1"/>
    <col min="17" max="17" width="35.109375" customWidth="1"/>
  </cols>
  <sheetData>
    <row r="1" spans="1:17" x14ac:dyDescent="0.3">
      <c r="A1" s="15" t="s">
        <v>0</v>
      </c>
      <c r="B1" s="16" t="s">
        <v>1</v>
      </c>
      <c r="C1" s="16" t="s">
        <v>2</v>
      </c>
      <c r="D1" s="17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25" t="s">
        <v>121</v>
      </c>
      <c r="L1" s="21" t="s">
        <v>116</v>
      </c>
      <c r="M1" s="23" t="s">
        <v>120</v>
      </c>
      <c r="N1" s="21" t="s">
        <v>186</v>
      </c>
      <c r="O1" s="24" t="s">
        <v>119</v>
      </c>
      <c r="P1" s="22" t="s">
        <v>183</v>
      </c>
      <c r="Q1" s="22" t="s">
        <v>184</v>
      </c>
    </row>
    <row r="2" spans="1:17" x14ac:dyDescent="0.3">
      <c r="A2" s="18">
        <v>46173</v>
      </c>
      <c r="B2" s="30" t="s">
        <v>28</v>
      </c>
      <c r="C2" s="26">
        <v>4925</v>
      </c>
      <c r="D2" s="2">
        <f>K2*N2*-1</f>
        <v>-2934753.5999999996</v>
      </c>
      <c r="E2" s="1" t="s">
        <v>28</v>
      </c>
      <c r="F2" s="29">
        <f>N2</f>
        <v>139.19999999999999</v>
      </c>
      <c r="G2" s="31">
        <v>21083</v>
      </c>
      <c r="H2" s="1" t="s">
        <v>115</v>
      </c>
      <c r="I2" s="1" t="s">
        <v>187</v>
      </c>
      <c r="J2" s="3" t="s">
        <v>182</v>
      </c>
      <c r="K2" s="19">
        <f>G2</f>
        <v>21083</v>
      </c>
      <c r="L2" s="27">
        <v>58</v>
      </c>
      <c r="M2" s="28">
        <v>2.4</v>
      </c>
      <c r="N2" s="29">
        <f>L2*M2</f>
        <v>139.19999999999999</v>
      </c>
      <c r="O2" s="20">
        <f>N2*K2</f>
        <v>2934753.5999999996</v>
      </c>
      <c r="P2" s="26">
        <f>C2</f>
        <v>4925</v>
      </c>
      <c r="Q2" s="1" t="s">
        <v>102</v>
      </c>
    </row>
    <row r="3" spans="1:17" x14ac:dyDescent="0.3">
      <c r="A3" s="18">
        <v>46173</v>
      </c>
      <c r="B3" s="32" t="s">
        <v>28</v>
      </c>
      <c r="C3" s="26">
        <v>5125</v>
      </c>
      <c r="D3" s="2">
        <f>K3*N3*-1</f>
        <v>-3288948</v>
      </c>
      <c r="E3" s="1" t="s">
        <v>28</v>
      </c>
      <c r="F3" s="29">
        <f>N3</f>
        <v>156</v>
      </c>
      <c r="G3" s="31">
        <v>21083</v>
      </c>
      <c r="H3" s="1" t="s">
        <v>115</v>
      </c>
      <c r="I3" s="1" t="s">
        <v>187</v>
      </c>
      <c r="J3" s="3" t="s">
        <v>182</v>
      </c>
      <c r="K3" s="19">
        <f t="shared" ref="K3" si="0">G3</f>
        <v>21083</v>
      </c>
      <c r="L3" s="27">
        <v>65</v>
      </c>
      <c r="M3" s="28">
        <v>2.4</v>
      </c>
      <c r="N3" s="29">
        <f>L3*M3</f>
        <v>156</v>
      </c>
      <c r="O3" s="20">
        <f>N3*K3</f>
        <v>3288948</v>
      </c>
      <c r="P3" s="26">
        <f t="shared" ref="P3" si="1">C3</f>
        <v>5125</v>
      </c>
      <c r="Q3" s="1" t="s">
        <v>102</v>
      </c>
    </row>
    <row r="4" spans="1:17" x14ac:dyDescent="0.3">
      <c r="A4" s="18">
        <v>46173</v>
      </c>
      <c r="B4" s="32" t="s">
        <v>28</v>
      </c>
      <c r="C4" s="26">
        <v>126</v>
      </c>
      <c r="D4" s="2">
        <f>K4*N4*-1</f>
        <v>-3035952</v>
      </c>
      <c r="E4" s="1" t="s">
        <v>28</v>
      </c>
      <c r="F4" s="29">
        <f>N4</f>
        <v>144</v>
      </c>
      <c r="G4" s="31">
        <v>21083</v>
      </c>
      <c r="H4" s="1" t="s">
        <v>115</v>
      </c>
      <c r="I4" s="1" t="s">
        <v>187</v>
      </c>
      <c r="J4" s="3" t="s">
        <v>182</v>
      </c>
      <c r="K4" s="19">
        <f t="shared" ref="K4" si="2">G4</f>
        <v>21083</v>
      </c>
      <c r="L4" s="27">
        <v>60</v>
      </c>
      <c r="M4" s="28">
        <v>2.4</v>
      </c>
      <c r="N4" s="29">
        <f>L4*M4</f>
        <v>144</v>
      </c>
      <c r="O4" s="20">
        <f>N4*K4</f>
        <v>3035952</v>
      </c>
      <c r="P4" s="26">
        <f t="shared" ref="P4" si="3">C4</f>
        <v>126</v>
      </c>
      <c r="Q4" s="1" t="s">
        <v>102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4E77-A152-43F4-A1E9-293C39B50712}">
  <dimension ref="A1:T13"/>
  <sheetViews>
    <sheetView zoomScale="90" zoomScaleNormal="90" workbookViewId="0">
      <selection activeCell="L13" sqref="L13"/>
    </sheetView>
  </sheetViews>
  <sheetFormatPr baseColWidth="10" defaultColWidth="8.88671875" defaultRowHeight="10.8" x14ac:dyDescent="0.25"/>
  <cols>
    <col min="1" max="1" width="15.88671875" style="37" bestFit="1" customWidth="1"/>
    <col min="2" max="2" width="28.6640625" style="37" bestFit="1" customWidth="1"/>
    <col min="3" max="3" width="5.6640625" style="37" bestFit="1" customWidth="1"/>
    <col min="4" max="4" width="10.88671875" style="37" bestFit="1" customWidth="1"/>
    <col min="5" max="5" width="23.5546875" style="37" bestFit="1" customWidth="1"/>
    <col min="6" max="6" width="17.44140625" style="37" bestFit="1" customWidth="1"/>
    <col min="7" max="7" width="20.88671875" style="37" bestFit="1" customWidth="1"/>
    <col min="8" max="8" width="22.6640625" style="37" bestFit="1" customWidth="1"/>
    <col min="9" max="9" width="17.44140625" style="37" bestFit="1" customWidth="1"/>
    <col min="10" max="10" width="6.6640625" style="37" bestFit="1" customWidth="1"/>
    <col min="11" max="11" width="8.6640625" style="37" bestFit="1" customWidth="1"/>
    <col min="12" max="12" width="7.109375" style="37" bestFit="1" customWidth="1"/>
    <col min="13" max="13" width="14.44140625" style="37" bestFit="1" customWidth="1"/>
    <col min="14" max="14" width="16.5546875" style="37" bestFit="1" customWidth="1"/>
    <col min="15" max="15" width="3.109375" style="37" bestFit="1" customWidth="1"/>
    <col min="16" max="16" width="10.44140625" style="37" bestFit="1" customWidth="1"/>
    <col min="17" max="17" width="4.88671875" style="37" bestFit="1" customWidth="1"/>
    <col min="18" max="18" width="8" style="37" bestFit="1" customWidth="1"/>
    <col min="19" max="19" width="6.6640625" style="37" bestFit="1" customWidth="1"/>
    <col min="20" max="20" width="4.33203125" style="37" bestFit="1" customWidth="1"/>
    <col min="21" max="16384" width="8.88671875" style="37"/>
  </cols>
  <sheetData>
    <row r="1" spans="1:20" x14ac:dyDescent="0.25">
      <c r="A1" s="33" t="s">
        <v>0</v>
      </c>
      <c r="B1" s="34" t="s">
        <v>1</v>
      </c>
      <c r="C1" s="34" t="s">
        <v>2</v>
      </c>
      <c r="D1" s="35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77" t="s">
        <v>116</v>
      </c>
      <c r="L1" s="77" t="s">
        <v>117</v>
      </c>
      <c r="M1" s="77" t="s">
        <v>118</v>
      </c>
      <c r="N1" s="77" t="s">
        <v>185</v>
      </c>
      <c r="O1" s="77" t="s">
        <v>101</v>
      </c>
      <c r="P1" s="77" t="s">
        <v>119</v>
      </c>
      <c r="Q1" s="36" t="s">
        <v>183</v>
      </c>
      <c r="R1" s="36" t="s">
        <v>184</v>
      </c>
      <c r="S1" s="36" t="s">
        <v>99</v>
      </c>
      <c r="T1" s="78" t="s">
        <v>190</v>
      </c>
    </row>
    <row r="2" spans="1:20" x14ac:dyDescent="0.25">
      <c r="A2" s="79">
        <v>46173</v>
      </c>
      <c r="B2" s="80" t="s">
        <v>28</v>
      </c>
      <c r="C2" s="81">
        <v>4925</v>
      </c>
      <c r="D2" s="82">
        <f>N2*O2*-1</f>
        <v>-564050.57999999996</v>
      </c>
      <c r="E2" s="80" t="str">
        <f>_xlfn.CONCAT(Q2,"-",H2,"-",R2)</f>
        <v>4925-q_servicios-{madres}</v>
      </c>
      <c r="F2" s="41">
        <f>O2</f>
        <v>58</v>
      </c>
      <c r="G2" s="83">
        <v>9725.01</v>
      </c>
      <c r="H2" s="41" t="s">
        <v>116</v>
      </c>
      <c r="I2" s="41" t="s">
        <v>102</v>
      </c>
      <c r="J2" s="84" t="s">
        <v>182</v>
      </c>
      <c r="K2" s="81">
        <v>58</v>
      </c>
      <c r="L2" s="41">
        <v>0</v>
      </c>
      <c r="M2" s="41"/>
      <c r="N2" s="83">
        <v>9725.01</v>
      </c>
      <c r="O2" s="41">
        <f t="shared" ref="O2:O9" si="0">SUM(K2:M2)</f>
        <v>58</v>
      </c>
      <c r="P2" s="82">
        <f>N2*O2</f>
        <v>564050.57999999996</v>
      </c>
      <c r="Q2" s="80">
        <f>C2</f>
        <v>4925</v>
      </c>
      <c r="R2" s="80" t="s">
        <v>102</v>
      </c>
      <c r="S2" s="80" t="s">
        <v>114</v>
      </c>
      <c r="T2" s="80">
        <v>1</v>
      </c>
    </row>
    <row r="3" spans="1:20" x14ac:dyDescent="0.25">
      <c r="A3" s="79">
        <v>46173</v>
      </c>
      <c r="B3" s="80" t="s">
        <v>33</v>
      </c>
      <c r="C3" s="81">
        <f>C2</f>
        <v>4925</v>
      </c>
      <c r="D3" s="82">
        <f t="shared" ref="D3:D9" si="1">N3*O3*-1</f>
        <v>-221497.2</v>
      </c>
      <c r="E3" s="80" t="str">
        <f>_xlfn.CONCAT(Q3,"-",H3,"-",R3)</f>
        <v>4925-q_partos-{madres}</v>
      </c>
      <c r="F3" s="41">
        <f t="shared" ref="F3:F5" si="2">O3</f>
        <v>54</v>
      </c>
      <c r="G3" s="83">
        <v>4101.8</v>
      </c>
      <c r="H3" s="41" t="s">
        <v>117</v>
      </c>
      <c r="I3" s="41" t="s">
        <v>102</v>
      </c>
      <c r="J3" s="84" t="s">
        <v>182</v>
      </c>
      <c r="K3" s="41"/>
      <c r="L3" s="81">
        <v>54</v>
      </c>
      <c r="M3" s="41"/>
      <c r="N3" s="83">
        <v>4101.8</v>
      </c>
      <c r="O3" s="41">
        <f t="shared" si="0"/>
        <v>54</v>
      </c>
      <c r="P3" s="82">
        <f t="shared" ref="P3:P9" si="3">N3*O3</f>
        <v>221497.2</v>
      </c>
      <c r="Q3" s="80">
        <f t="shared" ref="Q3:Q9" si="4">C3</f>
        <v>4925</v>
      </c>
      <c r="R3" s="80" t="s">
        <v>102</v>
      </c>
      <c r="S3" s="80" t="s">
        <v>114</v>
      </c>
      <c r="T3" s="80">
        <v>2</v>
      </c>
    </row>
    <row r="4" spans="1:20" x14ac:dyDescent="0.25">
      <c r="A4" s="79">
        <v>46173</v>
      </c>
      <c r="B4" s="80" t="s">
        <v>33</v>
      </c>
      <c r="C4" s="81">
        <f t="shared" ref="C4:C5" si="5">C3</f>
        <v>4925</v>
      </c>
      <c r="D4" s="82">
        <f t="shared" si="1"/>
        <v>-136143.18000000002</v>
      </c>
      <c r="E4" s="80" t="str">
        <f t="shared" ref="E4:E9" si="6">_xlfn.CONCAT(Q4,"-",H4,"-",R4)</f>
        <v>4925-q_lechones/capones-{lechones}</v>
      </c>
      <c r="F4" s="41">
        <f t="shared" si="2"/>
        <v>771</v>
      </c>
      <c r="G4" s="83">
        <v>176.58</v>
      </c>
      <c r="H4" s="41" t="s">
        <v>118</v>
      </c>
      <c r="I4" s="41" t="s">
        <v>103</v>
      </c>
      <c r="J4" s="84" t="s">
        <v>182</v>
      </c>
      <c r="K4" s="41"/>
      <c r="L4" s="41"/>
      <c r="M4" s="81">
        <v>771</v>
      </c>
      <c r="N4" s="83">
        <v>176.58</v>
      </c>
      <c r="O4" s="41">
        <f t="shared" si="0"/>
        <v>771</v>
      </c>
      <c r="P4" s="82">
        <f t="shared" si="3"/>
        <v>136143.18000000002</v>
      </c>
      <c r="Q4" s="80">
        <f t="shared" si="4"/>
        <v>4925</v>
      </c>
      <c r="R4" s="80" t="s">
        <v>103</v>
      </c>
      <c r="S4" s="80" t="s">
        <v>114</v>
      </c>
      <c r="T4" s="80">
        <v>3</v>
      </c>
    </row>
    <row r="5" spans="1:20" x14ac:dyDescent="0.25">
      <c r="A5" s="79">
        <v>46173</v>
      </c>
      <c r="B5" s="80" t="s">
        <v>35</v>
      </c>
      <c r="C5" s="81">
        <f t="shared" si="5"/>
        <v>4925</v>
      </c>
      <c r="D5" s="82">
        <f t="shared" si="1"/>
        <v>-3011096.2800000003</v>
      </c>
      <c r="E5" s="80" t="str">
        <f t="shared" si="6"/>
        <v>4925-q_lechones/capones-{lechones}</v>
      </c>
      <c r="F5" s="41">
        <f t="shared" si="2"/>
        <v>699</v>
      </c>
      <c r="G5" s="83">
        <v>4307.72</v>
      </c>
      <c r="H5" s="41" t="s">
        <v>118</v>
      </c>
      <c r="I5" s="41" t="s">
        <v>103</v>
      </c>
      <c r="J5" s="84" t="s">
        <v>182</v>
      </c>
      <c r="K5" s="41"/>
      <c r="L5" s="41"/>
      <c r="M5" s="81">
        <v>699</v>
      </c>
      <c r="N5" s="83">
        <v>4307.72</v>
      </c>
      <c r="O5" s="41">
        <f t="shared" si="0"/>
        <v>699</v>
      </c>
      <c r="P5" s="82">
        <f t="shared" si="3"/>
        <v>3011096.2800000003</v>
      </c>
      <c r="Q5" s="80">
        <f t="shared" si="4"/>
        <v>4925</v>
      </c>
      <c r="R5" s="80" t="s">
        <v>103</v>
      </c>
      <c r="S5" s="80" t="s">
        <v>114</v>
      </c>
      <c r="T5" s="80">
        <v>4</v>
      </c>
    </row>
    <row r="6" spans="1:20" x14ac:dyDescent="0.25">
      <c r="A6" s="79">
        <v>46173</v>
      </c>
      <c r="B6" s="85" t="s">
        <v>28</v>
      </c>
      <c r="C6" s="86">
        <v>5125</v>
      </c>
      <c r="D6" s="87">
        <f t="shared" si="1"/>
        <v>-632125.65</v>
      </c>
      <c r="E6" s="85" t="str">
        <f t="shared" si="6"/>
        <v>5125-q_servicios-{madres}</v>
      </c>
      <c r="F6" s="88">
        <f>O6</f>
        <v>65</v>
      </c>
      <c r="G6" s="89">
        <v>9725.01</v>
      </c>
      <c r="H6" s="88" t="s">
        <v>116</v>
      </c>
      <c r="I6" s="88" t="s">
        <v>102</v>
      </c>
      <c r="J6" s="90" t="s">
        <v>182</v>
      </c>
      <c r="K6" s="91">
        <v>65</v>
      </c>
      <c r="L6" s="88">
        <v>0</v>
      </c>
      <c r="M6" s="88"/>
      <c r="N6" s="89">
        <v>9725.01</v>
      </c>
      <c r="O6" s="88">
        <f t="shared" si="0"/>
        <v>65</v>
      </c>
      <c r="P6" s="87">
        <f t="shared" si="3"/>
        <v>632125.65</v>
      </c>
      <c r="Q6" s="85">
        <f t="shared" si="4"/>
        <v>5125</v>
      </c>
      <c r="R6" s="85" t="s">
        <v>102</v>
      </c>
      <c r="S6" s="85" t="s">
        <v>114</v>
      </c>
      <c r="T6" s="80">
        <v>1</v>
      </c>
    </row>
    <row r="7" spans="1:20" x14ac:dyDescent="0.25">
      <c r="A7" s="79">
        <v>46173</v>
      </c>
      <c r="B7" s="80" t="s">
        <v>33</v>
      </c>
      <c r="C7" s="92">
        <f>C6</f>
        <v>5125</v>
      </c>
      <c r="D7" s="93">
        <f t="shared" si="1"/>
        <v>-225599</v>
      </c>
      <c r="E7" s="80" t="str">
        <f t="shared" si="6"/>
        <v>5125-q_partos-{madres}</v>
      </c>
      <c r="F7" s="88">
        <f t="shared" ref="F7:F9" si="7">O7</f>
        <v>55</v>
      </c>
      <c r="G7" s="94">
        <v>4101.8</v>
      </c>
      <c r="H7" s="95" t="s">
        <v>117</v>
      </c>
      <c r="I7" s="95" t="s">
        <v>102</v>
      </c>
      <c r="J7" s="96" t="s">
        <v>182</v>
      </c>
      <c r="K7" s="95"/>
      <c r="L7" s="81">
        <v>55</v>
      </c>
      <c r="M7" s="95"/>
      <c r="N7" s="94">
        <v>4101.8</v>
      </c>
      <c r="O7" s="95">
        <f t="shared" si="0"/>
        <v>55</v>
      </c>
      <c r="P7" s="93">
        <f t="shared" si="3"/>
        <v>225599</v>
      </c>
      <c r="Q7" s="80">
        <f t="shared" si="4"/>
        <v>5125</v>
      </c>
      <c r="R7" s="80" t="s">
        <v>102</v>
      </c>
      <c r="S7" s="80" t="s">
        <v>114</v>
      </c>
      <c r="T7" s="80">
        <v>2</v>
      </c>
    </row>
    <row r="8" spans="1:20" x14ac:dyDescent="0.25">
      <c r="A8" s="79">
        <v>46173</v>
      </c>
      <c r="B8" s="80" t="s">
        <v>33</v>
      </c>
      <c r="C8" s="92">
        <f t="shared" ref="C8:C9" si="8">C7</f>
        <v>5125</v>
      </c>
      <c r="D8" s="93">
        <f t="shared" si="1"/>
        <v>-144265.86000000002</v>
      </c>
      <c r="E8" s="80" t="str">
        <f t="shared" si="6"/>
        <v>5125-q_lechones/capones-{lechones}</v>
      </c>
      <c r="F8" s="88">
        <f t="shared" si="7"/>
        <v>817</v>
      </c>
      <c r="G8" s="94">
        <v>176.58</v>
      </c>
      <c r="H8" s="95" t="s">
        <v>118</v>
      </c>
      <c r="I8" s="95" t="s">
        <v>103</v>
      </c>
      <c r="J8" s="96" t="s">
        <v>182</v>
      </c>
      <c r="K8" s="95"/>
      <c r="L8" s="95"/>
      <c r="M8" s="81">
        <v>817</v>
      </c>
      <c r="N8" s="94">
        <v>176.58</v>
      </c>
      <c r="O8" s="95">
        <f t="shared" si="0"/>
        <v>817</v>
      </c>
      <c r="P8" s="93">
        <f t="shared" si="3"/>
        <v>144265.86000000002</v>
      </c>
      <c r="Q8" s="80">
        <f t="shared" si="4"/>
        <v>5125</v>
      </c>
      <c r="R8" s="80" t="s">
        <v>103</v>
      </c>
      <c r="S8" s="80" t="s">
        <v>114</v>
      </c>
      <c r="T8" s="80">
        <v>3</v>
      </c>
    </row>
    <row r="9" spans="1:20" x14ac:dyDescent="0.25">
      <c r="A9" s="79">
        <v>46173</v>
      </c>
      <c r="B9" s="80" t="s">
        <v>35</v>
      </c>
      <c r="C9" s="92">
        <f t="shared" si="8"/>
        <v>5125</v>
      </c>
      <c r="D9" s="93">
        <f t="shared" si="1"/>
        <v>-2744017.64</v>
      </c>
      <c r="E9" s="80" t="str">
        <f t="shared" si="6"/>
        <v>5125-q_lechones/capones-{lechones}</v>
      </c>
      <c r="F9" s="88">
        <f t="shared" si="7"/>
        <v>637</v>
      </c>
      <c r="G9" s="94">
        <v>4307.72</v>
      </c>
      <c r="H9" s="95" t="s">
        <v>118</v>
      </c>
      <c r="I9" s="95" t="s">
        <v>103</v>
      </c>
      <c r="J9" s="96" t="s">
        <v>182</v>
      </c>
      <c r="K9" s="95"/>
      <c r="L9" s="95"/>
      <c r="M9" s="81">
        <v>637</v>
      </c>
      <c r="N9" s="94">
        <v>4307.72</v>
      </c>
      <c r="O9" s="95">
        <f t="shared" si="0"/>
        <v>637</v>
      </c>
      <c r="P9" s="93">
        <f t="shared" si="3"/>
        <v>2744017.64</v>
      </c>
      <c r="Q9" s="80">
        <f t="shared" si="4"/>
        <v>5125</v>
      </c>
      <c r="R9" s="80" t="s">
        <v>103</v>
      </c>
      <c r="S9" s="80" t="s">
        <v>114</v>
      </c>
      <c r="T9" s="80">
        <v>4</v>
      </c>
    </row>
    <row r="10" spans="1:20" x14ac:dyDescent="0.25">
      <c r="A10" s="79">
        <v>46173</v>
      </c>
      <c r="B10" s="80" t="s">
        <v>28</v>
      </c>
      <c r="C10" s="81">
        <v>126</v>
      </c>
      <c r="D10" s="82">
        <f>N10*O10*-1</f>
        <v>-583500.6</v>
      </c>
      <c r="E10" s="80" t="str">
        <f>_xlfn.CONCAT(Q10,"-",H10,"-",R10)</f>
        <v>126-q_servicios-{madres}</v>
      </c>
      <c r="F10" s="41">
        <f>O10</f>
        <v>60</v>
      </c>
      <c r="G10" s="83">
        <v>9725.01</v>
      </c>
      <c r="H10" s="41" t="s">
        <v>116</v>
      </c>
      <c r="I10" s="41" t="s">
        <v>102</v>
      </c>
      <c r="J10" s="84" t="s">
        <v>182</v>
      </c>
      <c r="K10" s="81">
        <v>60</v>
      </c>
      <c r="L10" s="41">
        <v>0</v>
      </c>
      <c r="M10" s="41"/>
      <c r="N10" s="83">
        <v>9725.01</v>
      </c>
      <c r="O10" s="41">
        <f t="shared" ref="O10:O13" si="9">SUM(K10:M10)</f>
        <v>60</v>
      </c>
      <c r="P10" s="82">
        <f>N10*O10</f>
        <v>583500.6</v>
      </c>
      <c r="Q10" s="80">
        <f>C10</f>
        <v>126</v>
      </c>
      <c r="R10" s="80" t="s">
        <v>102</v>
      </c>
      <c r="S10" s="80" t="s">
        <v>114</v>
      </c>
      <c r="T10" s="80">
        <v>1</v>
      </c>
    </row>
    <row r="11" spans="1:20" x14ac:dyDescent="0.25">
      <c r="A11" s="79">
        <v>46173</v>
      </c>
      <c r="B11" s="80" t="s">
        <v>33</v>
      </c>
      <c r="C11" s="81">
        <f>C10</f>
        <v>126</v>
      </c>
      <c r="D11" s="82">
        <f t="shared" ref="D11:D13" si="10">N11*O11*-1</f>
        <v>-229700.80000000002</v>
      </c>
      <c r="E11" s="80" t="str">
        <f>_xlfn.CONCAT(Q11,"-",H11,"-",R11)</f>
        <v>126-q_partos-{madres}</v>
      </c>
      <c r="F11" s="41">
        <f t="shared" ref="F11:F13" si="11">O11</f>
        <v>56</v>
      </c>
      <c r="G11" s="83">
        <v>4101.8</v>
      </c>
      <c r="H11" s="41" t="s">
        <v>117</v>
      </c>
      <c r="I11" s="41" t="s">
        <v>102</v>
      </c>
      <c r="J11" s="84" t="s">
        <v>182</v>
      </c>
      <c r="K11" s="41"/>
      <c r="L11" s="81">
        <v>56</v>
      </c>
      <c r="M11" s="41"/>
      <c r="N11" s="83">
        <v>4101.8</v>
      </c>
      <c r="O11" s="41">
        <f t="shared" si="9"/>
        <v>56</v>
      </c>
      <c r="P11" s="82">
        <f t="shared" ref="P11:P13" si="12">N11*O11</f>
        <v>229700.80000000002</v>
      </c>
      <c r="Q11" s="80">
        <f t="shared" ref="Q11:Q13" si="13">C11</f>
        <v>126</v>
      </c>
      <c r="R11" s="80" t="s">
        <v>102</v>
      </c>
      <c r="S11" s="80" t="s">
        <v>114</v>
      </c>
      <c r="T11" s="80">
        <v>2</v>
      </c>
    </row>
    <row r="12" spans="1:20" x14ac:dyDescent="0.25">
      <c r="A12" s="79">
        <v>46173</v>
      </c>
      <c r="B12" s="80" t="s">
        <v>33</v>
      </c>
      <c r="C12" s="81">
        <f t="shared" ref="C12:C13" si="14">C11</f>
        <v>126</v>
      </c>
      <c r="D12" s="82">
        <f t="shared" si="10"/>
        <v>-141087.42000000001</v>
      </c>
      <c r="E12" s="80" t="str">
        <f t="shared" ref="E12:E13" si="15">_xlfn.CONCAT(Q12,"-",H12,"-",R12)</f>
        <v>126-q_lechones/capones-{lechones}</v>
      </c>
      <c r="F12" s="41">
        <f t="shared" si="11"/>
        <v>799</v>
      </c>
      <c r="G12" s="83">
        <v>176.58</v>
      </c>
      <c r="H12" s="41" t="s">
        <v>118</v>
      </c>
      <c r="I12" s="41" t="s">
        <v>103</v>
      </c>
      <c r="J12" s="84" t="s">
        <v>182</v>
      </c>
      <c r="K12" s="41"/>
      <c r="L12" s="41"/>
      <c r="M12" s="81">
        <v>799</v>
      </c>
      <c r="N12" s="83">
        <v>176.58</v>
      </c>
      <c r="O12" s="41">
        <f t="shared" si="9"/>
        <v>799</v>
      </c>
      <c r="P12" s="82">
        <f t="shared" si="12"/>
        <v>141087.42000000001</v>
      </c>
      <c r="Q12" s="80">
        <f t="shared" si="13"/>
        <v>126</v>
      </c>
      <c r="R12" s="80" t="s">
        <v>103</v>
      </c>
      <c r="S12" s="80" t="s">
        <v>114</v>
      </c>
      <c r="T12" s="80">
        <v>3</v>
      </c>
    </row>
    <row r="13" spans="1:20" x14ac:dyDescent="0.25">
      <c r="A13" s="79">
        <v>46173</v>
      </c>
      <c r="B13" s="80" t="s">
        <v>35</v>
      </c>
      <c r="C13" s="81">
        <f t="shared" si="14"/>
        <v>126</v>
      </c>
      <c r="D13" s="82">
        <f t="shared" si="10"/>
        <v>-2976634.52</v>
      </c>
      <c r="E13" s="80" t="str">
        <f t="shared" si="15"/>
        <v>126-q_lechones/capones-{lechones}</v>
      </c>
      <c r="F13" s="41">
        <f t="shared" si="11"/>
        <v>691</v>
      </c>
      <c r="G13" s="83">
        <v>4307.72</v>
      </c>
      <c r="H13" s="41" t="s">
        <v>118</v>
      </c>
      <c r="I13" s="41" t="s">
        <v>103</v>
      </c>
      <c r="J13" s="84" t="s">
        <v>182</v>
      </c>
      <c r="K13" s="41"/>
      <c r="L13" s="41"/>
      <c r="M13" s="81">
        <v>691</v>
      </c>
      <c r="N13" s="83">
        <v>4307.72</v>
      </c>
      <c r="O13" s="41">
        <f t="shared" si="9"/>
        <v>691</v>
      </c>
      <c r="P13" s="82">
        <f t="shared" si="12"/>
        <v>2976634.52</v>
      </c>
      <c r="Q13" s="80">
        <f t="shared" si="13"/>
        <v>126</v>
      </c>
      <c r="R13" s="80" t="s">
        <v>103</v>
      </c>
      <c r="S13" s="80" t="s">
        <v>114</v>
      </c>
      <c r="T13" s="80">
        <v>4</v>
      </c>
    </row>
  </sheetData>
  <phoneticPr fontId="2" type="noConversion"/>
  <pageMargins left="0.7" right="0.7" top="0.75" bottom="0.75" header="0.3" footer="0.3"/>
  <ignoredErrors>
    <ignoredError sqref="O2:O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4AFF-4097-4117-87ED-DCDBF1D55C50}">
  <dimension ref="A1:R37"/>
  <sheetViews>
    <sheetView zoomScale="95" zoomScaleNormal="95" workbookViewId="0">
      <pane ySplit="1" topLeftCell="A5" activePane="bottomLeft" state="frozen"/>
      <selection pane="bottomLeft" activeCell="G37" sqref="G37"/>
    </sheetView>
  </sheetViews>
  <sheetFormatPr baseColWidth="10" defaultColWidth="8.88671875" defaultRowHeight="10.8" x14ac:dyDescent="0.25"/>
  <cols>
    <col min="1" max="1" width="16.109375" style="37" bestFit="1" customWidth="1"/>
    <col min="2" max="2" width="29" style="37" bestFit="1" customWidth="1"/>
    <col min="3" max="3" width="5.88671875" style="37" bestFit="1" customWidth="1"/>
    <col min="4" max="4" width="11.109375" style="37" bestFit="1" customWidth="1"/>
    <col min="5" max="5" width="23.33203125" style="37" bestFit="1" customWidth="1"/>
    <col min="6" max="6" width="17.6640625" style="37" bestFit="1" customWidth="1"/>
    <col min="7" max="7" width="21" style="37" bestFit="1" customWidth="1"/>
    <col min="8" max="8" width="23.33203125" style="37" customWidth="1"/>
    <col min="9" max="9" width="17.6640625" style="37" bestFit="1" customWidth="1"/>
    <col min="10" max="10" width="7" style="50" bestFit="1" customWidth="1"/>
    <col min="11" max="11" width="5.109375" style="37" bestFit="1" customWidth="1"/>
    <col min="12" max="12" width="8.109375" style="37" bestFit="1" customWidth="1"/>
    <col min="13" max="13" width="7.6640625" style="37" bestFit="1" customWidth="1"/>
    <col min="14" max="14" width="27.5546875" style="37" bestFit="1" customWidth="1"/>
    <col min="15" max="15" width="19.5546875" style="37" bestFit="1" customWidth="1"/>
    <col min="16" max="16" width="27.5546875" style="37" bestFit="1" customWidth="1"/>
    <col min="17" max="17" width="15.33203125" style="37" bestFit="1" customWidth="1"/>
    <col min="18" max="18" width="10.6640625" style="37" bestFit="1" customWidth="1"/>
    <col min="19" max="16384" width="8.88671875" style="37"/>
  </cols>
  <sheetData>
    <row r="1" spans="1:18" ht="11.4" thickBot="1" x14ac:dyDescent="0.3">
      <c r="A1" s="33" t="s">
        <v>0</v>
      </c>
      <c r="B1" s="34" t="s">
        <v>1</v>
      </c>
      <c r="C1" s="34" t="s">
        <v>2</v>
      </c>
      <c r="D1" s="35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62" t="s">
        <v>183</v>
      </c>
      <c r="L1" s="36" t="s">
        <v>184</v>
      </c>
      <c r="M1" s="36" t="s">
        <v>189</v>
      </c>
      <c r="N1" s="36" t="s">
        <v>191</v>
      </c>
      <c r="O1" s="36" t="s">
        <v>224</v>
      </c>
      <c r="P1" s="36" t="s">
        <v>225</v>
      </c>
      <c r="Q1" s="36" t="s">
        <v>234</v>
      </c>
      <c r="R1" s="36" t="s">
        <v>309</v>
      </c>
    </row>
    <row r="2" spans="1:18" x14ac:dyDescent="0.25">
      <c r="A2" s="38">
        <v>46173</v>
      </c>
      <c r="B2" s="39" t="s">
        <v>28</v>
      </c>
      <c r="C2" s="39" t="s">
        <v>188</v>
      </c>
      <c r="D2" s="39">
        <f>F2*G2*-1</f>
        <v>-6252400</v>
      </c>
      <c r="E2" s="64" t="str">
        <f t="shared" ref="E2:E13" si="0">_xlfn.CONCAT(K2,"-",I2,"-",L2)</f>
        <v>4925-{gestacion,cachorra}-{madres}</v>
      </c>
      <c r="F2" s="69">
        <v>28420</v>
      </c>
      <c r="G2" s="68">
        <f>R2</f>
        <v>220</v>
      </c>
      <c r="H2" s="39" t="s">
        <v>125</v>
      </c>
      <c r="I2" s="39" t="s">
        <v>100</v>
      </c>
      <c r="J2" s="39" t="s">
        <v>182</v>
      </c>
      <c r="K2" s="63">
        <v>4925</v>
      </c>
      <c r="L2" s="39" t="s">
        <v>102</v>
      </c>
      <c r="M2" s="39">
        <v>1</v>
      </c>
      <c r="N2" s="41" t="str">
        <f>_xlfn.CONCAT(B2,"-",I2,"-",L2)</f>
        <v>GESTACIÓN-{gestacion,cachorra}-{madres}</v>
      </c>
      <c r="O2" s="41" t="str">
        <f>MID(E2,FIND("-",E2)+1,LEN(E2))</f>
        <v>{gestacion,cachorra}-{madres}</v>
      </c>
      <c r="P2" s="41" t="str">
        <f>_xlfn.CONCAT(B2,"-",O2)</f>
        <v>GESTACIÓN-{gestacion,cachorra}-{madres}</v>
      </c>
      <c r="Q2" s="41" t="str">
        <f>IF(_xlfn.XLOOKUP(P2,formula_ciclos!A:A,formula_ciclos!B:B,"")="NO",_xlfn.XLOOKUP(P2,formula_ciclos!A:A,formula_ciclos!E:E),(_xlfn.XLOOKUP(P2,formula_ciclos!A:A,formula_ciclos!B:B,"")))</f>
        <v>gestacion_1</v>
      </c>
      <c r="R2" s="41">
        <f>_xlfn.XLOOKUP(Q2,formulas!D:D,formulas!K:K,_xlfn.XLOOKUP(Q2,precios_mp_ac!A:A,precios_mp_ac!N:N,""))</f>
        <v>220</v>
      </c>
    </row>
    <row r="3" spans="1:18" x14ac:dyDescent="0.25">
      <c r="A3" s="38">
        <v>46173</v>
      </c>
      <c r="B3" s="39" t="s">
        <v>33</v>
      </c>
      <c r="C3" s="39" t="s">
        <v>188</v>
      </c>
      <c r="D3" s="39">
        <f t="shared" ref="D3:D13" si="1">F3*G3*-1</f>
        <v>-5194125</v>
      </c>
      <c r="E3" s="64" t="str">
        <f t="shared" si="0"/>
        <v>4925-{lactancia}-{madres}</v>
      </c>
      <c r="F3" s="70">
        <v>12150</v>
      </c>
      <c r="G3" s="68">
        <f t="shared" ref="G3:G25" si="2">R3</f>
        <v>427.5</v>
      </c>
      <c r="H3" s="39" t="s">
        <v>125</v>
      </c>
      <c r="I3" s="39" t="s">
        <v>105</v>
      </c>
      <c r="J3" s="39" t="s">
        <v>182</v>
      </c>
      <c r="K3" s="40">
        <f>$K$2</f>
        <v>4925</v>
      </c>
      <c r="L3" s="39" t="s">
        <v>102</v>
      </c>
      <c r="M3" s="39">
        <v>2</v>
      </c>
      <c r="N3" s="41" t="str">
        <f t="shared" ref="N3:N25" si="3">_xlfn.CONCAT(B3,"-",I3,"-",L3)</f>
        <v>MATERNIDAD-{lactancia}-{madres}</v>
      </c>
      <c r="O3" s="41" t="str">
        <f t="shared" ref="O3:O25" si="4">MID(E3,FIND("-",E3)+1,LEN(E3))</f>
        <v>{lactancia}-{madres}</v>
      </c>
      <c r="P3" s="41" t="str">
        <f t="shared" ref="P3:P25" si="5">_xlfn.CONCAT(B3,"-",O3)</f>
        <v>MATERNIDAD-{lactancia}-{madres}</v>
      </c>
      <c r="Q3" s="41" t="str">
        <f>IF(_xlfn.XLOOKUP(P3,formula_ciclos!A:A,formula_ciclos!B:B,"")="NO",_xlfn.XLOOKUP(P3,formula_ciclos!A:A,formula_ciclos!E:E),(_xlfn.XLOOKUP(P3,formula_ciclos!A:A,formula_ciclos!B:B,"")))</f>
        <v>lactancia</v>
      </c>
      <c r="R3" s="41">
        <f>_xlfn.XLOOKUP(Q3,formulas!D:D,formulas!K:K,_xlfn.XLOOKUP(Q3,precios_mp_ac!A:A,precios_mp_ac!N:N,""))</f>
        <v>427.5</v>
      </c>
    </row>
    <row r="4" spans="1:18" x14ac:dyDescent="0.25">
      <c r="A4" s="38">
        <v>46173</v>
      </c>
      <c r="B4" s="39" t="s">
        <v>33</v>
      </c>
      <c r="C4" s="39" t="s">
        <v>188</v>
      </c>
      <c r="D4" s="39">
        <f t="shared" si="1"/>
        <v>-510768.22500000003</v>
      </c>
      <c r="E4" s="64" t="str">
        <f t="shared" si="0"/>
        <v>4925-{fase0}-{lechones}</v>
      </c>
      <c r="F4" s="70">
        <v>192.75</v>
      </c>
      <c r="G4" s="68">
        <f t="shared" si="2"/>
        <v>2649.9</v>
      </c>
      <c r="H4" s="39" t="s">
        <v>125</v>
      </c>
      <c r="I4" s="39" t="s">
        <v>106</v>
      </c>
      <c r="J4" s="39" t="s">
        <v>182</v>
      </c>
      <c r="K4" s="40">
        <f t="shared" ref="K4:K13" si="6">$K$2</f>
        <v>4925</v>
      </c>
      <c r="L4" s="39" t="s">
        <v>103</v>
      </c>
      <c r="M4" s="39">
        <v>3</v>
      </c>
      <c r="N4" s="41" t="str">
        <f t="shared" si="3"/>
        <v>MATERNIDAD-{fase0}-{lechones}</v>
      </c>
      <c r="O4" s="41" t="str">
        <f t="shared" si="4"/>
        <v>{fase0}-{lechones}</v>
      </c>
      <c r="P4" s="41" t="str">
        <f t="shared" si="5"/>
        <v>MATERNIDAD-{fase0}-{lechones}</v>
      </c>
      <c r="Q4" s="41" t="str">
        <f>IF(_xlfn.XLOOKUP(P4,formula_ciclos!A:A,formula_ciclos!B:B,"")="NO",_xlfn.XLOOKUP(P4,formula_ciclos!A:A,formula_ciclos!E:E),(_xlfn.XLOOKUP(P4,formula_ciclos!A:A,formula_ciclos!B:B,"")))</f>
        <v>E3</v>
      </c>
      <c r="R4" s="41">
        <f>_xlfn.XLOOKUP(Q4,formulas!D:D,formulas!K:K,_xlfn.XLOOKUP(Q4,precios_mp_ac!A:A,precios_mp_ac!N:N,""))</f>
        <v>2649.9</v>
      </c>
    </row>
    <row r="5" spans="1:18" x14ac:dyDescent="0.25">
      <c r="A5" s="38">
        <v>46173</v>
      </c>
      <c r="B5" s="39" t="s">
        <v>33</v>
      </c>
      <c r="C5" s="39" t="s">
        <v>188</v>
      </c>
      <c r="D5" s="39">
        <f t="shared" si="1"/>
        <v>-1007542.7999999999</v>
      </c>
      <c r="E5" s="64" t="str">
        <f t="shared" si="0"/>
        <v>4925-{fase1}-{lechones}</v>
      </c>
      <c r="F5" s="70">
        <v>385.5</v>
      </c>
      <c r="G5" s="68">
        <f t="shared" si="2"/>
        <v>2613.6</v>
      </c>
      <c r="H5" s="39" t="s">
        <v>125</v>
      </c>
      <c r="I5" s="39" t="s">
        <v>107</v>
      </c>
      <c r="J5" s="39" t="s">
        <v>182</v>
      </c>
      <c r="K5" s="40">
        <f t="shared" si="6"/>
        <v>4925</v>
      </c>
      <c r="L5" s="39" t="s">
        <v>103</v>
      </c>
      <c r="M5" s="39">
        <v>4</v>
      </c>
      <c r="N5" s="41" t="str">
        <f t="shared" si="3"/>
        <v>MATERNIDAD-{fase1}-{lechones}</v>
      </c>
      <c r="O5" s="41" t="str">
        <f t="shared" si="4"/>
        <v>{fase1}-{lechones}</v>
      </c>
      <c r="P5" s="41" t="str">
        <f t="shared" si="5"/>
        <v>MATERNIDAD-{fase1}-{lechones}</v>
      </c>
      <c r="Q5" s="41" t="str">
        <f>IF(_xlfn.XLOOKUP(P5,formula_ciclos!A:A,formula_ciclos!B:B,"")="NO",_xlfn.XLOOKUP(P5,formula_ciclos!A:A,formula_ciclos!E:E),(_xlfn.XLOOKUP(P5,formula_ciclos!A:A,formula_ciclos!B:B,"")))</f>
        <v>E6</v>
      </c>
      <c r="R5" s="41">
        <f>_xlfn.XLOOKUP(Q5,formulas!D:D,formulas!K:K,_xlfn.XLOOKUP(Q5,precios_mp_ac!A:A,precios_mp_ac!N:N,""))</f>
        <v>2613.6</v>
      </c>
    </row>
    <row r="6" spans="1:18" x14ac:dyDescent="0.25">
      <c r="A6" s="38">
        <v>46173</v>
      </c>
      <c r="B6" s="39" t="s">
        <v>35</v>
      </c>
      <c r="C6" s="39" t="s">
        <v>188</v>
      </c>
      <c r="D6" s="39">
        <f t="shared" si="1"/>
        <v>-1105334.9999999998</v>
      </c>
      <c r="E6" s="64" t="str">
        <f t="shared" si="0"/>
        <v>4925-{fase1}-{lechones}</v>
      </c>
      <c r="F6" s="70">
        <v>525</v>
      </c>
      <c r="G6" s="68">
        <f t="shared" si="2"/>
        <v>2105.3999999999996</v>
      </c>
      <c r="H6" s="39" t="s">
        <v>125</v>
      </c>
      <c r="I6" s="39" t="s">
        <v>107</v>
      </c>
      <c r="J6" s="39" t="s">
        <v>182</v>
      </c>
      <c r="K6" s="40">
        <f t="shared" si="6"/>
        <v>4925</v>
      </c>
      <c r="L6" s="39" t="s">
        <v>103</v>
      </c>
      <c r="M6" s="39">
        <v>5</v>
      </c>
      <c r="N6" s="41" t="str">
        <f t="shared" si="3"/>
        <v>SITIO 2-{fase1}-{lechones}</v>
      </c>
      <c r="O6" s="41" t="str">
        <f t="shared" si="4"/>
        <v>{fase1}-{lechones}</v>
      </c>
      <c r="P6" s="41" t="str">
        <f t="shared" si="5"/>
        <v>SITIO 2-{fase1}-{lechones}</v>
      </c>
      <c r="Q6" s="41" t="str">
        <f>IF(_xlfn.XLOOKUP(P6,formula_ciclos!A:A,formula_ciclos!B:B,"")="NO",_xlfn.XLOOKUP(P6,formula_ciclos!A:A,formula_ciclos!E:E),(_xlfn.XLOOKUP(P6,formula_ciclos!A:A,formula_ciclos!B:B,"")))</f>
        <v>E7</v>
      </c>
      <c r="R6" s="41">
        <f>_xlfn.XLOOKUP(Q6,formulas!D:D,formulas!K:K,_xlfn.XLOOKUP(Q6,precios_mp_ac!A:A,precios_mp_ac!N:N,""))</f>
        <v>2105.3999999999996</v>
      </c>
    </row>
    <row r="7" spans="1:18" x14ac:dyDescent="0.25">
      <c r="A7" s="38">
        <v>46173</v>
      </c>
      <c r="B7" s="39" t="s">
        <v>35</v>
      </c>
      <c r="C7" s="39" t="s">
        <v>188</v>
      </c>
      <c r="D7" s="39">
        <f t="shared" si="1"/>
        <v>-5895119.9999999991</v>
      </c>
      <c r="E7" s="64" t="str">
        <f t="shared" si="0"/>
        <v>4925-{fase2}-{lechones}</v>
      </c>
      <c r="F7" s="70">
        <v>2800</v>
      </c>
      <c r="G7" s="68">
        <f t="shared" si="2"/>
        <v>2105.3999999999996</v>
      </c>
      <c r="H7" s="39" t="s">
        <v>125</v>
      </c>
      <c r="I7" s="39" t="s">
        <v>108</v>
      </c>
      <c r="J7" s="39" t="s">
        <v>182</v>
      </c>
      <c r="K7" s="40">
        <f t="shared" si="6"/>
        <v>4925</v>
      </c>
      <c r="L7" s="39" t="s">
        <v>103</v>
      </c>
      <c r="M7" s="39">
        <v>6</v>
      </c>
      <c r="N7" s="41" t="str">
        <f t="shared" si="3"/>
        <v>SITIO 2-{fase2}-{lechones}</v>
      </c>
      <c r="O7" s="41" t="str">
        <f t="shared" si="4"/>
        <v>{fase2}-{lechones}</v>
      </c>
      <c r="P7" s="41" t="str">
        <f t="shared" si="5"/>
        <v>SITIO 2-{fase2}-{lechones}</v>
      </c>
      <c r="Q7" s="41" t="str">
        <f>IF(_xlfn.XLOOKUP(P7,formula_ciclos!A:A,formula_ciclos!B:B,"")="NO",_xlfn.XLOOKUP(P7,formula_ciclos!A:A,formula_ciclos!E:E),(_xlfn.XLOOKUP(P7,formula_ciclos!A:A,formula_ciclos!B:B,"")))</f>
        <v>E7</v>
      </c>
      <c r="R7" s="41">
        <f>_xlfn.XLOOKUP(Q7,formulas!D:D,formulas!K:K,_xlfn.XLOOKUP(Q7,precios_mp_ac!A:A,precios_mp_ac!N:N,""))</f>
        <v>2105.3999999999996</v>
      </c>
    </row>
    <row r="8" spans="1:18" x14ac:dyDescent="0.25">
      <c r="A8" s="38">
        <v>46173</v>
      </c>
      <c r="B8" s="39" t="s">
        <v>35</v>
      </c>
      <c r="C8" s="39" t="s">
        <v>188</v>
      </c>
      <c r="D8" s="39">
        <f t="shared" si="1"/>
        <v>-1581750</v>
      </c>
      <c r="E8" s="64" t="str">
        <f t="shared" si="0"/>
        <v>4925-{fase3}-{lechones}</v>
      </c>
      <c r="F8" s="70">
        <v>3700</v>
      </c>
      <c r="G8" s="68">
        <f t="shared" si="2"/>
        <v>427.5</v>
      </c>
      <c r="H8" s="39" t="s">
        <v>125</v>
      </c>
      <c r="I8" s="39" t="s">
        <v>109</v>
      </c>
      <c r="J8" s="39" t="s">
        <v>182</v>
      </c>
      <c r="K8" s="40">
        <f t="shared" si="6"/>
        <v>4925</v>
      </c>
      <c r="L8" s="39" t="s">
        <v>103</v>
      </c>
      <c r="M8" s="39">
        <v>7</v>
      </c>
      <c r="N8" s="41" t="str">
        <f t="shared" si="3"/>
        <v>SITIO 2-{fase3}-{lechones}</v>
      </c>
      <c r="O8" s="41" t="str">
        <f t="shared" si="4"/>
        <v>{fase3}-{lechones}</v>
      </c>
      <c r="P8" s="41" t="str">
        <f t="shared" si="5"/>
        <v>SITIO 2-{fase3}-{lechones}</v>
      </c>
      <c r="Q8" s="41" t="str">
        <f>IF(_xlfn.XLOOKUP(P8,formula_ciclos!A:A,formula_ciclos!B:B,"")="NO",_xlfn.XLOOKUP(P8,formula_ciclos!A:A,formula_ciclos!E:E),(_xlfn.XLOOKUP(P8,formula_ciclos!A:A,formula_ciclos!B:B,"")))</f>
        <v>fase3</v>
      </c>
      <c r="R8" s="41">
        <f>_xlfn.XLOOKUP(Q8,formulas!D:D,formulas!K:K,_xlfn.XLOOKUP(Q8,precios_mp_ac!A:A,precios_mp_ac!N:N,""))</f>
        <v>427.5</v>
      </c>
    </row>
    <row r="9" spans="1:18" x14ac:dyDescent="0.25">
      <c r="A9" s="38">
        <v>46173</v>
      </c>
      <c r="B9" s="39" t="s">
        <v>35</v>
      </c>
      <c r="C9" s="39" t="s">
        <v>188</v>
      </c>
      <c r="D9" s="39">
        <f t="shared" si="1"/>
        <v>-1590300</v>
      </c>
      <c r="E9" s="64" t="str">
        <f t="shared" si="0"/>
        <v>4925-{fase4}-{lechones}</v>
      </c>
      <c r="F9" s="70">
        <v>3720</v>
      </c>
      <c r="G9" s="68">
        <f t="shared" si="2"/>
        <v>427.5</v>
      </c>
      <c r="H9" s="39" t="s">
        <v>125</v>
      </c>
      <c r="I9" s="39" t="s">
        <v>110</v>
      </c>
      <c r="J9" s="39" t="s">
        <v>182</v>
      </c>
      <c r="K9" s="40">
        <f t="shared" si="6"/>
        <v>4925</v>
      </c>
      <c r="L9" s="39" t="s">
        <v>103</v>
      </c>
      <c r="M9" s="39">
        <v>8</v>
      </c>
      <c r="N9" s="41" t="str">
        <f t="shared" si="3"/>
        <v>SITIO 2-{fase4}-{lechones}</v>
      </c>
      <c r="O9" s="41" t="str">
        <f t="shared" si="4"/>
        <v>{fase4}-{lechones}</v>
      </c>
      <c r="P9" s="41" t="str">
        <f t="shared" si="5"/>
        <v>SITIO 2-{fase4}-{lechones}</v>
      </c>
      <c r="Q9" s="41" t="str">
        <f>IF(_xlfn.XLOOKUP(P9,formula_ciclos!A:A,formula_ciclos!B:B,"")="NO",_xlfn.XLOOKUP(P9,formula_ciclos!A:A,formula_ciclos!E:E),(_xlfn.XLOOKUP(P9,formula_ciclos!A:A,formula_ciclos!B:B,"")))</f>
        <v>fase_4</v>
      </c>
      <c r="R9" s="41">
        <f>_xlfn.XLOOKUP(Q9,formulas!D:D,formulas!K:K,_xlfn.XLOOKUP(Q9,precios_mp_ac!A:A,precios_mp_ac!N:N,""))</f>
        <v>427.5</v>
      </c>
    </row>
    <row r="10" spans="1:18" x14ac:dyDescent="0.25">
      <c r="A10" s="38">
        <v>46173</v>
      </c>
      <c r="B10" s="39" t="s">
        <v>37</v>
      </c>
      <c r="C10" s="39" t="s">
        <v>188</v>
      </c>
      <c r="D10" s="39">
        <f t="shared" si="1"/>
        <v>-8201160</v>
      </c>
      <c r="E10" s="64" t="str">
        <f t="shared" si="0"/>
        <v>4925-{fase4}-{capones}</v>
      </c>
      <c r="F10" s="70">
        <v>19184</v>
      </c>
      <c r="G10" s="68">
        <f t="shared" si="2"/>
        <v>427.5</v>
      </c>
      <c r="H10" s="39" t="s">
        <v>125</v>
      </c>
      <c r="I10" s="39" t="s">
        <v>110</v>
      </c>
      <c r="J10" s="39" t="s">
        <v>182</v>
      </c>
      <c r="K10" s="40">
        <f t="shared" si="6"/>
        <v>4925</v>
      </c>
      <c r="L10" s="39" t="s">
        <v>104</v>
      </c>
      <c r="M10" s="39">
        <v>9</v>
      </c>
      <c r="N10" s="41" t="str">
        <f t="shared" si="3"/>
        <v>SITIO 3-{fase4}-{capones}</v>
      </c>
      <c r="O10" s="41" t="str">
        <f t="shared" si="4"/>
        <v>{fase4}-{capones}</v>
      </c>
      <c r="P10" s="41" t="str">
        <f t="shared" si="5"/>
        <v>SITIO 3-{fase4}-{capones}</v>
      </c>
      <c r="Q10" s="41" t="str">
        <f>IF(_xlfn.XLOOKUP(P10,formula_ciclos!A:A,formula_ciclos!B:B,"")="NO",_xlfn.XLOOKUP(P10,formula_ciclos!A:A,formula_ciclos!E:E),(_xlfn.XLOOKUP(P10,formula_ciclos!A:A,formula_ciclos!B:B,"")))</f>
        <v>fase_4</v>
      </c>
      <c r="R10" s="41">
        <f>_xlfn.XLOOKUP(Q10,formulas!D:D,formulas!K:K,_xlfn.XLOOKUP(Q10,precios_mp_ac!A:A,precios_mp_ac!N:N,""))</f>
        <v>427.5</v>
      </c>
    </row>
    <row r="11" spans="1:18" x14ac:dyDescent="0.25">
      <c r="A11" s="38">
        <v>46173</v>
      </c>
      <c r="B11" s="39" t="s">
        <v>37</v>
      </c>
      <c r="C11" s="39" t="s">
        <v>188</v>
      </c>
      <c r="D11" s="39">
        <f t="shared" si="1"/>
        <v>-12370200</v>
      </c>
      <c r="E11" s="64" t="str">
        <f t="shared" si="0"/>
        <v>4925-{desarrollo}-{capones}</v>
      </c>
      <c r="F11" s="70">
        <v>46680</v>
      </c>
      <c r="G11" s="68">
        <f t="shared" si="2"/>
        <v>265</v>
      </c>
      <c r="H11" s="39" t="s">
        <v>125</v>
      </c>
      <c r="I11" s="39" t="s">
        <v>111</v>
      </c>
      <c r="J11" s="39" t="s">
        <v>182</v>
      </c>
      <c r="K11" s="40">
        <f t="shared" si="6"/>
        <v>4925</v>
      </c>
      <c r="L11" s="39" t="s">
        <v>104</v>
      </c>
      <c r="M11" s="39">
        <v>10</v>
      </c>
      <c r="N11" s="41" t="str">
        <f t="shared" si="3"/>
        <v>SITIO 3-{desarrollo}-{capones}</v>
      </c>
      <c r="O11" s="41" t="str">
        <f t="shared" si="4"/>
        <v>{desarrollo}-{capones}</v>
      </c>
      <c r="P11" s="41" t="str">
        <f t="shared" si="5"/>
        <v>SITIO 3-{desarrollo}-{capones}</v>
      </c>
      <c r="Q11" s="41" t="str">
        <f>IF(_xlfn.XLOOKUP(P11,formula_ciclos!A:A,formula_ciclos!B:B,"")="NO",_xlfn.XLOOKUP(P11,formula_ciclos!A:A,formula_ciclos!E:E),(_xlfn.XLOOKUP(P11,formula_ciclos!A:A,formula_ciclos!B:B,"")))</f>
        <v>desarrollo_c_arveja</v>
      </c>
      <c r="R11" s="41">
        <f>_xlfn.XLOOKUP(Q11,formulas!D:D,formulas!K:K,_xlfn.XLOOKUP(Q11,precios_mp_ac!A:A,precios_mp_ac!N:N,""))</f>
        <v>265</v>
      </c>
    </row>
    <row r="12" spans="1:18" x14ac:dyDescent="0.25">
      <c r="A12" s="38">
        <v>46173</v>
      </c>
      <c r="B12" s="39" t="s">
        <v>37</v>
      </c>
      <c r="C12" s="39" t="s">
        <v>188</v>
      </c>
      <c r="D12" s="39">
        <f t="shared" si="1"/>
        <v>-14241100</v>
      </c>
      <c r="E12" s="64" t="str">
        <f t="shared" si="0"/>
        <v>4925-{t1}-{capones}</v>
      </c>
      <c r="F12" s="70">
        <v>53740</v>
      </c>
      <c r="G12" s="68">
        <f t="shared" si="2"/>
        <v>265</v>
      </c>
      <c r="H12" s="39" t="s">
        <v>125</v>
      </c>
      <c r="I12" s="39" t="s">
        <v>112</v>
      </c>
      <c r="J12" s="39" t="s">
        <v>182</v>
      </c>
      <c r="K12" s="40">
        <f t="shared" si="6"/>
        <v>4925</v>
      </c>
      <c r="L12" s="39" t="s">
        <v>104</v>
      </c>
      <c r="M12" s="39">
        <v>11</v>
      </c>
      <c r="N12" s="41" t="str">
        <f t="shared" si="3"/>
        <v>SITIO 3-{t1}-{capones}</v>
      </c>
      <c r="O12" s="41" t="str">
        <f t="shared" si="4"/>
        <v>{t1}-{capones}</v>
      </c>
      <c r="P12" s="41" t="str">
        <f t="shared" si="5"/>
        <v>SITIO 3-{t1}-{capones}</v>
      </c>
      <c r="Q12" s="41" t="str">
        <f>IF(_xlfn.XLOOKUP(P12,formula_ciclos!A:A,formula_ciclos!B:B,"")="NO",_xlfn.XLOOKUP(P12,formula_ciclos!A:A,formula_ciclos!E:E),(_xlfn.XLOOKUP(P12,formula_ciclos!A:A,formula_ciclos!B:B,"")))</f>
        <v>terminador_c_arveja_1a</v>
      </c>
      <c r="R12" s="41">
        <f>_xlfn.XLOOKUP(Q12,formulas!D:D,formulas!K:K,_xlfn.XLOOKUP(Q12,precios_mp_ac!A:A,precios_mp_ac!N:N,""))</f>
        <v>265</v>
      </c>
    </row>
    <row r="13" spans="1:18" ht="11.4" thickBot="1" x14ac:dyDescent="0.3">
      <c r="A13" s="42">
        <v>46173</v>
      </c>
      <c r="B13" s="43" t="s">
        <v>37</v>
      </c>
      <c r="C13" s="43" t="s">
        <v>188</v>
      </c>
      <c r="D13" s="43">
        <f t="shared" si="1"/>
        <v>-27361710</v>
      </c>
      <c r="E13" s="65" t="str">
        <f t="shared" si="0"/>
        <v>4925-{t2}-{capones}</v>
      </c>
      <c r="F13" s="71">
        <v>64004</v>
      </c>
      <c r="G13" s="68">
        <f t="shared" si="2"/>
        <v>427.5</v>
      </c>
      <c r="H13" s="43" t="s">
        <v>125</v>
      </c>
      <c r="I13" s="43" t="s">
        <v>113</v>
      </c>
      <c r="J13" s="43" t="s">
        <v>182</v>
      </c>
      <c r="K13" s="40">
        <f t="shared" si="6"/>
        <v>4925</v>
      </c>
      <c r="L13" s="43" t="s">
        <v>104</v>
      </c>
      <c r="M13" s="39">
        <v>12</v>
      </c>
      <c r="N13" s="41" t="str">
        <f t="shared" si="3"/>
        <v>SITIO 3-{t2}-{capones}</v>
      </c>
      <c r="O13" s="41" t="str">
        <f t="shared" si="4"/>
        <v>{t2}-{capones}</v>
      </c>
      <c r="P13" s="41" t="str">
        <f t="shared" si="5"/>
        <v>SITIO 3-{t2}-{capones}</v>
      </c>
      <c r="Q13" s="41" t="str">
        <f>IF(_xlfn.XLOOKUP(P13,formula_ciclos!A:A,formula_ciclos!B:B,"")="NO",_xlfn.XLOOKUP(P13,formula_ciclos!A:A,formula_ciclos!E:E),(_xlfn.XLOOKUP(P13,formula_ciclos!A:A,formula_ciclos!B:B,"")))</f>
        <v>terminador_c_arveja_2b</v>
      </c>
      <c r="R13" s="41">
        <f>_xlfn.XLOOKUP(Q13,formulas!D:D,formulas!K:K,_xlfn.XLOOKUP(Q13,precios_mp_ac!A:A,precios_mp_ac!N:N,""))</f>
        <v>427.5</v>
      </c>
    </row>
    <row r="14" spans="1:18" x14ac:dyDescent="0.25">
      <c r="A14" s="44">
        <v>46173</v>
      </c>
      <c r="B14" s="45" t="s">
        <v>28</v>
      </c>
      <c r="C14" s="45" t="s">
        <v>188</v>
      </c>
      <c r="D14" s="45">
        <f t="shared" ref="D14:D25" si="7">F14*G14*-1</f>
        <v>-7007000</v>
      </c>
      <c r="E14" s="66" t="str">
        <f t="shared" ref="E14:E37" si="8">_xlfn.CONCAT(K14,"-",I14,"-",L14)</f>
        <v>5125-{gestacion,cachorra}-{madres}</v>
      </c>
      <c r="F14" s="72">
        <v>31850</v>
      </c>
      <c r="G14" s="68">
        <f t="shared" si="2"/>
        <v>220</v>
      </c>
      <c r="H14" s="45" t="s">
        <v>125</v>
      </c>
      <c r="I14" s="45" t="s">
        <v>100</v>
      </c>
      <c r="J14" s="45" t="s">
        <v>182</v>
      </c>
      <c r="K14" s="46">
        <v>5125</v>
      </c>
      <c r="L14" s="45" t="s">
        <v>102</v>
      </c>
      <c r="M14" s="45">
        <v>1</v>
      </c>
      <c r="N14" s="47" t="str">
        <f t="shared" si="3"/>
        <v>GESTACIÓN-{gestacion,cachorra}-{madres}</v>
      </c>
      <c r="O14" s="47" t="str">
        <f t="shared" si="4"/>
        <v>{gestacion,cachorra}-{madres}</v>
      </c>
      <c r="P14" s="47" t="str">
        <f t="shared" si="5"/>
        <v>GESTACIÓN-{gestacion,cachorra}-{madres}</v>
      </c>
      <c r="Q14" s="47" t="str">
        <f>IF(_xlfn.XLOOKUP(P14,formula_ciclos!A:A,formula_ciclos!B:B,"")="NO",_xlfn.XLOOKUP(P14,formula_ciclos!A:A,formula_ciclos!E:E),(_xlfn.XLOOKUP(P14,formula_ciclos!A:A,formula_ciclos!B:B,"")))</f>
        <v>gestacion_1</v>
      </c>
      <c r="R14" s="47">
        <f>_xlfn.XLOOKUP(Q14,formulas!D:D,formulas!K:K,_xlfn.XLOOKUP(Q14,precios_mp_ac!A:A,precios_mp_ac!N:N,""))</f>
        <v>220</v>
      </c>
    </row>
    <row r="15" spans="1:18" x14ac:dyDescent="0.25">
      <c r="A15" s="44">
        <v>46173</v>
      </c>
      <c r="B15" s="45" t="s">
        <v>33</v>
      </c>
      <c r="C15" s="45" t="s">
        <v>188</v>
      </c>
      <c r="D15" s="45">
        <f t="shared" si="7"/>
        <v>-5290312.5</v>
      </c>
      <c r="E15" s="66" t="str">
        <f t="shared" si="8"/>
        <v>5125-{lactancia}-{madres}</v>
      </c>
      <c r="F15" s="72">
        <v>12375</v>
      </c>
      <c r="G15" s="68">
        <f t="shared" si="2"/>
        <v>427.5</v>
      </c>
      <c r="H15" s="45" t="s">
        <v>125</v>
      </c>
      <c r="I15" s="45" t="s">
        <v>105</v>
      </c>
      <c r="J15" s="45" t="s">
        <v>182</v>
      </c>
      <c r="K15" s="46">
        <f>$K$14</f>
        <v>5125</v>
      </c>
      <c r="L15" s="45" t="s">
        <v>102</v>
      </c>
      <c r="M15" s="45">
        <v>2</v>
      </c>
      <c r="N15" s="47" t="str">
        <f t="shared" si="3"/>
        <v>MATERNIDAD-{lactancia}-{madres}</v>
      </c>
      <c r="O15" s="47" t="str">
        <f t="shared" si="4"/>
        <v>{lactancia}-{madres}</v>
      </c>
      <c r="P15" s="47" t="str">
        <f t="shared" si="5"/>
        <v>MATERNIDAD-{lactancia}-{madres}</v>
      </c>
      <c r="Q15" s="47" t="str">
        <f>IF(_xlfn.XLOOKUP(P15,formula_ciclos!A:A,formula_ciclos!B:B,"")="NO",_xlfn.XLOOKUP(P15,formula_ciclos!A:A,formula_ciclos!E:E),(_xlfn.XLOOKUP(P15,formula_ciclos!A:A,formula_ciclos!B:B,"")))</f>
        <v>lactancia</v>
      </c>
      <c r="R15" s="47">
        <f>_xlfn.XLOOKUP(Q15,formulas!D:D,formulas!K:K,_xlfn.XLOOKUP(Q15,precios_mp_ac!A:A,precios_mp_ac!N:N,""))</f>
        <v>427.5</v>
      </c>
    </row>
    <row r="16" spans="1:18" x14ac:dyDescent="0.25">
      <c r="A16" s="44">
        <v>46173</v>
      </c>
      <c r="B16" s="45" t="s">
        <v>33</v>
      </c>
      <c r="C16" s="45" t="s">
        <v>188</v>
      </c>
      <c r="D16" s="45">
        <f t="shared" si="7"/>
        <v>-541242.07500000007</v>
      </c>
      <c r="E16" s="66" t="str">
        <f t="shared" si="8"/>
        <v>5125-{fase0}-{lechones}</v>
      </c>
      <c r="F16" s="72">
        <v>204.25</v>
      </c>
      <c r="G16" s="68">
        <f t="shared" si="2"/>
        <v>2649.9</v>
      </c>
      <c r="H16" s="45" t="s">
        <v>125</v>
      </c>
      <c r="I16" s="45" t="s">
        <v>106</v>
      </c>
      <c r="J16" s="45" t="s">
        <v>182</v>
      </c>
      <c r="K16" s="46">
        <f t="shared" ref="K16:K25" si="9">$K$14</f>
        <v>5125</v>
      </c>
      <c r="L16" s="45" t="s">
        <v>103</v>
      </c>
      <c r="M16" s="45">
        <v>3</v>
      </c>
      <c r="N16" s="47" t="str">
        <f t="shared" si="3"/>
        <v>MATERNIDAD-{fase0}-{lechones}</v>
      </c>
      <c r="O16" s="47" t="str">
        <f t="shared" si="4"/>
        <v>{fase0}-{lechones}</v>
      </c>
      <c r="P16" s="47" t="str">
        <f t="shared" si="5"/>
        <v>MATERNIDAD-{fase0}-{lechones}</v>
      </c>
      <c r="Q16" s="47" t="str">
        <f>IF(_xlfn.XLOOKUP(P16,formula_ciclos!A:A,formula_ciclos!B:B,"")="NO",_xlfn.XLOOKUP(P16,formula_ciclos!A:A,formula_ciclos!E:E),(_xlfn.XLOOKUP(P16,formula_ciclos!A:A,formula_ciclos!B:B,"")))</f>
        <v>E3</v>
      </c>
      <c r="R16" s="47">
        <f>_xlfn.XLOOKUP(Q16,formulas!D:D,formulas!K:K,_xlfn.XLOOKUP(Q16,precios_mp_ac!A:A,precios_mp_ac!N:N,""))</f>
        <v>2649.9</v>
      </c>
    </row>
    <row r="17" spans="1:18" x14ac:dyDescent="0.25">
      <c r="A17" s="44">
        <v>46173</v>
      </c>
      <c r="B17" s="45" t="s">
        <v>33</v>
      </c>
      <c r="C17" s="45" t="s">
        <v>188</v>
      </c>
      <c r="D17" s="45">
        <f t="shared" si="7"/>
        <v>-1067655.5999999999</v>
      </c>
      <c r="E17" s="66" t="str">
        <f t="shared" si="8"/>
        <v>5125-{fase1}-{lechones}</v>
      </c>
      <c r="F17" s="72">
        <v>408.5</v>
      </c>
      <c r="G17" s="68">
        <f t="shared" si="2"/>
        <v>2613.6</v>
      </c>
      <c r="H17" s="45" t="s">
        <v>125</v>
      </c>
      <c r="I17" s="45" t="s">
        <v>107</v>
      </c>
      <c r="J17" s="45" t="s">
        <v>182</v>
      </c>
      <c r="K17" s="46">
        <f t="shared" si="9"/>
        <v>5125</v>
      </c>
      <c r="L17" s="45" t="s">
        <v>103</v>
      </c>
      <c r="M17" s="45">
        <v>4</v>
      </c>
      <c r="N17" s="47" t="str">
        <f t="shared" si="3"/>
        <v>MATERNIDAD-{fase1}-{lechones}</v>
      </c>
      <c r="O17" s="47" t="str">
        <f t="shared" si="4"/>
        <v>{fase1}-{lechones}</v>
      </c>
      <c r="P17" s="47" t="str">
        <f t="shared" si="5"/>
        <v>MATERNIDAD-{fase1}-{lechones}</v>
      </c>
      <c r="Q17" s="47" t="str">
        <f>IF(_xlfn.XLOOKUP(P17,formula_ciclos!A:A,formula_ciclos!B:B,"")="NO",_xlfn.XLOOKUP(P17,formula_ciclos!A:A,formula_ciclos!E:E),(_xlfn.XLOOKUP(P17,formula_ciclos!A:A,formula_ciclos!B:B,"")))</f>
        <v>E6</v>
      </c>
      <c r="R17" s="47">
        <f>_xlfn.XLOOKUP(Q17,formulas!D:D,formulas!K:K,_xlfn.XLOOKUP(Q17,precios_mp_ac!A:A,precios_mp_ac!N:N,""))</f>
        <v>2613.6</v>
      </c>
    </row>
    <row r="18" spans="1:18" x14ac:dyDescent="0.25">
      <c r="A18" s="44">
        <v>46173</v>
      </c>
      <c r="B18" s="45" t="s">
        <v>35</v>
      </c>
      <c r="C18" s="45" t="s">
        <v>188</v>
      </c>
      <c r="D18" s="45">
        <f t="shared" si="7"/>
        <v>-2158034.9999999995</v>
      </c>
      <c r="E18" s="66" t="str">
        <f t="shared" si="8"/>
        <v>5125-{fase1}-{lechones}</v>
      </c>
      <c r="F18" s="72">
        <v>1025</v>
      </c>
      <c r="G18" s="68">
        <f t="shared" si="2"/>
        <v>2105.3999999999996</v>
      </c>
      <c r="H18" s="45" t="s">
        <v>125</v>
      </c>
      <c r="I18" s="45" t="s">
        <v>107</v>
      </c>
      <c r="J18" s="45" t="s">
        <v>182</v>
      </c>
      <c r="K18" s="46">
        <f t="shared" si="9"/>
        <v>5125</v>
      </c>
      <c r="L18" s="45" t="s">
        <v>103</v>
      </c>
      <c r="M18" s="45">
        <v>5</v>
      </c>
      <c r="N18" s="47" t="str">
        <f t="shared" si="3"/>
        <v>SITIO 2-{fase1}-{lechones}</v>
      </c>
      <c r="O18" s="47" t="str">
        <f t="shared" si="4"/>
        <v>{fase1}-{lechones}</v>
      </c>
      <c r="P18" s="47" t="str">
        <f t="shared" si="5"/>
        <v>SITIO 2-{fase1}-{lechones}</v>
      </c>
      <c r="Q18" s="47" t="str">
        <f>IF(_xlfn.XLOOKUP(P18,formula_ciclos!A:A,formula_ciclos!B:B,"")="NO",_xlfn.XLOOKUP(P18,formula_ciclos!A:A,formula_ciclos!E:E),(_xlfn.XLOOKUP(P18,formula_ciclos!A:A,formula_ciclos!B:B,"")))</f>
        <v>E7</v>
      </c>
      <c r="R18" s="47">
        <f>_xlfn.XLOOKUP(Q18,formulas!D:D,formulas!K:K,_xlfn.XLOOKUP(Q18,precios_mp_ac!A:A,precios_mp_ac!N:N,""))</f>
        <v>2105.3999999999996</v>
      </c>
    </row>
    <row r="19" spans="1:18" x14ac:dyDescent="0.25">
      <c r="A19" s="44">
        <v>46173</v>
      </c>
      <c r="B19" s="45" t="s">
        <v>35</v>
      </c>
      <c r="C19" s="45" t="s">
        <v>188</v>
      </c>
      <c r="D19" s="45">
        <f t="shared" si="7"/>
        <v>-5368769.9999999991</v>
      </c>
      <c r="E19" s="66" t="str">
        <f t="shared" si="8"/>
        <v>5125-{fase2}-{lechones}</v>
      </c>
      <c r="F19" s="72">
        <v>2550</v>
      </c>
      <c r="G19" s="68">
        <f t="shared" si="2"/>
        <v>2105.3999999999996</v>
      </c>
      <c r="H19" s="45" t="s">
        <v>125</v>
      </c>
      <c r="I19" s="45" t="s">
        <v>108</v>
      </c>
      <c r="J19" s="45" t="s">
        <v>182</v>
      </c>
      <c r="K19" s="46">
        <f t="shared" si="9"/>
        <v>5125</v>
      </c>
      <c r="L19" s="45" t="s">
        <v>103</v>
      </c>
      <c r="M19" s="45">
        <v>6</v>
      </c>
      <c r="N19" s="47" t="str">
        <f t="shared" si="3"/>
        <v>SITIO 2-{fase2}-{lechones}</v>
      </c>
      <c r="O19" s="47" t="str">
        <f t="shared" si="4"/>
        <v>{fase2}-{lechones}</v>
      </c>
      <c r="P19" s="47" t="str">
        <f t="shared" si="5"/>
        <v>SITIO 2-{fase2}-{lechones}</v>
      </c>
      <c r="Q19" s="47" t="str">
        <f>IF(_xlfn.XLOOKUP(P19,formula_ciclos!A:A,formula_ciclos!B:B,"")="NO",_xlfn.XLOOKUP(P19,formula_ciclos!A:A,formula_ciclos!E:E),(_xlfn.XLOOKUP(P19,formula_ciclos!A:A,formula_ciclos!B:B,"")))</f>
        <v>E7</v>
      </c>
      <c r="R19" s="47">
        <f>_xlfn.XLOOKUP(Q19,formulas!D:D,formulas!K:K,_xlfn.XLOOKUP(Q19,precios_mp_ac!A:A,precios_mp_ac!N:N,""))</f>
        <v>2105.3999999999996</v>
      </c>
    </row>
    <row r="20" spans="1:18" x14ac:dyDescent="0.25">
      <c r="A20" s="44">
        <v>46173</v>
      </c>
      <c r="B20" s="45" t="s">
        <v>35</v>
      </c>
      <c r="C20" s="45" t="s">
        <v>188</v>
      </c>
      <c r="D20" s="45">
        <f t="shared" si="7"/>
        <v>-2169562.5</v>
      </c>
      <c r="E20" s="66" t="str">
        <f t="shared" si="8"/>
        <v>5125-{fase3}-{lechones}</v>
      </c>
      <c r="F20" s="72">
        <v>5075</v>
      </c>
      <c r="G20" s="68">
        <f t="shared" si="2"/>
        <v>427.5</v>
      </c>
      <c r="H20" s="45" t="s">
        <v>125</v>
      </c>
      <c r="I20" s="45" t="s">
        <v>109</v>
      </c>
      <c r="J20" s="45" t="s">
        <v>182</v>
      </c>
      <c r="K20" s="46">
        <f t="shared" si="9"/>
        <v>5125</v>
      </c>
      <c r="L20" s="45" t="s">
        <v>103</v>
      </c>
      <c r="M20" s="45">
        <v>7</v>
      </c>
      <c r="N20" s="47" t="str">
        <f t="shared" si="3"/>
        <v>SITIO 2-{fase3}-{lechones}</v>
      </c>
      <c r="O20" s="47" t="str">
        <f t="shared" si="4"/>
        <v>{fase3}-{lechones}</v>
      </c>
      <c r="P20" s="47" t="str">
        <f t="shared" si="5"/>
        <v>SITIO 2-{fase3}-{lechones}</v>
      </c>
      <c r="Q20" s="47" t="str">
        <f>IF(_xlfn.XLOOKUP(P20,formula_ciclos!A:A,formula_ciclos!B:B,"")="NO",_xlfn.XLOOKUP(P20,formula_ciclos!A:A,formula_ciclos!E:E),(_xlfn.XLOOKUP(P20,formula_ciclos!A:A,formula_ciclos!B:B,"")))</f>
        <v>fase3</v>
      </c>
      <c r="R20" s="47">
        <f>_xlfn.XLOOKUP(Q20,formulas!D:D,formulas!K:K,_xlfn.XLOOKUP(Q20,precios_mp_ac!A:A,precios_mp_ac!N:N,""))</f>
        <v>427.5</v>
      </c>
    </row>
    <row r="21" spans="1:18" x14ac:dyDescent="0.25">
      <c r="A21" s="44">
        <v>46173</v>
      </c>
      <c r="B21" s="45" t="s">
        <v>35</v>
      </c>
      <c r="C21" s="45" t="s">
        <v>188</v>
      </c>
      <c r="D21" s="45">
        <f t="shared" si="7"/>
        <v>-1138005</v>
      </c>
      <c r="E21" s="66" t="str">
        <f t="shared" si="8"/>
        <v>5125-{fase4}-{lechones}</v>
      </c>
      <c r="F21" s="72">
        <v>2662</v>
      </c>
      <c r="G21" s="68">
        <f t="shared" si="2"/>
        <v>427.5</v>
      </c>
      <c r="H21" s="45" t="s">
        <v>125</v>
      </c>
      <c r="I21" s="45" t="s">
        <v>110</v>
      </c>
      <c r="J21" s="45" t="s">
        <v>182</v>
      </c>
      <c r="K21" s="46">
        <f t="shared" si="9"/>
        <v>5125</v>
      </c>
      <c r="L21" s="45" t="s">
        <v>103</v>
      </c>
      <c r="M21" s="45">
        <v>8</v>
      </c>
      <c r="N21" s="47" t="str">
        <f t="shared" si="3"/>
        <v>SITIO 2-{fase4}-{lechones}</v>
      </c>
      <c r="O21" s="47" t="str">
        <f t="shared" si="4"/>
        <v>{fase4}-{lechones}</v>
      </c>
      <c r="P21" s="47" t="str">
        <f t="shared" si="5"/>
        <v>SITIO 2-{fase4}-{lechones}</v>
      </c>
      <c r="Q21" s="47" t="str">
        <f>IF(_xlfn.XLOOKUP(P21,formula_ciclos!A:A,formula_ciclos!B:B,"")="NO",_xlfn.XLOOKUP(P21,formula_ciclos!A:A,formula_ciclos!E:E),(_xlfn.XLOOKUP(P21,formula_ciclos!A:A,formula_ciclos!B:B,"")))</f>
        <v>fase_4</v>
      </c>
      <c r="R21" s="47">
        <f>_xlfn.XLOOKUP(Q21,formulas!D:D,formulas!K:K,_xlfn.XLOOKUP(Q21,precios_mp_ac!A:A,precios_mp_ac!N:N,""))</f>
        <v>427.5</v>
      </c>
    </row>
    <row r="22" spans="1:18" x14ac:dyDescent="0.25">
      <c r="A22" s="44">
        <v>46173</v>
      </c>
      <c r="B22" s="45" t="s">
        <v>37</v>
      </c>
      <c r="C22" s="45" t="s">
        <v>188</v>
      </c>
      <c r="D22" s="45">
        <f t="shared" si="7"/>
        <v>-6395400</v>
      </c>
      <c r="E22" s="66" t="str">
        <f t="shared" si="8"/>
        <v>5125-{fase4}-{capones}</v>
      </c>
      <c r="F22" s="72">
        <v>14960</v>
      </c>
      <c r="G22" s="68">
        <f t="shared" si="2"/>
        <v>427.5</v>
      </c>
      <c r="H22" s="45" t="s">
        <v>125</v>
      </c>
      <c r="I22" s="45" t="s">
        <v>110</v>
      </c>
      <c r="J22" s="45" t="s">
        <v>182</v>
      </c>
      <c r="K22" s="46">
        <f t="shared" si="9"/>
        <v>5125</v>
      </c>
      <c r="L22" s="45" t="s">
        <v>104</v>
      </c>
      <c r="M22" s="45">
        <v>9</v>
      </c>
      <c r="N22" s="47" t="str">
        <f t="shared" si="3"/>
        <v>SITIO 3-{fase4}-{capones}</v>
      </c>
      <c r="O22" s="47" t="str">
        <f t="shared" si="4"/>
        <v>{fase4}-{capones}</v>
      </c>
      <c r="P22" s="47" t="str">
        <f t="shared" si="5"/>
        <v>SITIO 3-{fase4}-{capones}</v>
      </c>
      <c r="Q22" s="47" t="str">
        <f>IF(_xlfn.XLOOKUP(P22,formula_ciclos!A:A,formula_ciclos!B:B,"")="NO",_xlfn.XLOOKUP(P22,formula_ciclos!A:A,formula_ciclos!E:E),(_xlfn.XLOOKUP(P22,formula_ciclos!A:A,formula_ciclos!B:B,"")))</f>
        <v>fase_4</v>
      </c>
      <c r="R22" s="47">
        <f>_xlfn.XLOOKUP(Q22,formulas!D:D,formulas!K:K,_xlfn.XLOOKUP(Q22,precios_mp_ac!A:A,precios_mp_ac!N:N,""))</f>
        <v>427.5</v>
      </c>
    </row>
    <row r="23" spans="1:18" x14ac:dyDescent="0.25">
      <c r="A23" s="44">
        <v>46173</v>
      </c>
      <c r="B23" s="45" t="s">
        <v>37</v>
      </c>
      <c r="C23" s="45" t="s">
        <v>188</v>
      </c>
      <c r="D23" s="45">
        <f t="shared" si="7"/>
        <v>-11214800</v>
      </c>
      <c r="E23" s="66" t="str">
        <f t="shared" si="8"/>
        <v>5125-{desarrollo}-{capones}</v>
      </c>
      <c r="F23" s="72">
        <v>42320</v>
      </c>
      <c r="G23" s="68">
        <f t="shared" si="2"/>
        <v>265</v>
      </c>
      <c r="H23" s="45" t="s">
        <v>125</v>
      </c>
      <c r="I23" s="45" t="s">
        <v>111</v>
      </c>
      <c r="J23" s="45" t="s">
        <v>182</v>
      </c>
      <c r="K23" s="46">
        <f t="shared" si="9"/>
        <v>5125</v>
      </c>
      <c r="L23" s="45" t="s">
        <v>104</v>
      </c>
      <c r="M23" s="45">
        <v>10</v>
      </c>
      <c r="N23" s="47" t="str">
        <f t="shared" si="3"/>
        <v>SITIO 3-{desarrollo}-{capones}</v>
      </c>
      <c r="O23" s="47" t="str">
        <f t="shared" si="4"/>
        <v>{desarrollo}-{capones}</v>
      </c>
      <c r="P23" s="47" t="str">
        <f t="shared" si="5"/>
        <v>SITIO 3-{desarrollo}-{capones}</v>
      </c>
      <c r="Q23" s="47" t="str">
        <f>IF(_xlfn.XLOOKUP(P23,formula_ciclos!A:A,formula_ciclos!B:B,"")="NO",_xlfn.XLOOKUP(P23,formula_ciclos!A:A,formula_ciclos!E:E),(_xlfn.XLOOKUP(P23,formula_ciclos!A:A,formula_ciclos!B:B,"")))</f>
        <v>desarrollo_c_arveja</v>
      </c>
      <c r="R23" s="47">
        <f>_xlfn.XLOOKUP(Q23,formulas!D:D,formulas!K:K,_xlfn.XLOOKUP(Q23,precios_mp_ac!A:A,precios_mp_ac!N:N,""))</f>
        <v>265</v>
      </c>
    </row>
    <row r="24" spans="1:18" x14ac:dyDescent="0.25">
      <c r="A24" s="44">
        <v>46173</v>
      </c>
      <c r="B24" s="45" t="s">
        <v>37</v>
      </c>
      <c r="C24" s="45" t="s">
        <v>188</v>
      </c>
      <c r="D24" s="45">
        <f t="shared" si="7"/>
        <v>-12854620</v>
      </c>
      <c r="E24" s="66" t="str">
        <f t="shared" si="8"/>
        <v>5125-{t1}-{capones}</v>
      </c>
      <c r="F24" s="72">
        <v>48508</v>
      </c>
      <c r="G24" s="68">
        <f t="shared" si="2"/>
        <v>265</v>
      </c>
      <c r="H24" s="45" t="s">
        <v>125</v>
      </c>
      <c r="I24" s="45" t="s">
        <v>112</v>
      </c>
      <c r="J24" s="45" t="s">
        <v>182</v>
      </c>
      <c r="K24" s="46">
        <f t="shared" si="9"/>
        <v>5125</v>
      </c>
      <c r="L24" s="45" t="s">
        <v>104</v>
      </c>
      <c r="M24" s="45">
        <v>11</v>
      </c>
      <c r="N24" s="47" t="str">
        <f t="shared" si="3"/>
        <v>SITIO 3-{t1}-{capones}</v>
      </c>
      <c r="O24" s="47" t="str">
        <f t="shared" si="4"/>
        <v>{t1}-{capones}</v>
      </c>
      <c r="P24" s="47" t="str">
        <f t="shared" si="5"/>
        <v>SITIO 3-{t1}-{capones}</v>
      </c>
      <c r="Q24" s="47" t="str">
        <f>IF(_xlfn.XLOOKUP(P24,formula_ciclos!A:A,formula_ciclos!B:B,"")="NO",_xlfn.XLOOKUP(P24,formula_ciclos!A:A,formula_ciclos!E:E),(_xlfn.XLOOKUP(P24,formula_ciclos!A:A,formula_ciclos!B:B,"")))</f>
        <v>terminador_c_arveja_1a</v>
      </c>
      <c r="R24" s="47">
        <f>_xlfn.XLOOKUP(Q24,formulas!D:D,formulas!K:K,_xlfn.XLOOKUP(Q24,precios_mp_ac!A:A,precios_mp_ac!N:N,""))</f>
        <v>265</v>
      </c>
    </row>
    <row r="25" spans="1:18" ht="11.4" thickBot="1" x14ac:dyDescent="0.3">
      <c r="A25" s="48">
        <v>46173</v>
      </c>
      <c r="B25" s="49" t="s">
        <v>37</v>
      </c>
      <c r="C25" s="49" t="s">
        <v>188</v>
      </c>
      <c r="D25" s="49">
        <f t="shared" si="7"/>
        <v>-23609970</v>
      </c>
      <c r="E25" s="67" t="str">
        <f t="shared" si="8"/>
        <v>5125-{t2}-{capones}</v>
      </c>
      <c r="F25" s="73">
        <v>55228</v>
      </c>
      <c r="G25" s="68">
        <f t="shared" si="2"/>
        <v>427.5</v>
      </c>
      <c r="H25" s="49" t="s">
        <v>125</v>
      </c>
      <c r="I25" s="49" t="s">
        <v>113</v>
      </c>
      <c r="J25" s="49" t="s">
        <v>182</v>
      </c>
      <c r="K25" s="46">
        <f t="shared" si="9"/>
        <v>5125</v>
      </c>
      <c r="L25" s="49" t="s">
        <v>104</v>
      </c>
      <c r="M25" s="45">
        <v>12</v>
      </c>
      <c r="N25" s="47" t="str">
        <f t="shared" si="3"/>
        <v>SITIO 3-{t2}-{capones}</v>
      </c>
      <c r="O25" s="47" t="str">
        <f t="shared" si="4"/>
        <v>{t2}-{capones}</v>
      </c>
      <c r="P25" s="47" t="str">
        <f t="shared" si="5"/>
        <v>SITIO 3-{t2}-{capones}</v>
      </c>
      <c r="Q25" s="47" t="str">
        <f>IF(_xlfn.XLOOKUP(P25,formula_ciclos!A:A,formula_ciclos!B:B,"")="NO",_xlfn.XLOOKUP(P25,formula_ciclos!A:A,formula_ciclos!E:E),(_xlfn.XLOOKUP(P25,formula_ciclos!A:A,formula_ciclos!B:B,"")))</f>
        <v>terminador_c_arveja_2b</v>
      </c>
      <c r="R25" s="47">
        <f>_xlfn.XLOOKUP(Q25,formulas!D:D,formulas!K:K,_xlfn.XLOOKUP(Q25,precios_mp_ac!A:A,precios_mp_ac!N:N,""))</f>
        <v>427.5</v>
      </c>
    </row>
    <row r="26" spans="1:18" x14ac:dyDescent="0.25">
      <c r="A26" s="38">
        <v>46173</v>
      </c>
      <c r="B26" s="39" t="s">
        <v>28</v>
      </c>
      <c r="C26" s="39" t="s">
        <v>188</v>
      </c>
      <c r="D26" s="39">
        <f>F26*G26*-1</f>
        <v>-6468000</v>
      </c>
      <c r="E26" s="64" t="str">
        <f t="shared" si="8"/>
        <v>126-{gestacion,cachorra}-{madres}</v>
      </c>
      <c r="F26" s="69">
        <v>29400</v>
      </c>
      <c r="G26" s="68">
        <f>R26</f>
        <v>220</v>
      </c>
      <c r="H26" s="39" t="s">
        <v>125</v>
      </c>
      <c r="I26" s="39" t="s">
        <v>100</v>
      </c>
      <c r="J26" s="39" t="s">
        <v>182</v>
      </c>
      <c r="K26" s="63">
        <v>126</v>
      </c>
      <c r="L26" s="39" t="s">
        <v>102</v>
      </c>
      <c r="M26" s="39">
        <v>1</v>
      </c>
      <c r="N26" s="41" t="str">
        <f>_xlfn.CONCAT(B26,"-",I26,"-",L26)</f>
        <v>GESTACIÓN-{gestacion,cachorra}-{madres}</v>
      </c>
      <c r="O26" s="41" t="str">
        <f>MID(E26,FIND("-",E26)+1,LEN(E26))</f>
        <v>{gestacion,cachorra}-{madres}</v>
      </c>
      <c r="P26" s="41" t="str">
        <f>_xlfn.CONCAT(B26,"-",O26)</f>
        <v>GESTACIÓN-{gestacion,cachorra}-{madres}</v>
      </c>
      <c r="Q26" s="41" t="str">
        <f>IF(_xlfn.XLOOKUP(P26,formula_ciclos!A:A,formula_ciclos!B:B,"")="NO",_xlfn.XLOOKUP(P26,formula_ciclos!A:A,formula_ciclos!E:E),(_xlfn.XLOOKUP(P26,formula_ciclos!A:A,formula_ciclos!B:B,"")))</f>
        <v>gestacion_1</v>
      </c>
      <c r="R26" s="41">
        <f>_xlfn.XLOOKUP(Q26,formulas!D:D,formulas!K:K,_xlfn.XLOOKUP(Q26,precios_mp_ac!A:A,precios_mp_ac!N:N,""))</f>
        <v>220</v>
      </c>
    </row>
    <row r="27" spans="1:18" x14ac:dyDescent="0.25">
      <c r="A27" s="38">
        <v>46173</v>
      </c>
      <c r="B27" s="39" t="s">
        <v>33</v>
      </c>
      <c r="C27" s="39" t="s">
        <v>188</v>
      </c>
      <c r="D27" s="39">
        <f t="shared" ref="D27:D37" si="10">F27*G27*-1</f>
        <v>-5386500</v>
      </c>
      <c r="E27" s="64" t="str">
        <f t="shared" si="8"/>
        <v>126-{lactancia}-{madres}</v>
      </c>
      <c r="F27" s="70">
        <v>12600</v>
      </c>
      <c r="G27" s="68">
        <f t="shared" ref="G27:G37" si="11">R27</f>
        <v>427.5</v>
      </c>
      <c r="H27" s="39" t="s">
        <v>125</v>
      </c>
      <c r="I27" s="39" t="s">
        <v>105</v>
      </c>
      <c r="J27" s="39" t="s">
        <v>182</v>
      </c>
      <c r="K27" s="40">
        <f>$K$26</f>
        <v>126</v>
      </c>
      <c r="L27" s="39" t="s">
        <v>102</v>
      </c>
      <c r="M27" s="39">
        <v>2</v>
      </c>
      <c r="N27" s="41" t="str">
        <f t="shared" ref="N27:N37" si="12">_xlfn.CONCAT(B27,"-",I27,"-",L27)</f>
        <v>MATERNIDAD-{lactancia}-{madres}</v>
      </c>
      <c r="O27" s="41" t="str">
        <f t="shared" ref="O27:O37" si="13">MID(E27,FIND("-",E27)+1,LEN(E27))</f>
        <v>{lactancia}-{madres}</v>
      </c>
      <c r="P27" s="41" t="str">
        <f t="shared" ref="P27:P37" si="14">_xlfn.CONCAT(B27,"-",O27)</f>
        <v>MATERNIDAD-{lactancia}-{madres}</v>
      </c>
      <c r="Q27" s="41" t="str">
        <f>IF(_xlfn.XLOOKUP(P27,formula_ciclos!A:A,formula_ciclos!B:B,"")="NO",_xlfn.XLOOKUP(P27,formula_ciclos!A:A,formula_ciclos!E:E),(_xlfn.XLOOKUP(P27,formula_ciclos!A:A,formula_ciclos!B:B,"")))</f>
        <v>lactancia</v>
      </c>
      <c r="R27" s="41">
        <f>_xlfn.XLOOKUP(Q27,formulas!D:D,formulas!K:K,_xlfn.XLOOKUP(Q27,precios_mp_ac!A:A,precios_mp_ac!N:N,""))</f>
        <v>427.5</v>
      </c>
    </row>
    <row r="28" spans="1:18" x14ac:dyDescent="0.25">
      <c r="A28" s="38">
        <v>46173</v>
      </c>
      <c r="B28" s="39" t="s">
        <v>33</v>
      </c>
      <c r="C28" s="39" t="s">
        <v>188</v>
      </c>
      <c r="D28" s="39">
        <f t="shared" si="10"/>
        <v>-529317.52500000002</v>
      </c>
      <c r="E28" s="64" t="str">
        <f t="shared" si="8"/>
        <v>126-{fase0}-{lechones}</v>
      </c>
      <c r="F28" s="70">
        <v>199.75</v>
      </c>
      <c r="G28" s="68">
        <f t="shared" si="11"/>
        <v>2649.9</v>
      </c>
      <c r="H28" s="39" t="s">
        <v>125</v>
      </c>
      <c r="I28" s="39" t="s">
        <v>106</v>
      </c>
      <c r="J28" s="39" t="s">
        <v>182</v>
      </c>
      <c r="K28" s="40">
        <f t="shared" ref="K28:K37" si="15">$K$26</f>
        <v>126</v>
      </c>
      <c r="L28" s="39" t="s">
        <v>103</v>
      </c>
      <c r="M28" s="39">
        <v>3</v>
      </c>
      <c r="N28" s="41" t="str">
        <f t="shared" si="12"/>
        <v>MATERNIDAD-{fase0}-{lechones}</v>
      </c>
      <c r="O28" s="41" t="str">
        <f t="shared" si="13"/>
        <v>{fase0}-{lechones}</v>
      </c>
      <c r="P28" s="41" t="str">
        <f t="shared" si="14"/>
        <v>MATERNIDAD-{fase0}-{lechones}</v>
      </c>
      <c r="Q28" s="41" t="str">
        <f>IF(_xlfn.XLOOKUP(P28,formula_ciclos!A:A,formula_ciclos!B:B,"")="NO",_xlfn.XLOOKUP(P28,formula_ciclos!A:A,formula_ciclos!E:E),(_xlfn.XLOOKUP(P28,formula_ciclos!A:A,formula_ciclos!B:B,"")))</f>
        <v>E3</v>
      </c>
      <c r="R28" s="41">
        <f>_xlfn.XLOOKUP(Q28,formulas!D:D,formulas!K:K,_xlfn.XLOOKUP(Q28,precios_mp_ac!A:A,precios_mp_ac!N:N,""))</f>
        <v>2649.9</v>
      </c>
    </row>
    <row r="29" spans="1:18" x14ac:dyDescent="0.25">
      <c r="A29" s="38">
        <v>46173</v>
      </c>
      <c r="B29" s="39" t="s">
        <v>33</v>
      </c>
      <c r="C29" s="39" t="s">
        <v>188</v>
      </c>
      <c r="D29" s="39">
        <f t="shared" si="10"/>
        <v>-1044133.2</v>
      </c>
      <c r="E29" s="64" t="str">
        <f t="shared" si="8"/>
        <v>126-{fase1}-{lechones}</v>
      </c>
      <c r="F29" s="70">
        <v>399.5</v>
      </c>
      <c r="G29" s="68">
        <f t="shared" si="11"/>
        <v>2613.6</v>
      </c>
      <c r="H29" s="39" t="s">
        <v>125</v>
      </c>
      <c r="I29" s="39" t="s">
        <v>107</v>
      </c>
      <c r="J29" s="39" t="s">
        <v>182</v>
      </c>
      <c r="K29" s="40">
        <f t="shared" si="15"/>
        <v>126</v>
      </c>
      <c r="L29" s="39" t="s">
        <v>103</v>
      </c>
      <c r="M29" s="39">
        <v>4</v>
      </c>
      <c r="N29" s="41" t="str">
        <f t="shared" si="12"/>
        <v>MATERNIDAD-{fase1}-{lechones}</v>
      </c>
      <c r="O29" s="41" t="str">
        <f t="shared" si="13"/>
        <v>{fase1}-{lechones}</v>
      </c>
      <c r="P29" s="41" t="str">
        <f t="shared" si="14"/>
        <v>MATERNIDAD-{fase1}-{lechones}</v>
      </c>
      <c r="Q29" s="41" t="str">
        <f>IF(_xlfn.XLOOKUP(P29,formula_ciclos!A:A,formula_ciclos!B:B,"")="NO",_xlfn.XLOOKUP(P29,formula_ciclos!A:A,formula_ciclos!E:E),(_xlfn.XLOOKUP(P29,formula_ciclos!A:A,formula_ciclos!B:B,"")))</f>
        <v>E6</v>
      </c>
      <c r="R29" s="41">
        <f>_xlfn.XLOOKUP(Q29,formulas!D:D,formulas!K:K,_xlfn.XLOOKUP(Q29,precios_mp_ac!A:A,precios_mp_ac!N:N,""))</f>
        <v>2613.6</v>
      </c>
    </row>
    <row r="30" spans="1:18" x14ac:dyDescent="0.25">
      <c r="A30" s="38">
        <v>46173</v>
      </c>
      <c r="B30" s="39" t="s">
        <v>35</v>
      </c>
      <c r="C30" s="39" t="s">
        <v>188</v>
      </c>
      <c r="D30" s="39">
        <f t="shared" si="10"/>
        <v>-1842224.9999999998</v>
      </c>
      <c r="E30" s="64" t="str">
        <f t="shared" si="8"/>
        <v>126-{fase1}-{lechones}</v>
      </c>
      <c r="F30" s="70">
        <v>875</v>
      </c>
      <c r="G30" s="68">
        <f t="shared" si="11"/>
        <v>2105.3999999999996</v>
      </c>
      <c r="H30" s="39" t="s">
        <v>125</v>
      </c>
      <c r="I30" s="39" t="s">
        <v>107</v>
      </c>
      <c r="J30" s="39" t="s">
        <v>182</v>
      </c>
      <c r="K30" s="40">
        <f t="shared" si="15"/>
        <v>126</v>
      </c>
      <c r="L30" s="39" t="s">
        <v>103</v>
      </c>
      <c r="M30" s="39">
        <v>5</v>
      </c>
      <c r="N30" s="41" t="str">
        <f t="shared" si="12"/>
        <v>SITIO 2-{fase1}-{lechones}</v>
      </c>
      <c r="O30" s="41" t="str">
        <f t="shared" si="13"/>
        <v>{fase1}-{lechones}</v>
      </c>
      <c r="P30" s="41" t="str">
        <f t="shared" si="14"/>
        <v>SITIO 2-{fase1}-{lechones}</v>
      </c>
      <c r="Q30" s="41" t="str">
        <f>IF(_xlfn.XLOOKUP(P30,formula_ciclos!A:A,formula_ciclos!B:B,"")="NO",_xlfn.XLOOKUP(P30,formula_ciclos!A:A,formula_ciclos!E:E),(_xlfn.XLOOKUP(P30,formula_ciclos!A:A,formula_ciclos!B:B,"")))</f>
        <v>E7</v>
      </c>
      <c r="R30" s="41">
        <f>_xlfn.XLOOKUP(Q30,formulas!D:D,formulas!K:K,_xlfn.XLOOKUP(Q30,precios_mp_ac!A:A,precios_mp_ac!N:N,""))</f>
        <v>2105.3999999999996</v>
      </c>
    </row>
    <row r="31" spans="1:18" x14ac:dyDescent="0.25">
      <c r="A31" s="38">
        <v>46173</v>
      </c>
      <c r="B31" s="39" t="s">
        <v>35</v>
      </c>
      <c r="C31" s="39" t="s">
        <v>188</v>
      </c>
      <c r="D31" s="39">
        <f t="shared" si="10"/>
        <v>-5947754.9999999991</v>
      </c>
      <c r="E31" s="64" t="str">
        <f t="shared" si="8"/>
        <v>126-{fase2}-{lechones}</v>
      </c>
      <c r="F31" s="70">
        <v>2825</v>
      </c>
      <c r="G31" s="68">
        <f t="shared" si="11"/>
        <v>2105.3999999999996</v>
      </c>
      <c r="H31" s="39" t="s">
        <v>125</v>
      </c>
      <c r="I31" s="39" t="s">
        <v>108</v>
      </c>
      <c r="J31" s="39" t="s">
        <v>182</v>
      </c>
      <c r="K31" s="40">
        <f t="shared" si="15"/>
        <v>126</v>
      </c>
      <c r="L31" s="39" t="s">
        <v>103</v>
      </c>
      <c r="M31" s="39">
        <v>6</v>
      </c>
      <c r="N31" s="41" t="str">
        <f t="shared" si="12"/>
        <v>SITIO 2-{fase2}-{lechones}</v>
      </c>
      <c r="O31" s="41" t="str">
        <f t="shared" si="13"/>
        <v>{fase2}-{lechones}</v>
      </c>
      <c r="P31" s="41" t="str">
        <f t="shared" si="14"/>
        <v>SITIO 2-{fase2}-{lechones}</v>
      </c>
      <c r="Q31" s="41" t="str">
        <f>IF(_xlfn.XLOOKUP(P31,formula_ciclos!A:A,formula_ciclos!B:B,"")="NO",_xlfn.XLOOKUP(P31,formula_ciclos!A:A,formula_ciclos!E:E),(_xlfn.XLOOKUP(P31,formula_ciclos!A:A,formula_ciclos!B:B,"")))</f>
        <v>E7</v>
      </c>
      <c r="R31" s="41">
        <f>_xlfn.XLOOKUP(Q31,formulas!D:D,formulas!K:K,_xlfn.XLOOKUP(Q31,precios_mp_ac!A:A,precios_mp_ac!N:N,""))</f>
        <v>2105.3999999999996</v>
      </c>
    </row>
    <row r="32" spans="1:18" x14ac:dyDescent="0.25">
      <c r="A32" s="38">
        <v>46173</v>
      </c>
      <c r="B32" s="39" t="s">
        <v>35</v>
      </c>
      <c r="C32" s="39" t="s">
        <v>188</v>
      </c>
      <c r="D32" s="39">
        <f t="shared" si="10"/>
        <v>-2351250</v>
      </c>
      <c r="E32" s="64" t="str">
        <f t="shared" si="8"/>
        <v>126-{fase3}-{lechones}</v>
      </c>
      <c r="F32" s="70">
        <v>5500</v>
      </c>
      <c r="G32" s="68">
        <f t="shared" si="11"/>
        <v>427.5</v>
      </c>
      <c r="H32" s="39" t="s">
        <v>125</v>
      </c>
      <c r="I32" s="39" t="s">
        <v>109</v>
      </c>
      <c r="J32" s="39" t="s">
        <v>182</v>
      </c>
      <c r="K32" s="40">
        <f t="shared" si="15"/>
        <v>126</v>
      </c>
      <c r="L32" s="39" t="s">
        <v>103</v>
      </c>
      <c r="M32" s="39">
        <v>7</v>
      </c>
      <c r="N32" s="41" t="str">
        <f t="shared" si="12"/>
        <v>SITIO 2-{fase3}-{lechones}</v>
      </c>
      <c r="O32" s="41" t="str">
        <f t="shared" si="13"/>
        <v>{fase3}-{lechones}</v>
      </c>
      <c r="P32" s="41" t="str">
        <f t="shared" si="14"/>
        <v>SITIO 2-{fase3}-{lechones}</v>
      </c>
      <c r="Q32" s="41" t="str">
        <f>IF(_xlfn.XLOOKUP(P32,formula_ciclos!A:A,formula_ciclos!B:B,"")="NO",_xlfn.XLOOKUP(P32,formula_ciclos!A:A,formula_ciclos!E:E),(_xlfn.XLOOKUP(P32,formula_ciclos!A:A,formula_ciclos!B:B,"")))</f>
        <v>fase3</v>
      </c>
      <c r="R32" s="41">
        <f>_xlfn.XLOOKUP(Q32,formulas!D:D,formulas!K:K,_xlfn.XLOOKUP(Q32,precios_mp_ac!A:A,precios_mp_ac!N:N,""))</f>
        <v>427.5</v>
      </c>
    </row>
    <row r="33" spans="1:18" x14ac:dyDescent="0.25">
      <c r="A33" s="38">
        <v>46173</v>
      </c>
      <c r="B33" s="39" t="s">
        <v>35</v>
      </c>
      <c r="C33" s="39" t="s">
        <v>188</v>
      </c>
      <c r="D33" s="39">
        <f t="shared" si="10"/>
        <v>-153900</v>
      </c>
      <c r="E33" s="64" t="str">
        <f t="shared" si="8"/>
        <v>126-{fase4}-{lechones}</v>
      </c>
      <c r="F33" s="70">
        <v>360</v>
      </c>
      <c r="G33" s="68">
        <f t="shared" si="11"/>
        <v>427.5</v>
      </c>
      <c r="H33" s="39" t="s">
        <v>125</v>
      </c>
      <c r="I33" s="39" t="s">
        <v>110</v>
      </c>
      <c r="J33" s="39" t="s">
        <v>182</v>
      </c>
      <c r="K33" s="40">
        <f t="shared" si="15"/>
        <v>126</v>
      </c>
      <c r="L33" s="39" t="s">
        <v>103</v>
      </c>
      <c r="M33" s="39">
        <v>8</v>
      </c>
      <c r="N33" s="41" t="str">
        <f t="shared" si="12"/>
        <v>SITIO 2-{fase4}-{lechones}</v>
      </c>
      <c r="O33" s="41" t="str">
        <f t="shared" si="13"/>
        <v>{fase4}-{lechones}</v>
      </c>
      <c r="P33" s="41" t="str">
        <f t="shared" si="14"/>
        <v>SITIO 2-{fase4}-{lechones}</v>
      </c>
      <c r="Q33" s="41" t="str">
        <f>IF(_xlfn.XLOOKUP(P33,formula_ciclos!A:A,formula_ciclos!B:B,"")="NO",_xlfn.XLOOKUP(P33,formula_ciclos!A:A,formula_ciclos!E:E),(_xlfn.XLOOKUP(P33,formula_ciclos!A:A,formula_ciclos!B:B,"")))</f>
        <v>fase_4</v>
      </c>
      <c r="R33" s="41">
        <f>_xlfn.XLOOKUP(Q33,formulas!D:D,formulas!K:K,_xlfn.XLOOKUP(Q33,precios_mp_ac!A:A,precios_mp_ac!N:N,""))</f>
        <v>427.5</v>
      </c>
    </row>
    <row r="34" spans="1:18" x14ac:dyDescent="0.25">
      <c r="A34" s="38">
        <v>46173</v>
      </c>
      <c r="B34" s="39" t="s">
        <v>37</v>
      </c>
      <c r="C34" s="39" t="s">
        <v>188</v>
      </c>
      <c r="D34" s="39">
        <f t="shared" si="10"/>
        <v>-7626600</v>
      </c>
      <c r="E34" s="64" t="str">
        <f t="shared" si="8"/>
        <v>126-{fase4}-{capones}</v>
      </c>
      <c r="F34" s="70">
        <v>17840</v>
      </c>
      <c r="G34" s="68">
        <f t="shared" si="11"/>
        <v>427.5</v>
      </c>
      <c r="H34" s="39" t="s">
        <v>125</v>
      </c>
      <c r="I34" s="39" t="s">
        <v>110</v>
      </c>
      <c r="J34" s="39" t="s">
        <v>182</v>
      </c>
      <c r="K34" s="40">
        <f t="shared" si="15"/>
        <v>126</v>
      </c>
      <c r="L34" s="39" t="s">
        <v>104</v>
      </c>
      <c r="M34" s="39">
        <v>9</v>
      </c>
      <c r="N34" s="41" t="str">
        <f t="shared" si="12"/>
        <v>SITIO 3-{fase4}-{capones}</v>
      </c>
      <c r="O34" s="41" t="str">
        <f t="shared" si="13"/>
        <v>{fase4}-{capones}</v>
      </c>
      <c r="P34" s="41" t="str">
        <f t="shared" si="14"/>
        <v>SITIO 3-{fase4}-{capones}</v>
      </c>
      <c r="Q34" s="41" t="str">
        <f>IF(_xlfn.XLOOKUP(P34,formula_ciclos!A:A,formula_ciclos!B:B,"")="NO",_xlfn.XLOOKUP(P34,formula_ciclos!A:A,formula_ciclos!E:E),(_xlfn.XLOOKUP(P34,formula_ciclos!A:A,formula_ciclos!B:B,"")))</f>
        <v>fase_4</v>
      </c>
      <c r="R34" s="41">
        <f>_xlfn.XLOOKUP(Q34,formulas!D:D,formulas!K:K,_xlfn.XLOOKUP(Q34,precios_mp_ac!A:A,precios_mp_ac!N:N,""))</f>
        <v>427.5</v>
      </c>
    </row>
    <row r="35" spans="1:18" x14ac:dyDescent="0.25">
      <c r="A35" s="38">
        <v>46173</v>
      </c>
      <c r="B35" s="39" t="s">
        <v>37</v>
      </c>
      <c r="C35" s="39" t="s">
        <v>188</v>
      </c>
      <c r="D35" s="39">
        <f t="shared" si="10"/>
        <v>-15262622.000000002</v>
      </c>
      <c r="E35" s="64" t="str">
        <f t="shared" si="8"/>
        <v>126-{desarrollo}-{capones}</v>
      </c>
      <c r="F35" s="70">
        <v>57594.80000000001</v>
      </c>
      <c r="G35" s="68">
        <f t="shared" si="11"/>
        <v>265</v>
      </c>
      <c r="H35" s="39" t="s">
        <v>125</v>
      </c>
      <c r="I35" s="39" t="s">
        <v>111</v>
      </c>
      <c r="J35" s="39" t="s">
        <v>182</v>
      </c>
      <c r="K35" s="40">
        <f t="shared" si="15"/>
        <v>126</v>
      </c>
      <c r="L35" s="39" t="s">
        <v>104</v>
      </c>
      <c r="M35" s="39">
        <v>10</v>
      </c>
      <c r="N35" s="41" t="str">
        <f t="shared" si="12"/>
        <v>SITIO 3-{desarrollo}-{capones}</v>
      </c>
      <c r="O35" s="41" t="str">
        <f t="shared" si="13"/>
        <v>{desarrollo}-{capones}</v>
      </c>
      <c r="P35" s="41" t="str">
        <f t="shared" si="14"/>
        <v>SITIO 3-{desarrollo}-{capones}</v>
      </c>
      <c r="Q35" s="41" t="str">
        <f>IF(_xlfn.XLOOKUP(P35,formula_ciclos!A:A,formula_ciclos!B:B,"")="NO",_xlfn.XLOOKUP(P35,formula_ciclos!A:A,formula_ciclos!E:E),(_xlfn.XLOOKUP(P35,formula_ciclos!A:A,formula_ciclos!B:B,"")))</f>
        <v>desarrollo_c_arveja</v>
      </c>
      <c r="R35" s="41">
        <f>_xlfn.XLOOKUP(Q35,formulas!D:D,formulas!K:K,_xlfn.XLOOKUP(Q35,precios_mp_ac!A:A,precios_mp_ac!N:N,""))</f>
        <v>265</v>
      </c>
    </row>
    <row r="36" spans="1:18" x14ac:dyDescent="0.25">
      <c r="A36" s="38">
        <v>46173</v>
      </c>
      <c r="B36" s="39" t="s">
        <v>37</v>
      </c>
      <c r="C36" s="39" t="s">
        <v>188</v>
      </c>
      <c r="D36" s="39">
        <f t="shared" si="10"/>
        <v>-11671236</v>
      </c>
      <c r="E36" s="64" t="str">
        <f t="shared" si="8"/>
        <v>126-{t1}-{capones}</v>
      </c>
      <c r="F36" s="70">
        <v>44042.400000000001</v>
      </c>
      <c r="G36" s="68">
        <f t="shared" si="11"/>
        <v>265</v>
      </c>
      <c r="H36" s="39" t="s">
        <v>125</v>
      </c>
      <c r="I36" s="39" t="s">
        <v>112</v>
      </c>
      <c r="J36" s="39" t="s">
        <v>182</v>
      </c>
      <c r="K36" s="40">
        <f t="shared" si="15"/>
        <v>126</v>
      </c>
      <c r="L36" s="39" t="s">
        <v>104</v>
      </c>
      <c r="M36" s="39">
        <v>11</v>
      </c>
      <c r="N36" s="41" t="str">
        <f t="shared" si="12"/>
        <v>SITIO 3-{t1}-{capones}</v>
      </c>
      <c r="O36" s="41" t="str">
        <f t="shared" si="13"/>
        <v>{t1}-{capones}</v>
      </c>
      <c r="P36" s="41" t="str">
        <f t="shared" si="14"/>
        <v>SITIO 3-{t1}-{capones}</v>
      </c>
      <c r="Q36" s="41" t="str">
        <f>IF(_xlfn.XLOOKUP(P36,formula_ciclos!A:A,formula_ciclos!B:B,"")="NO",_xlfn.XLOOKUP(P36,formula_ciclos!A:A,formula_ciclos!E:E),(_xlfn.XLOOKUP(P36,formula_ciclos!A:A,formula_ciclos!B:B,"")))</f>
        <v>terminador_c_arveja_1a</v>
      </c>
      <c r="R36" s="41">
        <f>_xlfn.XLOOKUP(Q36,formulas!D:D,formulas!K:K,_xlfn.XLOOKUP(Q36,precios_mp_ac!A:A,precios_mp_ac!N:N,""))</f>
        <v>265</v>
      </c>
    </row>
    <row r="37" spans="1:18" ht="11.4" thickBot="1" x14ac:dyDescent="0.3">
      <c r="A37" s="42">
        <v>46173</v>
      </c>
      <c r="B37" s="43" t="s">
        <v>37</v>
      </c>
      <c r="C37" s="43" t="s">
        <v>188</v>
      </c>
      <c r="D37" s="43">
        <f t="shared" si="10"/>
        <v>-27457743.600000001</v>
      </c>
      <c r="E37" s="65" t="str">
        <f t="shared" si="8"/>
        <v>126-{t2}-{capones}</v>
      </c>
      <c r="F37" s="71">
        <v>64228.640000000007</v>
      </c>
      <c r="G37" s="68">
        <f t="shared" si="11"/>
        <v>427.5</v>
      </c>
      <c r="H37" s="43" t="s">
        <v>125</v>
      </c>
      <c r="I37" s="43" t="s">
        <v>113</v>
      </c>
      <c r="J37" s="43" t="s">
        <v>182</v>
      </c>
      <c r="K37" s="40">
        <f t="shared" si="15"/>
        <v>126</v>
      </c>
      <c r="L37" s="43" t="s">
        <v>104</v>
      </c>
      <c r="M37" s="39">
        <v>12</v>
      </c>
      <c r="N37" s="41" t="str">
        <f t="shared" si="12"/>
        <v>SITIO 3-{t2}-{capones}</v>
      </c>
      <c r="O37" s="41" t="str">
        <f t="shared" si="13"/>
        <v>{t2}-{capones}</v>
      </c>
      <c r="P37" s="41" t="str">
        <f t="shared" si="14"/>
        <v>SITIO 3-{t2}-{capones}</v>
      </c>
      <c r="Q37" s="41" t="str">
        <f>IF(_xlfn.XLOOKUP(P37,formula_ciclos!A:A,formula_ciclos!B:B,"")="NO",_xlfn.XLOOKUP(P37,formula_ciclos!A:A,formula_ciclos!E:E),(_xlfn.XLOOKUP(P37,formula_ciclos!A:A,formula_ciclos!B:B,"")))</f>
        <v>terminador_c_arveja_2b</v>
      </c>
      <c r="R37" s="41">
        <f>_xlfn.XLOOKUP(Q37,formulas!D:D,formulas!K:K,_xlfn.XLOOKUP(Q37,precios_mp_ac!A:A,precios_mp_ac!N:N,""))</f>
        <v>427.5</v>
      </c>
    </row>
  </sheetData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83D8-740A-46A2-86EE-12B8A8F0FB15}">
  <dimension ref="A1:K13"/>
  <sheetViews>
    <sheetView zoomScale="140" zoomScaleNormal="140" workbookViewId="0">
      <pane ySplit="1" topLeftCell="A2" activePane="bottomLeft" state="frozen"/>
      <selection pane="bottomLeft" activeCell="G12" sqref="G12"/>
    </sheetView>
  </sheetViews>
  <sheetFormatPr baseColWidth="10" defaultColWidth="8.88671875" defaultRowHeight="10.8" x14ac:dyDescent="0.25"/>
  <cols>
    <col min="1" max="1" width="7.88671875" style="50" bestFit="1" customWidth="1"/>
    <col min="2" max="2" width="11.88671875" style="37" bestFit="1" customWidth="1"/>
    <col min="3" max="3" width="7.6640625" style="37" bestFit="1" customWidth="1"/>
    <col min="4" max="4" width="3.109375" style="37" bestFit="1" customWidth="1"/>
    <col min="5" max="5" width="6.109375" style="37" bestFit="1" customWidth="1"/>
    <col min="6" max="6" width="10.88671875" style="37" bestFit="1" customWidth="1"/>
    <col min="7" max="7" width="12.109375" style="37" bestFit="1" customWidth="1"/>
    <col min="8" max="8" width="10.44140625" style="37" bestFit="1" customWidth="1"/>
    <col min="9" max="9" width="13.33203125" style="37" bestFit="1" customWidth="1"/>
    <col min="10" max="10" width="8" style="37" bestFit="1" customWidth="1"/>
    <col min="11" max="11" width="14.109375" style="37" bestFit="1" customWidth="1"/>
    <col min="12" max="16384" width="8.88671875" style="37"/>
  </cols>
  <sheetData>
    <row r="1" spans="1:11" x14ac:dyDescent="0.25">
      <c r="A1" s="50" t="s">
        <v>215</v>
      </c>
      <c r="B1" s="37" t="s">
        <v>216</v>
      </c>
      <c r="C1" s="37" t="s">
        <v>217</v>
      </c>
      <c r="D1" s="37" t="s">
        <v>101</v>
      </c>
      <c r="E1" s="37" t="s">
        <v>218</v>
      </c>
      <c r="F1" s="37" t="s">
        <v>222</v>
      </c>
      <c r="G1" s="37" t="s">
        <v>219</v>
      </c>
      <c r="H1" s="37" t="s">
        <v>119</v>
      </c>
      <c r="I1" s="37" t="s">
        <v>220</v>
      </c>
      <c r="J1" s="37" t="s">
        <v>223</v>
      </c>
    </row>
    <row r="2" spans="1:11" x14ac:dyDescent="0.25">
      <c r="A2" s="126">
        <v>4925</v>
      </c>
      <c r="B2" s="98" t="s">
        <v>33</v>
      </c>
      <c r="C2" s="98"/>
      <c r="D2" s="97">
        <v>699</v>
      </c>
      <c r="E2" s="97">
        <v>7.32</v>
      </c>
      <c r="F2" s="97">
        <f>2250*2.46</f>
        <v>5535</v>
      </c>
      <c r="G2" s="98"/>
      <c r="H2" s="99">
        <f t="shared" ref="H2:H9" si="0">(D2*E2)*F2</f>
        <v>28320823.800000001</v>
      </c>
      <c r="J2" s="100">
        <v>46203</v>
      </c>
    </row>
    <row r="3" spans="1:11" x14ac:dyDescent="0.25">
      <c r="A3" s="126">
        <f>A2</f>
        <v>4925</v>
      </c>
      <c r="B3" s="98" t="s">
        <v>35</v>
      </c>
      <c r="C3" s="98"/>
      <c r="D3" s="97">
        <v>690</v>
      </c>
      <c r="E3" s="97">
        <v>16.78</v>
      </c>
      <c r="F3" s="97">
        <f>2250*2.1</f>
        <v>4725</v>
      </c>
      <c r="G3" s="98"/>
      <c r="H3" s="99">
        <f t="shared" si="0"/>
        <v>54706995</v>
      </c>
      <c r="J3" s="100">
        <f>$J$2</f>
        <v>46203</v>
      </c>
    </row>
    <row r="4" spans="1:11" x14ac:dyDescent="0.25">
      <c r="A4" s="126">
        <f t="shared" ref="A4:A5" si="1">A3</f>
        <v>4925</v>
      </c>
      <c r="B4" s="98" t="s">
        <v>37</v>
      </c>
      <c r="C4" s="98"/>
      <c r="D4" s="97">
        <v>649</v>
      </c>
      <c r="E4" s="97">
        <v>122.98</v>
      </c>
      <c r="F4" s="101">
        <f>2250*1.0735</f>
        <v>2415.3749999999995</v>
      </c>
      <c r="G4" s="102">
        <f>D4/D3-1</f>
        <v>-5.9420289855072417E-2</v>
      </c>
      <c r="H4" s="99">
        <f t="shared" si="0"/>
        <v>192780788.55749997</v>
      </c>
      <c r="J4" s="100">
        <f t="shared" ref="J4:J9" si="2">$J$2</f>
        <v>46203</v>
      </c>
    </row>
    <row r="5" spans="1:11" x14ac:dyDescent="0.25">
      <c r="A5" s="126">
        <f t="shared" si="1"/>
        <v>4925</v>
      </c>
      <c r="B5" s="98" t="s">
        <v>221</v>
      </c>
      <c r="C5" s="98"/>
      <c r="D5" s="97">
        <f>D4</f>
        <v>649</v>
      </c>
      <c r="E5" s="97">
        <f>E4</f>
        <v>122.98</v>
      </c>
      <c r="F5" s="97">
        <v>2836</v>
      </c>
      <c r="G5" s="102"/>
      <c r="H5" s="99">
        <f t="shared" si="0"/>
        <v>226352560.72</v>
      </c>
      <c r="J5" s="100">
        <f t="shared" si="2"/>
        <v>46203</v>
      </c>
    </row>
    <row r="6" spans="1:11" x14ac:dyDescent="0.25">
      <c r="A6" s="127">
        <v>5125</v>
      </c>
      <c r="B6" s="104" t="s">
        <v>33</v>
      </c>
      <c r="C6" s="104"/>
      <c r="D6" s="103">
        <v>637</v>
      </c>
      <c r="E6" s="103">
        <v>6.4</v>
      </c>
      <c r="F6" s="103">
        <f>2250*2.5</f>
        <v>5625</v>
      </c>
      <c r="G6" s="104"/>
      <c r="H6" s="105">
        <f t="shared" si="0"/>
        <v>22932000</v>
      </c>
      <c r="J6" s="100">
        <f t="shared" si="2"/>
        <v>46203</v>
      </c>
    </row>
    <row r="7" spans="1:11" x14ac:dyDescent="0.25">
      <c r="A7" s="127">
        <f>A6</f>
        <v>5125</v>
      </c>
      <c r="B7" s="104" t="s">
        <v>35</v>
      </c>
      <c r="C7" s="104"/>
      <c r="D7" s="103">
        <v>630</v>
      </c>
      <c r="E7" s="103">
        <v>19.809999999999999</v>
      </c>
      <c r="F7" s="103">
        <f>2250*1.94</f>
        <v>4365</v>
      </c>
      <c r="G7" s="104"/>
      <c r="H7" s="105">
        <f t="shared" si="0"/>
        <v>54476509.5</v>
      </c>
      <c r="J7" s="100">
        <f t="shared" si="2"/>
        <v>46203</v>
      </c>
    </row>
    <row r="8" spans="1:11" x14ac:dyDescent="0.25">
      <c r="A8" s="127">
        <f t="shared" ref="A8:A9" si="3">A7</f>
        <v>5125</v>
      </c>
      <c r="B8" s="104" t="s">
        <v>37</v>
      </c>
      <c r="C8" s="104"/>
      <c r="D8" s="103">
        <v>581</v>
      </c>
      <c r="E8" s="103">
        <v>118.51</v>
      </c>
      <c r="F8" s="106">
        <f>F4</f>
        <v>2415.3749999999995</v>
      </c>
      <c r="G8" s="107">
        <f>D8/D7-1</f>
        <v>-7.7777777777777724E-2</v>
      </c>
      <c r="H8" s="105">
        <f t="shared" si="0"/>
        <v>166308979.01624995</v>
      </c>
      <c r="J8" s="100">
        <f t="shared" si="2"/>
        <v>46203</v>
      </c>
    </row>
    <row r="9" spans="1:11" x14ac:dyDescent="0.25">
      <c r="A9" s="127">
        <f t="shared" si="3"/>
        <v>5125</v>
      </c>
      <c r="B9" s="104" t="s">
        <v>221</v>
      </c>
      <c r="C9" s="104"/>
      <c r="D9" s="103">
        <f>D8</f>
        <v>581</v>
      </c>
      <c r="E9" s="103">
        <f>E8</f>
        <v>118.51</v>
      </c>
      <c r="F9" s="103">
        <f>F5</f>
        <v>2836</v>
      </c>
      <c r="G9" s="107"/>
      <c r="H9" s="105">
        <f t="shared" si="0"/>
        <v>195270823.16</v>
      </c>
      <c r="J9" s="100">
        <f t="shared" si="2"/>
        <v>46203</v>
      </c>
      <c r="K9" s="108"/>
    </row>
    <row r="10" spans="1:11" x14ac:dyDescent="0.25">
      <c r="A10" s="126">
        <v>126</v>
      </c>
      <c r="B10" s="98" t="s">
        <v>33</v>
      </c>
      <c r="C10" s="98"/>
      <c r="D10" s="97">
        <v>691</v>
      </c>
      <c r="E10" s="97">
        <v>7.03</v>
      </c>
      <c r="F10" s="97">
        <f>2250*2.46</f>
        <v>5535</v>
      </c>
      <c r="G10" s="98"/>
      <c r="H10" s="99">
        <f t="shared" ref="H10:H13" si="4">(D10*E10)*F10</f>
        <v>26887535.550000004</v>
      </c>
      <c r="J10" s="100">
        <v>46177</v>
      </c>
    </row>
    <row r="11" spans="1:11" x14ac:dyDescent="0.25">
      <c r="A11" s="126">
        <f>A10</f>
        <v>126</v>
      </c>
      <c r="B11" s="98" t="s">
        <v>35</v>
      </c>
      <c r="C11" s="98"/>
      <c r="D11" s="97">
        <v>686</v>
      </c>
      <c r="E11" s="97">
        <v>18.22</v>
      </c>
      <c r="F11" s="97">
        <f>2250*2.02</f>
        <v>4545</v>
      </c>
      <c r="G11" s="98"/>
      <c r="H11" s="99">
        <f t="shared" si="4"/>
        <v>56807591.399999999</v>
      </c>
      <c r="J11" s="100">
        <f>$J$2</f>
        <v>46203</v>
      </c>
    </row>
    <row r="12" spans="1:11" x14ac:dyDescent="0.25">
      <c r="A12" s="126">
        <f t="shared" ref="A12:A13" si="5">A11</f>
        <v>126</v>
      </c>
      <c r="B12" s="98" t="s">
        <v>37</v>
      </c>
      <c r="C12" s="98"/>
      <c r="D12" s="97">
        <v>645</v>
      </c>
      <c r="E12" s="97">
        <v>119.2</v>
      </c>
      <c r="F12" s="101">
        <f>F8</f>
        <v>2415.3749999999995</v>
      </c>
      <c r="G12" s="102">
        <f>D12/D11-1</f>
        <v>-5.976676384839652E-2</v>
      </c>
      <c r="H12" s="99">
        <f t="shared" si="4"/>
        <v>185703691.49999997</v>
      </c>
      <c r="J12" s="100">
        <f t="shared" ref="J12:J13" si="6">$J$2</f>
        <v>46203</v>
      </c>
    </row>
    <row r="13" spans="1:11" x14ac:dyDescent="0.25">
      <c r="A13" s="126">
        <f t="shared" si="5"/>
        <v>126</v>
      </c>
      <c r="B13" s="98" t="s">
        <v>221</v>
      </c>
      <c r="C13" s="98"/>
      <c r="D13" s="97">
        <f>D12</f>
        <v>645</v>
      </c>
      <c r="E13" s="97">
        <f>E12</f>
        <v>119.2</v>
      </c>
      <c r="F13" s="97">
        <f>F9</f>
        <v>2836</v>
      </c>
      <c r="G13" s="102"/>
      <c r="H13" s="99">
        <f t="shared" si="4"/>
        <v>218043024</v>
      </c>
      <c r="J13" s="100">
        <f t="shared" si="6"/>
        <v>46203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2409-FB87-4327-BE9A-C69021A6AC09}">
  <dimension ref="A1:C13"/>
  <sheetViews>
    <sheetView workbookViewId="0">
      <selection activeCell="G5" sqref="G5"/>
    </sheetView>
  </sheetViews>
  <sheetFormatPr baseColWidth="10" defaultColWidth="8.88671875" defaultRowHeight="14.4" x14ac:dyDescent="0.3"/>
  <cols>
    <col min="1" max="1" width="41.44140625" customWidth="1"/>
    <col min="2" max="2" width="22.33203125" customWidth="1"/>
  </cols>
  <sheetData>
    <row r="1" spans="1:3" x14ac:dyDescent="0.3">
      <c r="A1" t="s">
        <v>204</v>
      </c>
      <c r="B1" t="s">
        <v>210</v>
      </c>
      <c r="C1" t="s">
        <v>206</v>
      </c>
    </row>
    <row r="2" spans="1:3" x14ac:dyDescent="0.3">
      <c r="A2" t="s">
        <v>192</v>
      </c>
      <c r="B2" t="s">
        <v>205</v>
      </c>
      <c r="C2" t="s">
        <v>207</v>
      </c>
    </row>
    <row r="3" spans="1:3" x14ac:dyDescent="0.3">
      <c r="A3" t="s">
        <v>193</v>
      </c>
      <c r="B3" t="s">
        <v>208</v>
      </c>
      <c r="C3" t="s">
        <v>207</v>
      </c>
    </row>
    <row r="4" spans="1:3" x14ac:dyDescent="0.3">
      <c r="A4" t="s">
        <v>194</v>
      </c>
      <c r="B4">
        <v>3</v>
      </c>
      <c r="C4" t="s">
        <v>209</v>
      </c>
    </row>
    <row r="5" spans="1:3" x14ac:dyDescent="0.3">
      <c r="A5" t="s">
        <v>195</v>
      </c>
      <c r="B5">
        <v>4</v>
      </c>
      <c r="C5" t="s">
        <v>209</v>
      </c>
    </row>
    <row r="6" spans="1:3" x14ac:dyDescent="0.3">
      <c r="A6" t="s">
        <v>196</v>
      </c>
      <c r="B6">
        <v>6</v>
      </c>
      <c r="C6" t="s">
        <v>209</v>
      </c>
    </row>
    <row r="7" spans="1:3" x14ac:dyDescent="0.3">
      <c r="A7" t="s">
        <v>197</v>
      </c>
      <c r="B7">
        <v>7</v>
      </c>
      <c r="C7" t="s">
        <v>209</v>
      </c>
    </row>
    <row r="8" spans="1:3" x14ac:dyDescent="0.3">
      <c r="A8" t="s">
        <v>198</v>
      </c>
      <c r="B8" t="s">
        <v>211</v>
      </c>
      <c r="C8" t="s">
        <v>207</v>
      </c>
    </row>
    <row r="9" spans="1:3" x14ac:dyDescent="0.3">
      <c r="A9" t="s">
        <v>199</v>
      </c>
      <c r="B9" t="s">
        <v>212</v>
      </c>
      <c r="C9" t="s">
        <v>207</v>
      </c>
    </row>
    <row r="10" spans="1:3" x14ac:dyDescent="0.3">
      <c r="A10" t="s">
        <v>200</v>
      </c>
      <c r="B10" t="s">
        <v>212</v>
      </c>
      <c r="C10" t="s">
        <v>207</v>
      </c>
    </row>
    <row r="11" spans="1:3" x14ac:dyDescent="0.3">
      <c r="A11" t="s">
        <v>201</v>
      </c>
      <c r="B11" t="s">
        <v>213</v>
      </c>
      <c r="C11" t="s">
        <v>207</v>
      </c>
    </row>
    <row r="12" spans="1:3" x14ac:dyDescent="0.3">
      <c r="A12" t="s">
        <v>202</v>
      </c>
      <c r="B12" t="s">
        <v>213</v>
      </c>
      <c r="C12" t="s">
        <v>207</v>
      </c>
    </row>
    <row r="13" spans="1:3" x14ac:dyDescent="0.3">
      <c r="A13" t="s">
        <v>203</v>
      </c>
      <c r="B13" t="s">
        <v>214</v>
      </c>
      <c r="C13" t="s">
        <v>207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F7F3-B978-41AD-9B49-FB50D6F839D7}">
  <dimension ref="A1:K26"/>
  <sheetViews>
    <sheetView workbookViewId="0">
      <selection activeCell="B1" sqref="B1"/>
    </sheetView>
  </sheetViews>
  <sheetFormatPr baseColWidth="10" defaultColWidth="8.88671875" defaultRowHeight="14.4" x14ac:dyDescent="0.3"/>
  <cols>
    <col min="1" max="1" width="10" bestFit="1" customWidth="1"/>
    <col min="2" max="2" width="14.6640625" bestFit="1" customWidth="1"/>
    <col min="3" max="3" width="17.6640625" bestFit="1" customWidth="1"/>
    <col min="4" max="4" width="4.5546875" bestFit="1" customWidth="1"/>
    <col min="5" max="5" width="41.88671875" bestFit="1" customWidth="1"/>
    <col min="6" max="6" width="11.6640625" bestFit="1" customWidth="1"/>
    <col min="7" max="8" width="14.88671875" bestFit="1" customWidth="1"/>
    <col min="9" max="9" width="39" bestFit="1" customWidth="1"/>
    <col min="10" max="10" width="12.5546875" bestFit="1" customWidth="1"/>
    <col min="11" max="11" width="18.44140625" bestFit="1" customWidth="1"/>
  </cols>
  <sheetData>
    <row r="1" spans="1:11" x14ac:dyDescent="0.3">
      <c r="A1" t="s">
        <v>23</v>
      </c>
      <c r="B1" t="s">
        <v>24</v>
      </c>
      <c r="C1" t="s">
        <v>25</v>
      </c>
      <c r="D1" t="s">
        <v>21</v>
      </c>
      <c r="E1" t="s">
        <v>26</v>
      </c>
      <c r="F1" t="s">
        <v>27</v>
      </c>
      <c r="G1" t="s">
        <v>10</v>
      </c>
      <c r="H1" t="s">
        <v>11</v>
      </c>
      <c r="I1" t="s">
        <v>43</v>
      </c>
      <c r="J1" t="s">
        <v>150</v>
      </c>
      <c r="K1" t="s">
        <v>18</v>
      </c>
    </row>
    <row r="2" spans="1:11" x14ac:dyDescent="0.3">
      <c r="A2" t="s">
        <v>16</v>
      </c>
      <c r="B2" t="s">
        <v>28</v>
      </c>
      <c r="C2" t="s">
        <v>29</v>
      </c>
      <c r="D2" t="s">
        <v>44</v>
      </c>
      <c r="E2" t="s">
        <v>45</v>
      </c>
      <c r="F2" t="s">
        <v>46</v>
      </c>
      <c r="G2" t="s">
        <v>30</v>
      </c>
      <c r="H2" t="s">
        <v>31</v>
      </c>
      <c r="I2" t="s">
        <v>32</v>
      </c>
      <c r="K2" t="str" cm="1">
        <f t="array" ref="K2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{0.25,0.25,0.25,0.25}</v>
      </c>
    </row>
    <row r="3" spans="1:11" x14ac:dyDescent="0.3">
      <c r="A3" t="s">
        <v>16</v>
      </c>
      <c r="B3" t="s">
        <v>33</v>
      </c>
      <c r="C3" t="s">
        <v>34</v>
      </c>
      <c r="D3" t="s">
        <v>44</v>
      </c>
      <c r="E3" t="s">
        <v>47</v>
      </c>
      <c r="F3" t="s">
        <v>46</v>
      </c>
      <c r="G3" t="s">
        <v>30</v>
      </c>
      <c r="H3" t="s">
        <v>31</v>
      </c>
      <c r="I3" t="s">
        <v>32</v>
      </c>
      <c r="K3" t="str" cm="1">
        <f t="array" ref="K3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{0.25,0.25,0.25,0.25}</v>
      </c>
    </row>
    <row r="4" spans="1:11" x14ac:dyDescent="0.3">
      <c r="A4" t="s">
        <v>16</v>
      </c>
      <c r="B4" t="s">
        <v>35</v>
      </c>
      <c r="C4" t="s">
        <v>36</v>
      </c>
      <c r="D4" t="s">
        <v>44</v>
      </c>
      <c r="E4" t="s">
        <v>47</v>
      </c>
      <c r="F4" t="s">
        <v>46</v>
      </c>
      <c r="G4" t="s">
        <v>30</v>
      </c>
      <c r="H4" t="s">
        <v>31</v>
      </c>
      <c r="I4" t="s">
        <v>32</v>
      </c>
      <c r="K4" t="str" cm="1">
        <f t="array" ref="K4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{0.25,0.25,0.25,0.25}</v>
      </c>
    </row>
    <row r="5" spans="1:11" x14ac:dyDescent="0.3">
      <c r="A5" t="s">
        <v>16</v>
      </c>
      <c r="B5" t="s">
        <v>37</v>
      </c>
      <c r="C5" t="s">
        <v>38</v>
      </c>
      <c r="D5" t="s">
        <v>44</v>
      </c>
      <c r="E5" t="s">
        <v>47</v>
      </c>
      <c r="F5" t="s">
        <v>46</v>
      </c>
      <c r="G5" t="s">
        <v>30</v>
      </c>
      <c r="H5" t="s">
        <v>31</v>
      </c>
      <c r="I5" t="s">
        <v>32</v>
      </c>
      <c r="K5" t="str" cm="1">
        <f t="array" ref="K5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{0.25,0.25,0.25,0.25}</v>
      </c>
    </row>
    <row r="6" spans="1:11" x14ac:dyDescent="0.3">
      <c r="A6" t="s">
        <v>39</v>
      </c>
      <c r="B6" t="s">
        <v>28</v>
      </c>
      <c r="C6" t="s">
        <v>40</v>
      </c>
      <c r="D6" t="s">
        <v>48</v>
      </c>
      <c r="E6" t="s">
        <v>49</v>
      </c>
      <c r="F6" t="s">
        <v>48</v>
      </c>
      <c r="G6" t="s">
        <v>41</v>
      </c>
      <c r="H6" t="s">
        <v>31</v>
      </c>
      <c r="I6" t="s">
        <v>28</v>
      </c>
      <c r="J6" t="s">
        <v>28</v>
      </c>
      <c r="K6" t="str" cm="1">
        <f t="array" ref="K6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{1}</v>
      </c>
    </row>
    <row r="7" spans="1:11" x14ac:dyDescent="0.3">
      <c r="A7" t="s">
        <v>42</v>
      </c>
      <c r="B7" t="s">
        <v>33</v>
      </c>
      <c r="C7" t="s">
        <v>50</v>
      </c>
      <c r="D7" t="s">
        <v>48</v>
      </c>
      <c r="E7" t="s">
        <v>51</v>
      </c>
      <c r="F7" t="s">
        <v>48</v>
      </c>
      <c r="G7" t="s">
        <v>41</v>
      </c>
      <c r="H7" t="s">
        <v>31</v>
      </c>
      <c r="I7" t="s">
        <v>33</v>
      </c>
      <c r="J7" t="s">
        <v>33</v>
      </c>
      <c r="K7" t="str" cm="1">
        <f t="array" ref="K7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{1}</v>
      </c>
    </row>
    <row r="8" spans="1:11" x14ac:dyDescent="0.3">
      <c r="A8" t="s">
        <v>52</v>
      </c>
      <c r="B8" t="s">
        <v>35</v>
      </c>
      <c r="C8" t="s">
        <v>53</v>
      </c>
      <c r="D8" t="s">
        <v>48</v>
      </c>
      <c r="E8" t="s">
        <v>54</v>
      </c>
      <c r="F8" t="s">
        <v>48</v>
      </c>
      <c r="G8" t="s">
        <v>41</v>
      </c>
      <c r="H8" t="s">
        <v>31</v>
      </c>
      <c r="I8" t="s">
        <v>35</v>
      </c>
      <c r="J8" t="s">
        <v>35</v>
      </c>
      <c r="K8" t="str" cm="1">
        <f t="array" ref="K8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{1}</v>
      </c>
    </row>
    <row r="9" spans="1:11" x14ac:dyDescent="0.3">
      <c r="A9" t="s">
        <v>55</v>
      </c>
      <c r="B9" t="s">
        <v>37</v>
      </c>
      <c r="C9" t="s">
        <v>56</v>
      </c>
      <c r="D9" t="s">
        <v>48</v>
      </c>
      <c r="E9" t="s">
        <v>57</v>
      </c>
      <c r="F9" t="s">
        <v>48</v>
      </c>
      <c r="G9" t="s">
        <v>41</v>
      </c>
      <c r="H9" t="s">
        <v>31</v>
      </c>
      <c r="I9" t="s">
        <v>37</v>
      </c>
      <c r="J9" t="s">
        <v>37</v>
      </c>
      <c r="K9" t="str" cm="1">
        <f t="array" ref="K9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{1}</v>
      </c>
    </row>
    <row r="10" spans="1:11" x14ac:dyDescent="0.3">
      <c r="A10" t="s">
        <v>58</v>
      </c>
      <c r="B10" t="s">
        <v>28</v>
      </c>
      <c r="C10" t="s">
        <v>59</v>
      </c>
      <c r="D10" t="s">
        <v>60</v>
      </c>
      <c r="E10" t="s">
        <v>61</v>
      </c>
      <c r="F10" t="s">
        <v>46</v>
      </c>
      <c r="G10" t="s">
        <v>41</v>
      </c>
      <c r="H10" t="s">
        <v>31</v>
      </c>
      <c r="I10" t="s">
        <v>32</v>
      </c>
      <c r="K10" t="str" cm="1">
        <f t="array" ref="K10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{0.53,0.23,0.23,0.01}</v>
      </c>
    </row>
    <row r="11" spans="1:11" x14ac:dyDescent="0.3">
      <c r="A11" t="s">
        <v>58</v>
      </c>
      <c r="B11" t="s">
        <v>33</v>
      </c>
      <c r="C11" t="s">
        <v>62</v>
      </c>
      <c r="D11" t="s">
        <v>63</v>
      </c>
      <c r="E11" t="s">
        <v>61</v>
      </c>
      <c r="F11" t="s">
        <v>46</v>
      </c>
      <c r="G11" t="s">
        <v>41</v>
      </c>
      <c r="H11" t="s">
        <v>31</v>
      </c>
      <c r="I11" t="s">
        <v>32</v>
      </c>
      <c r="K11" t="str" cm="1">
        <f t="array" ref="K11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{0.53,0.23,0.23,0.01}</v>
      </c>
    </row>
    <row r="12" spans="1:11" x14ac:dyDescent="0.3">
      <c r="A12" t="s">
        <v>58</v>
      </c>
      <c r="B12" t="s">
        <v>35</v>
      </c>
      <c r="C12" t="s">
        <v>64</v>
      </c>
      <c r="D12" t="s">
        <v>63</v>
      </c>
      <c r="E12" t="s">
        <v>61</v>
      </c>
      <c r="F12" t="s">
        <v>46</v>
      </c>
      <c r="G12" t="s">
        <v>41</v>
      </c>
      <c r="H12" t="s">
        <v>31</v>
      </c>
      <c r="I12" t="s">
        <v>32</v>
      </c>
      <c r="K12" t="str" cm="1">
        <f t="array" ref="K12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{0.53,0.23,0.23,0.01}</v>
      </c>
    </row>
    <row r="13" spans="1:11" x14ac:dyDescent="0.3">
      <c r="A13" t="s">
        <v>58</v>
      </c>
      <c r="B13" t="s">
        <v>37</v>
      </c>
      <c r="C13" t="s">
        <v>65</v>
      </c>
      <c r="D13" t="s">
        <v>66</v>
      </c>
      <c r="E13" t="s">
        <v>61</v>
      </c>
      <c r="F13" t="s">
        <v>46</v>
      </c>
      <c r="G13" t="s">
        <v>41</v>
      </c>
      <c r="H13" t="s">
        <v>31</v>
      </c>
      <c r="I13" t="s">
        <v>32</v>
      </c>
      <c r="K13" t="str" cm="1">
        <f t="array" ref="K13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{0.53,0.23,0.23,0.01}</v>
      </c>
    </row>
    <row r="14" spans="1:11" x14ac:dyDescent="0.3">
      <c r="A14" t="s">
        <v>67</v>
      </c>
      <c r="B14" t="s">
        <v>28</v>
      </c>
      <c r="C14" t="s">
        <v>68</v>
      </c>
      <c r="D14" t="s">
        <v>69</v>
      </c>
      <c r="E14" t="s">
        <v>70</v>
      </c>
      <c r="F14" t="s">
        <v>46</v>
      </c>
      <c r="G14" t="s">
        <v>41</v>
      </c>
      <c r="H14" t="s">
        <v>31</v>
      </c>
      <c r="I14" t="s">
        <v>32</v>
      </c>
      <c r="K14" t="str" cm="1">
        <f t="array" ref="K14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{0.3,0.3,0.3,0.1}</v>
      </c>
    </row>
    <row r="15" spans="1:11" x14ac:dyDescent="0.3">
      <c r="A15" t="s">
        <v>67</v>
      </c>
      <c r="B15" t="s">
        <v>33</v>
      </c>
      <c r="C15" t="s">
        <v>71</v>
      </c>
      <c r="D15" t="s">
        <v>69</v>
      </c>
      <c r="E15" t="s">
        <v>70</v>
      </c>
      <c r="F15" t="s">
        <v>46</v>
      </c>
      <c r="G15" t="s">
        <v>41</v>
      </c>
      <c r="H15" t="s">
        <v>31</v>
      </c>
      <c r="I15" t="s">
        <v>32</v>
      </c>
      <c r="K15" t="str" cm="1">
        <f t="array" ref="K15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{0.3,0.3,0.3,0.1}</v>
      </c>
    </row>
    <row r="16" spans="1:11" x14ac:dyDescent="0.3">
      <c r="A16" t="s">
        <v>67</v>
      </c>
      <c r="B16" t="s">
        <v>35</v>
      </c>
      <c r="C16" t="s">
        <v>72</v>
      </c>
      <c r="D16" t="s">
        <v>69</v>
      </c>
      <c r="E16" t="s">
        <v>70</v>
      </c>
      <c r="F16" t="s">
        <v>46</v>
      </c>
      <c r="G16" t="s">
        <v>41</v>
      </c>
      <c r="H16" t="s">
        <v>31</v>
      </c>
      <c r="I16" t="s">
        <v>32</v>
      </c>
      <c r="K16" t="str" cm="1">
        <f t="array" ref="K16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{0.3,0.3,0.3,0.1}</v>
      </c>
    </row>
    <row r="17" spans="1:11" x14ac:dyDescent="0.3">
      <c r="A17" t="s">
        <v>67</v>
      </c>
      <c r="B17" t="s">
        <v>37</v>
      </c>
      <c r="C17" t="s">
        <v>73</v>
      </c>
      <c r="D17" t="s">
        <v>74</v>
      </c>
      <c r="E17" t="s">
        <v>70</v>
      </c>
      <c r="F17" t="s">
        <v>46</v>
      </c>
      <c r="G17" t="s">
        <v>41</v>
      </c>
      <c r="H17" t="s">
        <v>31</v>
      </c>
      <c r="I17" t="s">
        <v>32</v>
      </c>
      <c r="K17" t="str" cm="1">
        <f t="array" ref="K17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{0.3,0.3,0.3,0.1}</v>
      </c>
    </row>
    <row r="18" spans="1:11" x14ac:dyDescent="0.3">
      <c r="A18" t="s">
        <v>75</v>
      </c>
      <c r="B18" t="s">
        <v>28</v>
      </c>
      <c r="C18" t="s">
        <v>76</v>
      </c>
      <c r="D18" t="s">
        <v>69</v>
      </c>
      <c r="E18" t="s">
        <v>77</v>
      </c>
      <c r="F18" t="s">
        <v>78</v>
      </c>
      <c r="G18" t="s">
        <v>41</v>
      </c>
      <c r="H18" t="s">
        <v>31</v>
      </c>
      <c r="I18" t="s">
        <v>79</v>
      </c>
      <c r="K18" t="str" cm="1">
        <f t="array" ref="K18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{0.3,0.3}</v>
      </c>
    </row>
    <row r="19" spans="1:11" x14ac:dyDescent="0.3">
      <c r="A19" t="s">
        <v>75</v>
      </c>
      <c r="B19" t="s">
        <v>33</v>
      </c>
      <c r="C19" t="s">
        <v>80</v>
      </c>
      <c r="D19" t="s">
        <v>69</v>
      </c>
      <c r="E19" t="s">
        <v>77</v>
      </c>
      <c r="F19" t="s">
        <v>78</v>
      </c>
      <c r="G19" t="s">
        <v>41</v>
      </c>
      <c r="H19" t="s">
        <v>31</v>
      </c>
      <c r="I19" t="s">
        <v>79</v>
      </c>
      <c r="K19" t="str" cm="1">
        <f t="array" ref="K19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{0.3,0.3}</v>
      </c>
    </row>
    <row r="20" spans="1:11" x14ac:dyDescent="0.3">
      <c r="A20" t="s">
        <v>81</v>
      </c>
      <c r="B20" t="s">
        <v>35</v>
      </c>
      <c r="C20" t="s">
        <v>82</v>
      </c>
      <c r="D20" t="s">
        <v>69</v>
      </c>
      <c r="E20" t="s">
        <v>77</v>
      </c>
      <c r="F20" t="s">
        <v>78</v>
      </c>
      <c r="G20" t="s">
        <v>41</v>
      </c>
      <c r="H20" t="s">
        <v>31</v>
      </c>
      <c r="I20" t="s">
        <v>83</v>
      </c>
      <c r="K20" t="str" cm="1">
        <f t="array" ref="K20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{0.3,0.1}</v>
      </c>
    </row>
    <row r="21" spans="1:11" x14ac:dyDescent="0.3">
      <c r="A21" t="s">
        <v>81</v>
      </c>
      <c r="B21" t="s">
        <v>37</v>
      </c>
      <c r="C21" t="s">
        <v>84</v>
      </c>
      <c r="D21" t="s">
        <v>74</v>
      </c>
      <c r="E21" t="s">
        <v>77</v>
      </c>
      <c r="F21" t="s">
        <v>78</v>
      </c>
      <c r="G21" t="s">
        <v>41</v>
      </c>
      <c r="H21" t="s">
        <v>31</v>
      </c>
      <c r="I21" t="s">
        <v>83</v>
      </c>
      <c r="K21" t="str" cm="1">
        <f t="array" ref="K21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{0.3,0.1}</v>
      </c>
    </row>
    <row r="22" spans="1:11" x14ac:dyDescent="0.3">
      <c r="A22" t="s">
        <v>85</v>
      </c>
      <c r="B22" t="s">
        <v>86</v>
      </c>
      <c r="C22" t="s">
        <v>336</v>
      </c>
      <c r="D22" t="s">
        <v>87</v>
      </c>
      <c r="E22" t="s">
        <v>88</v>
      </c>
      <c r="F22" t="s">
        <v>48</v>
      </c>
      <c r="G22" t="s">
        <v>30</v>
      </c>
      <c r="H22" t="s">
        <v>89</v>
      </c>
      <c r="I22" t="s">
        <v>86</v>
      </c>
      <c r="K22" t="str" cm="1">
        <f t="array" ref="K22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{0}</v>
      </c>
    </row>
    <row r="23" spans="1:11" x14ac:dyDescent="0.3">
      <c r="A23" t="s">
        <v>90</v>
      </c>
      <c r="B23" t="s">
        <v>28</v>
      </c>
      <c r="C23" t="s">
        <v>91</v>
      </c>
      <c r="D23" t="s">
        <v>92</v>
      </c>
      <c r="E23" t="s">
        <v>93</v>
      </c>
      <c r="F23" t="s">
        <v>78</v>
      </c>
      <c r="G23" t="s">
        <v>31</v>
      </c>
      <c r="H23" t="s">
        <v>41</v>
      </c>
      <c r="I23" t="s">
        <v>79</v>
      </c>
      <c r="K23" t="str" cm="1">
        <f t="array" ref="K23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{0.5,0.5}</v>
      </c>
    </row>
    <row r="24" spans="1:11" x14ac:dyDescent="0.3">
      <c r="A24" t="s">
        <v>90</v>
      </c>
      <c r="B24" t="s">
        <v>33</v>
      </c>
      <c r="C24" t="s">
        <v>94</v>
      </c>
      <c r="D24" t="s">
        <v>92</v>
      </c>
      <c r="E24" t="s">
        <v>93</v>
      </c>
      <c r="F24" t="s">
        <v>78</v>
      </c>
      <c r="G24" t="s">
        <v>31</v>
      </c>
      <c r="H24" t="s">
        <v>41</v>
      </c>
      <c r="I24" t="s">
        <v>79</v>
      </c>
      <c r="K24" t="str" cm="1">
        <f t="array" ref="K24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{0.5,0.5}</v>
      </c>
    </row>
    <row r="25" spans="1:11" x14ac:dyDescent="0.3">
      <c r="A25" t="s">
        <v>95</v>
      </c>
      <c r="B25" t="s">
        <v>35</v>
      </c>
      <c r="C25" t="s">
        <v>96</v>
      </c>
      <c r="D25" t="s">
        <v>92</v>
      </c>
      <c r="E25" t="s">
        <v>97</v>
      </c>
      <c r="F25" t="s">
        <v>78</v>
      </c>
      <c r="G25" t="s">
        <v>31</v>
      </c>
      <c r="H25" t="s">
        <v>41</v>
      </c>
      <c r="I25" t="s">
        <v>83</v>
      </c>
      <c r="K25" t="str" cm="1">
        <f t="array" ref="K25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{0.5,0.5}</v>
      </c>
    </row>
    <row r="26" spans="1:11" x14ac:dyDescent="0.3">
      <c r="A26" t="s">
        <v>95</v>
      </c>
      <c r="B26" t="s">
        <v>37</v>
      </c>
      <c r="C26" t="s">
        <v>98</v>
      </c>
      <c r="D26" t="s">
        <v>92</v>
      </c>
      <c r="E26" t="s">
        <v>97</v>
      </c>
      <c r="F26" t="s">
        <v>78</v>
      </c>
      <c r="G26" t="s">
        <v>41</v>
      </c>
      <c r="H26" t="s">
        <v>41</v>
      </c>
      <c r="I26" t="s">
        <v>83</v>
      </c>
      <c r="K26" t="str" cm="1">
        <f t="array" ref="K26">"{" &amp;
_xlfn.TEXTJOIN(",", TRUE,
    _xlfn.SORTBY(
        _xlfn._xlws.FILTER(cco_calzim[prc], cco_calzim[COD CCO]=cco_calzim[[#This Row],[COD CCO]]),
        _xlfn._xlws.FILTER(cco_calzim[SECTOR], cco_calzim[COD CCO]=cco_calzim[[#This Row],[COD CCO]]),
        1
    )
)
&amp; "}"</f>
        <v>{0.5,0.5}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5FA2-F0C9-4E01-9D25-5C5176669BB6}">
  <dimension ref="A1:G20"/>
  <sheetViews>
    <sheetView workbookViewId="0">
      <selection activeCell="B1" sqref="B1"/>
    </sheetView>
  </sheetViews>
  <sheetFormatPr baseColWidth="10" defaultColWidth="8.88671875" defaultRowHeight="14.4" x14ac:dyDescent="0.3"/>
  <cols>
    <col min="1" max="1" width="11.33203125" bestFit="1" customWidth="1"/>
    <col min="2" max="2" width="15.44140625" bestFit="1" customWidth="1"/>
    <col min="3" max="3" width="21.109375" bestFit="1" customWidth="1"/>
    <col min="4" max="7" width="11.44140625" bestFit="1" customWidth="1"/>
    <col min="8" max="10" width="10.6640625" bestFit="1" customWidth="1"/>
  </cols>
  <sheetData>
    <row r="1" spans="1:7" x14ac:dyDescent="0.3">
      <c r="A1" t="s">
        <v>19</v>
      </c>
      <c r="B1" t="s">
        <v>20</v>
      </c>
      <c r="C1" t="s">
        <v>21</v>
      </c>
      <c r="D1" t="s">
        <v>310</v>
      </c>
      <c r="E1" t="s">
        <v>311</v>
      </c>
      <c r="F1" t="s">
        <v>312</v>
      </c>
      <c r="G1" t="s">
        <v>313</v>
      </c>
    </row>
    <row r="2" spans="1:7" x14ac:dyDescent="0.3">
      <c r="A2" t="s">
        <v>17</v>
      </c>
      <c r="B2" t="s">
        <v>22</v>
      </c>
      <c r="C2" t="s">
        <v>314</v>
      </c>
    </row>
    <row r="3" spans="1:7" x14ac:dyDescent="0.3">
      <c r="A3" t="s">
        <v>315</v>
      </c>
      <c r="B3" t="s">
        <v>315</v>
      </c>
      <c r="C3" t="s">
        <v>316</v>
      </c>
    </row>
    <row r="4" spans="1:7" x14ac:dyDescent="0.3">
      <c r="A4" t="s">
        <v>317</v>
      </c>
      <c r="B4" t="s">
        <v>317</v>
      </c>
      <c r="C4" t="s">
        <v>316</v>
      </c>
    </row>
    <row r="5" spans="1:7" x14ac:dyDescent="0.3">
      <c r="A5" t="s">
        <v>318</v>
      </c>
      <c r="B5" t="s">
        <v>319</v>
      </c>
      <c r="C5" t="s">
        <v>314</v>
      </c>
    </row>
    <row r="6" spans="1:7" x14ac:dyDescent="0.3">
      <c r="A6" t="s">
        <v>320</v>
      </c>
      <c r="B6" t="s">
        <v>320</v>
      </c>
      <c r="C6" t="s">
        <v>316</v>
      </c>
    </row>
    <row r="7" spans="1:7" x14ac:dyDescent="0.3">
      <c r="A7" t="s">
        <v>321</v>
      </c>
      <c r="B7" t="s">
        <v>321</v>
      </c>
      <c r="C7" t="s">
        <v>316</v>
      </c>
    </row>
    <row r="8" spans="1:7" x14ac:dyDescent="0.3">
      <c r="A8" t="s">
        <v>322</v>
      </c>
      <c r="B8" t="s">
        <v>323</v>
      </c>
      <c r="C8" t="s">
        <v>324</v>
      </c>
    </row>
    <row r="9" spans="1:7" x14ac:dyDescent="0.3">
      <c r="A9" t="s">
        <v>325</v>
      </c>
      <c r="B9" t="s">
        <v>325</v>
      </c>
      <c r="C9" t="s">
        <v>316</v>
      </c>
    </row>
    <row r="10" spans="1:7" x14ac:dyDescent="0.3">
      <c r="A10" t="s">
        <v>326</v>
      </c>
      <c r="B10" t="s">
        <v>326</v>
      </c>
      <c r="C10" t="s">
        <v>316</v>
      </c>
    </row>
    <row r="11" spans="1:7" x14ac:dyDescent="0.3">
      <c r="A11" t="s">
        <v>327</v>
      </c>
      <c r="B11" t="s">
        <v>327</v>
      </c>
      <c r="C11" t="s">
        <v>316</v>
      </c>
    </row>
    <row r="12" spans="1:7" x14ac:dyDescent="0.3">
      <c r="A12" t="s">
        <v>328</v>
      </c>
      <c r="B12" t="s">
        <v>329</v>
      </c>
      <c r="C12" t="s">
        <v>314</v>
      </c>
    </row>
    <row r="13" spans="1:7" x14ac:dyDescent="0.3">
      <c r="A13" t="s">
        <v>330</v>
      </c>
      <c r="B13" t="s">
        <v>330</v>
      </c>
      <c r="C13" t="s">
        <v>316</v>
      </c>
    </row>
    <row r="14" spans="1:7" x14ac:dyDescent="0.3">
      <c r="A14" t="s">
        <v>331</v>
      </c>
      <c r="B14" t="s">
        <v>331</v>
      </c>
      <c r="C14" t="s">
        <v>316</v>
      </c>
    </row>
    <row r="15" spans="1:7" x14ac:dyDescent="0.3">
      <c r="A15" t="s">
        <v>332</v>
      </c>
      <c r="B15" t="s">
        <v>333</v>
      </c>
      <c r="C15" t="s">
        <v>314</v>
      </c>
    </row>
    <row r="16" spans="1:7" x14ac:dyDescent="0.3">
      <c r="A16" t="s">
        <v>334</v>
      </c>
      <c r="B16" t="s">
        <v>334</v>
      </c>
      <c r="C16" t="s">
        <v>316</v>
      </c>
    </row>
    <row r="17" spans="1:3" x14ac:dyDescent="0.3">
      <c r="A17" t="s">
        <v>335</v>
      </c>
      <c r="B17" t="s">
        <v>335</v>
      </c>
      <c r="C17" t="s">
        <v>316</v>
      </c>
    </row>
    <row r="18" spans="1:3" x14ac:dyDescent="0.3">
      <c r="A18" t="s">
        <v>337</v>
      </c>
      <c r="B18" t="s">
        <v>338</v>
      </c>
      <c r="C18" t="s">
        <v>314</v>
      </c>
    </row>
    <row r="19" spans="1:3" x14ac:dyDescent="0.3">
      <c r="A19" t="s">
        <v>339</v>
      </c>
      <c r="B19" t="s">
        <v>339</v>
      </c>
      <c r="C19" t="s">
        <v>316</v>
      </c>
    </row>
    <row r="20" spans="1:3" x14ac:dyDescent="0.3">
      <c r="A20" t="s">
        <v>340</v>
      </c>
      <c r="B20" t="s">
        <v>340</v>
      </c>
      <c r="C20" t="s">
        <v>316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2754-42FD-46EE-B7D7-C887F877C089}">
  <dimension ref="A1:B25"/>
  <sheetViews>
    <sheetView workbookViewId="0">
      <selection activeCell="B1" sqref="B1"/>
    </sheetView>
  </sheetViews>
  <sheetFormatPr baseColWidth="10" defaultColWidth="8.88671875" defaultRowHeight="14.4" x14ac:dyDescent="0.3"/>
  <cols>
    <col min="1" max="1" width="9.109375" bestFit="1" customWidth="1"/>
  </cols>
  <sheetData>
    <row r="1" spans="1:2" x14ac:dyDescent="0.3">
      <c r="A1" t="s">
        <v>180</v>
      </c>
      <c r="B1" t="s">
        <v>181</v>
      </c>
    </row>
    <row r="2" spans="1:2" x14ac:dyDescent="0.3">
      <c r="A2" t="s">
        <v>106</v>
      </c>
    </row>
    <row r="3" spans="1:2" x14ac:dyDescent="0.3">
      <c r="A3" t="s">
        <v>106</v>
      </c>
    </row>
    <row r="4" spans="1:2" x14ac:dyDescent="0.3">
      <c r="A4" t="s">
        <v>107</v>
      </c>
    </row>
    <row r="5" spans="1:2" x14ac:dyDescent="0.3">
      <c r="A5" t="s">
        <v>107</v>
      </c>
    </row>
    <row r="6" spans="1:2" x14ac:dyDescent="0.3">
      <c r="A6" t="s">
        <v>107</v>
      </c>
    </row>
    <row r="7" spans="1:2" x14ac:dyDescent="0.3">
      <c r="A7" t="s">
        <v>107</v>
      </c>
    </row>
    <row r="8" spans="1:2" x14ac:dyDescent="0.3">
      <c r="A8" t="s">
        <v>111</v>
      </c>
    </row>
    <row r="9" spans="1:2" x14ac:dyDescent="0.3">
      <c r="A9" t="s">
        <v>111</v>
      </c>
    </row>
    <row r="10" spans="1:2" x14ac:dyDescent="0.3">
      <c r="A10" t="s">
        <v>100</v>
      </c>
    </row>
    <row r="11" spans="1:2" x14ac:dyDescent="0.3">
      <c r="A11" t="s">
        <v>105</v>
      </c>
    </row>
    <row r="12" spans="1:2" x14ac:dyDescent="0.3">
      <c r="A12" t="s">
        <v>100</v>
      </c>
    </row>
    <row r="13" spans="1:2" x14ac:dyDescent="0.3">
      <c r="A13" t="s">
        <v>105</v>
      </c>
    </row>
    <row r="14" spans="1:2" x14ac:dyDescent="0.3">
      <c r="A14" t="s">
        <v>112</v>
      </c>
    </row>
    <row r="15" spans="1:2" x14ac:dyDescent="0.3">
      <c r="A15" t="s">
        <v>108</v>
      </c>
    </row>
    <row r="16" spans="1:2" x14ac:dyDescent="0.3">
      <c r="A16" t="s">
        <v>108</v>
      </c>
    </row>
    <row r="17" spans="1:1" x14ac:dyDescent="0.3">
      <c r="A17" t="s">
        <v>110</v>
      </c>
    </row>
    <row r="18" spans="1:1" x14ac:dyDescent="0.3">
      <c r="A18" t="s">
        <v>110</v>
      </c>
    </row>
    <row r="19" spans="1:1" x14ac:dyDescent="0.3">
      <c r="A19" t="s">
        <v>110</v>
      </c>
    </row>
    <row r="20" spans="1:1" x14ac:dyDescent="0.3">
      <c r="A20" t="s">
        <v>110</v>
      </c>
    </row>
    <row r="21" spans="1:1" x14ac:dyDescent="0.3">
      <c r="A21" t="s">
        <v>109</v>
      </c>
    </row>
    <row r="22" spans="1:1" x14ac:dyDescent="0.3">
      <c r="A22" t="s">
        <v>113</v>
      </c>
    </row>
    <row r="23" spans="1:1" x14ac:dyDescent="0.3">
      <c r="A23" t="s">
        <v>113</v>
      </c>
    </row>
    <row r="24" spans="1:1" x14ac:dyDescent="0.3">
      <c r="A24" t="s">
        <v>112</v>
      </c>
    </row>
    <row r="25" spans="1:1" x14ac:dyDescent="0.3">
      <c r="A25" t="s">
        <v>109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298C-5A29-43E7-B3F1-3E62B83E9453}">
  <dimension ref="A1:Q47"/>
  <sheetViews>
    <sheetView workbookViewId="0">
      <pane ySplit="1" topLeftCell="A2" activePane="bottomLeft" state="frozen"/>
      <selection activeCell="B1" sqref="B1"/>
      <selection pane="bottomLeft" activeCell="B1" sqref="B1"/>
    </sheetView>
  </sheetViews>
  <sheetFormatPr baseColWidth="10" defaultColWidth="8.88671875" defaultRowHeight="14.4" x14ac:dyDescent="0.3"/>
  <cols>
    <col min="1" max="1" width="19.88671875" style="5" customWidth="1"/>
    <col min="2" max="3" width="33.5546875" customWidth="1"/>
    <col min="4" max="4" width="13.109375" customWidth="1"/>
    <col min="5" max="5" width="19.6640625" customWidth="1"/>
    <col min="6" max="6" width="12.88671875" customWidth="1"/>
    <col min="9" max="9" width="12" customWidth="1"/>
    <col min="12" max="12" width="12.5546875" customWidth="1"/>
    <col min="13" max="13" width="12.109375" customWidth="1"/>
  </cols>
  <sheetData>
    <row r="1" spans="1:17" x14ac:dyDescent="0.3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127</v>
      </c>
      <c r="N1" t="s">
        <v>12</v>
      </c>
      <c r="O1" t="s">
        <v>13</v>
      </c>
      <c r="P1" t="s">
        <v>14</v>
      </c>
      <c r="Q1" t="s">
        <v>13</v>
      </c>
    </row>
    <row r="2" spans="1:17" s="7" customFormat="1" x14ac:dyDescent="0.3">
      <c r="A2" s="6">
        <v>45931</v>
      </c>
      <c r="B2" s="7" t="s">
        <v>122</v>
      </c>
      <c r="C2" s="7" t="s">
        <v>123</v>
      </c>
      <c r="D2" s="12">
        <v>-10285262.4</v>
      </c>
      <c r="E2" s="7" t="s">
        <v>111</v>
      </c>
      <c r="F2" s="7">
        <v>31920</v>
      </c>
      <c r="G2" s="7">
        <v>322.22000000000003</v>
      </c>
      <c r="H2" s="7" t="s">
        <v>125</v>
      </c>
      <c r="I2" s="7" t="s">
        <v>126</v>
      </c>
      <c r="J2" s="7" t="s">
        <v>15</v>
      </c>
      <c r="K2" s="7" t="s">
        <v>41</v>
      </c>
      <c r="L2" s="7" t="s">
        <v>31</v>
      </c>
      <c r="M2" s="7">
        <v>1525</v>
      </c>
      <c r="N2" s="7" t="s">
        <v>16</v>
      </c>
      <c r="P2" s="7" t="s">
        <v>179</v>
      </c>
    </row>
    <row r="3" spans="1:17" s="7" customFormat="1" x14ac:dyDescent="0.3">
      <c r="A3" s="6">
        <v>45931</v>
      </c>
      <c r="B3" s="7" t="s">
        <v>122</v>
      </c>
      <c r="C3" s="7" t="s">
        <v>124</v>
      </c>
      <c r="D3" s="12">
        <v>-5100264</v>
      </c>
      <c r="E3" s="7" t="s">
        <v>111</v>
      </c>
      <c r="F3" s="7">
        <v>11700</v>
      </c>
      <c r="G3" s="7">
        <v>435.92</v>
      </c>
      <c r="H3" s="7" t="s">
        <v>125</v>
      </c>
      <c r="I3" s="7" t="s">
        <v>126</v>
      </c>
      <c r="J3" s="7" t="s">
        <v>15</v>
      </c>
      <c r="K3" s="7" t="s">
        <v>41</v>
      </c>
      <c r="L3" s="7" t="s">
        <v>31</v>
      </c>
      <c r="M3" s="7">
        <v>1725</v>
      </c>
      <c r="N3" s="7" t="s">
        <v>16</v>
      </c>
      <c r="P3" s="7" t="s">
        <v>179</v>
      </c>
    </row>
    <row r="4" spans="1:17" s="7" customFormat="1" x14ac:dyDescent="0.3">
      <c r="A4" s="6">
        <v>45931</v>
      </c>
      <c r="B4" s="7" t="s">
        <v>122</v>
      </c>
      <c r="C4" s="7" t="s">
        <v>128</v>
      </c>
      <c r="D4" s="12">
        <v>-457858.53500000003</v>
      </c>
      <c r="E4" s="7" t="s">
        <v>106</v>
      </c>
      <c r="F4" s="7">
        <v>184.75</v>
      </c>
      <c r="G4" s="7">
        <v>2478.2600000000002</v>
      </c>
      <c r="H4" s="7" t="s">
        <v>125</v>
      </c>
      <c r="I4" s="7" t="s">
        <v>126</v>
      </c>
      <c r="J4" s="7" t="s">
        <v>15</v>
      </c>
      <c r="K4" s="7" t="s">
        <v>41</v>
      </c>
      <c r="L4" s="7" t="s">
        <v>31</v>
      </c>
      <c r="M4" s="7">
        <v>1525</v>
      </c>
      <c r="N4" s="7" t="s">
        <v>16</v>
      </c>
      <c r="P4" s="7" t="s">
        <v>179</v>
      </c>
    </row>
    <row r="5" spans="1:17" s="7" customFormat="1" x14ac:dyDescent="0.3">
      <c r="A5" s="6">
        <v>45931</v>
      </c>
      <c r="B5" s="7" t="s">
        <v>122</v>
      </c>
      <c r="C5" s="7" t="s">
        <v>129</v>
      </c>
      <c r="D5" s="12">
        <v>-444490.02500000002</v>
      </c>
      <c r="E5" s="7" t="s">
        <v>106</v>
      </c>
      <c r="F5" s="7">
        <v>184.75</v>
      </c>
      <c r="G5" s="7">
        <v>2405.9</v>
      </c>
      <c r="H5" s="7" t="s">
        <v>125</v>
      </c>
      <c r="I5" s="7" t="s">
        <v>126</v>
      </c>
      <c r="J5" s="7" t="s">
        <v>15</v>
      </c>
      <c r="K5" s="7" t="s">
        <v>41</v>
      </c>
      <c r="L5" s="7" t="s">
        <v>31</v>
      </c>
      <c r="M5" s="7">
        <v>1725</v>
      </c>
      <c r="N5" s="7" t="s">
        <v>16</v>
      </c>
      <c r="P5" s="7" t="s">
        <v>179</v>
      </c>
    </row>
    <row r="6" spans="1:17" s="7" customFormat="1" x14ac:dyDescent="0.3">
      <c r="A6" s="6">
        <v>45931</v>
      </c>
      <c r="B6" s="7" t="s">
        <v>122</v>
      </c>
      <c r="C6" s="7" t="s">
        <v>130</v>
      </c>
      <c r="D6" s="12">
        <v>-1623982.5</v>
      </c>
      <c r="E6" s="7" t="s">
        <v>107</v>
      </c>
      <c r="F6" s="7">
        <v>675</v>
      </c>
      <c r="G6" s="7">
        <v>2405.9</v>
      </c>
      <c r="H6" s="7" t="s">
        <v>125</v>
      </c>
      <c r="I6" s="7" t="s">
        <v>126</v>
      </c>
      <c r="J6" s="7" t="s">
        <v>15</v>
      </c>
      <c r="K6" s="7" t="s">
        <v>41</v>
      </c>
      <c r="L6" s="7" t="s">
        <v>31</v>
      </c>
      <c r="M6" s="7">
        <v>1525</v>
      </c>
      <c r="N6" s="7" t="s">
        <v>16</v>
      </c>
      <c r="P6" s="7" t="s">
        <v>179</v>
      </c>
    </row>
    <row r="7" spans="1:17" s="7" customFormat="1" x14ac:dyDescent="0.3">
      <c r="A7" s="6">
        <v>45931</v>
      </c>
      <c r="B7" s="7" t="s">
        <v>122</v>
      </c>
      <c r="C7" s="7" t="s">
        <v>131</v>
      </c>
      <c r="D7" s="12">
        <v>-3725991.5</v>
      </c>
      <c r="E7" s="7" t="s">
        <v>107</v>
      </c>
      <c r="F7" s="7">
        <v>1925</v>
      </c>
      <c r="G7" s="7">
        <v>1935.58</v>
      </c>
      <c r="H7" s="7" t="s">
        <v>125</v>
      </c>
      <c r="I7" s="7" t="s">
        <v>126</v>
      </c>
      <c r="J7" s="7" t="s">
        <v>15</v>
      </c>
      <c r="K7" s="7" t="s">
        <v>41</v>
      </c>
      <c r="L7" s="7" t="s">
        <v>31</v>
      </c>
      <c r="M7" s="7">
        <v>1525</v>
      </c>
      <c r="N7" s="7" t="s">
        <v>16</v>
      </c>
      <c r="P7" s="7" t="s">
        <v>179</v>
      </c>
    </row>
    <row r="8" spans="1:17" s="7" customFormat="1" x14ac:dyDescent="0.3">
      <c r="A8" s="6">
        <v>45931</v>
      </c>
      <c r="B8" s="7" t="s">
        <v>122</v>
      </c>
      <c r="C8" s="7" t="s">
        <v>132</v>
      </c>
      <c r="D8" s="12">
        <v>-3536321.25</v>
      </c>
      <c r="E8" s="7" t="s">
        <v>107</v>
      </c>
      <c r="F8" s="7">
        <v>4625</v>
      </c>
      <c r="G8" s="7">
        <v>764.61</v>
      </c>
      <c r="H8" s="7" t="s">
        <v>125</v>
      </c>
      <c r="I8" s="7" t="s">
        <v>126</v>
      </c>
      <c r="J8" s="7" t="s">
        <v>15</v>
      </c>
      <c r="K8" s="7" t="s">
        <v>41</v>
      </c>
      <c r="L8" s="7" t="s">
        <v>31</v>
      </c>
      <c r="M8" s="7">
        <v>1725</v>
      </c>
      <c r="N8" s="7" t="s">
        <v>16</v>
      </c>
      <c r="P8" s="7" t="s">
        <v>179</v>
      </c>
    </row>
    <row r="9" spans="1:17" s="7" customFormat="1" x14ac:dyDescent="0.3">
      <c r="A9" s="6">
        <v>45931</v>
      </c>
      <c r="B9" s="7" t="s">
        <v>122</v>
      </c>
      <c r="C9" s="7" t="s">
        <v>133</v>
      </c>
      <c r="D9" s="12">
        <v>-1915294.64</v>
      </c>
      <c r="E9" s="7" t="s">
        <v>107</v>
      </c>
      <c r="F9" s="7">
        <v>3404</v>
      </c>
      <c r="G9" s="7">
        <v>562.66</v>
      </c>
      <c r="H9" s="7" t="s">
        <v>125</v>
      </c>
      <c r="I9" s="7" t="s">
        <v>126</v>
      </c>
      <c r="J9" s="7" t="s">
        <v>15</v>
      </c>
      <c r="K9" s="7" t="s">
        <v>41</v>
      </c>
      <c r="L9" s="7" t="s">
        <v>31</v>
      </c>
      <c r="M9" s="7">
        <v>1725</v>
      </c>
      <c r="N9" s="7" t="s">
        <v>16</v>
      </c>
      <c r="P9" s="7" t="s">
        <v>179</v>
      </c>
    </row>
    <row r="10" spans="1:17" s="7" customFormat="1" x14ac:dyDescent="0.3">
      <c r="A10" s="6">
        <v>45931</v>
      </c>
      <c r="B10" s="7" t="s">
        <v>122</v>
      </c>
      <c r="C10" s="7" t="s">
        <v>134</v>
      </c>
      <c r="D10" s="12">
        <v>-7061383</v>
      </c>
      <c r="E10" s="7" t="s">
        <v>108</v>
      </c>
      <c r="F10" s="7">
        <v>12550</v>
      </c>
      <c r="G10" s="7">
        <v>562.66</v>
      </c>
      <c r="H10" s="7" t="s">
        <v>125</v>
      </c>
      <c r="I10" s="7" t="s">
        <v>126</v>
      </c>
      <c r="J10" s="7" t="s">
        <v>15</v>
      </c>
      <c r="K10" s="7" t="s">
        <v>41</v>
      </c>
      <c r="L10" s="7" t="s">
        <v>31</v>
      </c>
      <c r="M10" s="7">
        <v>1525</v>
      </c>
      <c r="N10" s="7" t="s">
        <v>52</v>
      </c>
      <c r="P10" s="7" t="s">
        <v>179</v>
      </c>
    </row>
    <row r="11" spans="1:17" s="7" customFormat="1" x14ac:dyDescent="0.3">
      <c r="A11" s="6">
        <v>45931</v>
      </c>
      <c r="B11" s="7" t="s">
        <v>122</v>
      </c>
      <c r="C11" s="7" t="s">
        <v>135</v>
      </c>
      <c r="D11" s="12">
        <v>-14866390</v>
      </c>
      <c r="E11" s="7" t="s">
        <v>108</v>
      </c>
      <c r="F11" s="7">
        <v>38500</v>
      </c>
      <c r="G11" s="7">
        <v>386.14</v>
      </c>
      <c r="H11" s="7" t="s">
        <v>125</v>
      </c>
      <c r="I11" s="7" t="s">
        <v>126</v>
      </c>
      <c r="J11" s="7" t="s">
        <v>15</v>
      </c>
      <c r="K11" s="7" t="s">
        <v>41</v>
      </c>
      <c r="L11" s="7" t="s">
        <v>31</v>
      </c>
      <c r="M11" s="7">
        <v>1725</v>
      </c>
      <c r="N11" s="7" t="s">
        <v>52</v>
      </c>
      <c r="P11" s="7" t="s">
        <v>179</v>
      </c>
    </row>
    <row r="12" spans="1:17" s="7" customFormat="1" x14ac:dyDescent="0.3">
      <c r="A12" s="6">
        <v>45931</v>
      </c>
      <c r="B12" s="7" t="s">
        <v>122</v>
      </c>
      <c r="C12" s="7" t="s">
        <v>136</v>
      </c>
      <c r="D12" s="12">
        <v>-14578166.800000001</v>
      </c>
      <c r="E12" s="7" t="s">
        <v>109</v>
      </c>
      <c r="F12" s="7">
        <v>42760</v>
      </c>
      <c r="G12" s="7">
        <v>340.93</v>
      </c>
      <c r="H12" s="7" t="s">
        <v>125</v>
      </c>
      <c r="I12" s="7" t="s">
        <v>126</v>
      </c>
      <c r="J12" s="7" t="s">
        <v>15</v>
      </c>
      <c r="K12" s="7" t="s">
        <v>41</v>
      </c>
      <c r="L12" s="7" t="s">
        <v>31</v>
      </c>
      <c r="M12" s="7">
        <v>1525</v>
      </c>
      <c r="N12" s="7" t="s">
        <v>55</v>
      </c>
      <c r="P12" s="7" t="s">
        <v>179</v>
      </c>
    </row>
    <row r="13" spans="1:17" s="7" customFormat="1" x14ac:dyDescent="0.3">
      <c r="A13" s="6">
        <v>45931</v>
      </c>
      <c r="B13" s="7" t="s">
        <v>122</v>
      </c>
      <c r="C13" s="7" t="s">
        <v>137</v>
      </c>
      <c r="D13" s="12">
        <v>-27847213.800000001</v>
      </c>
      <c r="E13" s="7" t="s">
        <v>109</v>
      </c>
      <c r="F13" s="7">
        <v>84660</v>
      </c>
      <c r="G13" s="7">
        <v>328.93</v>
      </c>
      <c r="H13" s="7" t="s">
        <v>125</v>
      </c>
      <c r="I13" s="7" t="s">
        <v>126</v>
      </c>
      <c r="J13" s="7" t="s">
        <v>15</v>
      </c>
      <c r="K13" s="7" t="s">
        <v>41</v>
      </c>
      <c r="L13" s="7" t="s">
        <v>31</v>
      </c>
      <c r="M13" s="7">
        <v>1725</v>
      </c>
      <c r="N13" s="7" t="s">
        <v>55</v>
      </c>
      <c r="P13" s="7" t="s">
        <v>179</v>
      </c>
    </row>
    <row r="14" spans="1:17" s="7" customFormat="1" x14ac:dyDescent="0.3">
      <c r="A14" s="6">
        <v>45931</v>
      </c>
      <c r="B14" s="7" t="s">
        <v>122</v>
      </c>
      <c r="C14" s="7" t="s">
        <v>138</v>
      </c>
      <c r="D14" s="12">
        <v>-9924376</v>
      </c>
      <c r="E14" s="7" t="s">
        <v>110</v>
      </c>
      <c r="F14" s="7">
        <v>30800</v>
      </c>
      <c r="G14" s="7">
        <v>322.22000000000003</v>
      </c>
      <c r="H14" s="7" t="s">
        <v>125</v>
      </c>
      <c r="I14" s="7" t="s">
        <v>126</v>
      </c>
      <c r="J14" s="7" t="s">
        <v>15</v>
      </c>
      <c r="K14" s="7" t="s">
        <v>41</v>
      </c>
      <c r="L14" s="7" t="s">
        <v>31</v>
      </c>
      <c r="M14" s="7">
        <v>1525</v>
      </c>
      <c r="N14" s="7" t="s">
        <v>55</v>
      </c>
      <c r="P14" s="7" t="s">
        <v>179</v>
      </c>
    </row>
    <row r="15" spans="1:17" s="7" customFormat="1" x14ac:dyDescent="0.3">
      <c r="A15" s="6">
        <v>45931</v>
      </c>
      <c r="B15" s="7" t="s">
        <v>122</v>
      </c>
      <c r="C15" s="7" t="s">
        <v>139</v>
      </c>
      <c r="D15" s="12">
        <v>-4511772</v>
      </c>
      <c r="E15" s="7" t="s">
        <v>110</v>
      </c>
      <c r="F15" s="7">
        <v>10350</v>
      </c>
      <c r="G15" s="7">
        <v>435.92</v>
      </c>
      <c r="H15" s="7" t="s">
        <v>125</v>
      </c>
      <c r="I15" s="7" t="s">
        <v>126</v>
      </c>
      <c r="J15" s="7" t="s">
        <v>15</v>
      </c>
      <c r="K15" s="7" t="s">
        <v>41</v>
      </c>
      <c r="L15" s="7" t="s">
        <v>31</v>
      </c>
      <c r="M15" s="7">
        <v>1525</v>
      </c>
      <c r="N15" s="7" t="s">
        <v>55</v>
      </c>
      <c r="P15" s="7" t="s">
        <v>179</v>
      </c>
    </row>
    <row r="16" spans="1:17" s="7" customFormat="1" x14ac:dyDescent="0.3">
      <c r="A16" s="6">
        <v>45931</v>
      </c>
      <c r="B16" s="7" t="s">
        <v>122</v>
      </c>
      <c r="C16" s="7" t="s">
        <v>140</v>
      </c>
      <c r="D16" s="12">
        <v>-377934.65</v>
      </c>
      <c r="E16" s="7" t="s">
        <v>110</v>
      </c>
      <c r="F16" s="7">
        <v>152.5</v>
      </c>
      <c r="G16" s="7">
        <v>2478.2600000000002</v>
      </c>
      <c r="H16" s="7" t="s">
        <v>125</v>
      </c>
      <c r="I16" s="7" t="s">
        <v>126</v>
      </c>
      <c r="J16" s="7" t="s">
        <v>15</v>
      </c>
      <c r="K16" s="7" t="s">
        <v>41</v>
      </c>
      <c r="L16" s="7" t="s">
        <v>31</v>
      </c>
      <c r="M16" s="7">
        <v>1725</v>
      </c>
      <c r="N16" s="7" t="s">
        <v>55</v>
      </c>
      <c r="P16" s="7" t="s">
        <v>179</v>
      </c>
    </row>
    <row r="17" spans="1:16" s="7" customFormat="1" x14ac:dyDescent="0.3">
      <c r="A17" s="6">
        <v>45931</v>
      </c>
      <c r="B17" s="7" t="s">
        <v>122</v>
      </c>
      <c r="C17" s="7" t="s">
        <v>141</v>
      </c>
      <c r="D17" s="12">
        <v>-366899.75</v>
      </c>
      <c r="E17" s="7" t="s">
        <v>110</v>
      </c>
      <c r="F17" s="7">
        <v>152.5</v>
      </c>
      <c r="G17" s="7">
        <v>2405.9</v>
      </c>
      <c r="H17" s="7" t="s">
        <v>125</v>
      </c>
      <c r="I17" s="7" t="s">
        <v>126</v>
      </c>
      <c r="J17" s="7" t="s">
        <v>15</v>
      </c>
      <c r="K17" s="7" t="s">
        <v>41</v>
      </c>
      <c r="L17" s="7" t="s">
        <v>31</v>
      </c>
      <c r="M17" s="7">
        <v>1725</v>
      </c>
      <c r="N17" s="7" t="s">
        <v>55</v>
      </c>
      <c r="P17" s="7" t="s">
        <v>179</v>
      </c>
    </row>
    <row r="18" spans="1:16" s="7" customFormat="1" x14ac:dyDescent="0.3">
      <c r="A18" s="6">
        <v>45931</v>
      </c>
      <c r="B18" s="7" t="s">
        <v>122</v>
      </c>
      <c r="C18" s="7" t="s">
        <v>142</v>
      </c>
      <c r="D18" s="12">
        <v>-2225457.5</v>
      </c>
      <c r="E18" s="7" t="s">
        <v>100</v>
      </c>
      <c r="F18" s="7">
        <v>925</v>
      </c>
      <c r="G18" s="7">
        <v>2405.9</v>
      </c>
      <c r="H18" s="7" t="s">
        <v>125</v>
      </c>
      <c r="I18" s="7" t="s">
        <v>126</v>
      </c>
      <c r="J18" s="7" t="s">
        <v>15</v>
      </c>
      <c r="K18" s="7" t="s">
        <v>41</v>
      </c>
      <c r="L18" s="7" t="s">
        <v>31</v>
      </c>
      <c r="M18" s="7">
        <v>1525</v>
      </c>
      <c r="N18" s="7" t="s">
        <v>39</v>
      </c>
      <c r="P18" s="7" t="s">
        <v>179</v>
      </c>
    </row>
    <row r="19" spans="1:16" s="7" customFormat="1" x14ac:dyDescent="0.3">
      <c r="A19" s="6">
        <v>45931</v>
      </c>
      <c r="B19" s="7" t="s">
        <v>122</v>
      </c>
      <c r="C19" s="7" t="s">
        <v>143</v>
      </c>
      <c r="D19" s="12">
        <v>-4500223.5</v>
      </c>
      <c r="E19" s="7" t="s">
        <v>100</v>
      </c>
      <c r="F19" s="7">
        <v>2325</v>
      </c>
      <c r="G19" s="7">
        <v>1935.58</v>
      </c>
      <c r="H19" s="7" t="s">
        <v>125</v>
      </c>
      <c r="I19" s="7" t="s">
        <v>126</v>
      </c>
      <c r="J19" s="7" t="s">
        <v>15</v>
      </c>
      <c r="K19" s="7" t="s">
        <v>41</v>
      </c>
      <c r="L19" s="7" t="s">
        <v>31</v>
      </c>
      <c r="M19" s="7">
        <v>1725</v>
      </c>
      <c r="N19" s="7" t="s">
        <v>39</v>
      </c>
      <c r="P19" s="7" t="s">
        <v>179</v>
      </c>
    </row>
    <row r="20" spans="1:16" s="7" customFormat="1" x14ac:dyDescent="0.3">
      <c r="A20" s="6">
        <v>45931</v>
      </c>
      <c r="B20" s="7" t="s">
        <v>122</v>
      </c>
      <c r="C20" s="7" t="s">
        <v>144</v>
      </c>
      <c r="D20" s="12">
        <v>-3498090.75</v>
      </c>
      <c r="E20" s="7" t="s">
        <v>105</v>
      </c>
      <c r="F20" s="7">
        <v>4575</v>
      </c>
      <c r="G20" s="7">
        <v>764.61</v>
      </c>
      <c r="H20" s="7" t="s">
        <v>125</v>
      </c>
      <c r="I20" s="7" t="s">
        <v>126</v>
      </c>
      <c r="J20" s="7" t="s">
        <v>15</v>
      </c>
      <c r="K20" s="7" t="s">
        <v>41</v>
      </c>
      <c r="L20" s="7" t="s">
        <v>31</v>
      </c>
      <c r="M20" s="7">
        <v>1525</v>
      </c>
      <c r="N20" s="7" t="s">
        <v>39</v>
      </c>
      <c r="P20" s="7" t="s">
        <v>179</v>
      </c>
    </row>
    <row r="21" spans="1:16" s="7" customFormat="1" x14ac:dyDescent="0.3">
      <c r="A21" s="6">
        <v>45931</v>
      </c>
      <c r="B21" s="7" t="s">
        <v>122</v>
      </c>
      <c r="C21" s="7" t="s">
        <v>145</v>
      </c>
      <c r="D21" s="12">
        <v>-724706.08</v>
      </c>
      <c r="E21" s="7" t="s">
        <v>105</v>
      </c>
      <c r="F21" s="7">
        <v>1288</v>
      </c>
      <c r="G21" s="7">
        <v>562.66</v>
      </c>
      <c r="H21" s="7" t="s">
        <v>125</v>
      </c>
      <c r="I21" s="7" t="s">
        <v>126</v>
      </c>
      <c r="J21" s="7" t="s">
        <v>15</v>
      </c>
      <c r="K21" s="7" t="s">
        <v>41</v>
      </c>
      <c r="L21" s="7" t="s">
        <v>31</v>
      </c>
      <c r="M21" s="7">
        <v>1725</v>
      </c>
      <c r="N21" s="7" t="s">
        <v>42</v>
      </c>
      <c r="P21" s="7" t="s">
        <v>179</v>
      </c>
    </row>
    <row r="22" spans="1:16" s="7" customFormat="1" x14ac:dyDescent="0.3">
      <c r="A22" s="6">
        <v>45931</v>
      </c>
      <c r="B22" s="7" t="s">
        <v>122</v>
      </c>
      <c r="C22" s="7" t="s">
        <v>146</v>
      </c>
      <c r="D22" s="12">
        <v>-6695654</v>
      </c>
      <c r="E22" s="7" t="s">
        <v>112</v>
      </c>
      <c r="F22" s="7">
        <v>11900</v>
      </c>
      <c r="G22" s="7">
        <v>562.66</v>
      </c>
      <c r="H22" s="7" t="s">
        <v>125</v>
      </c>
      <c r="I22" s="7" t="s">
        <v>126</v>
      </c>
      <c r="J22" s="7" t="s">
        <v>15</v>
      </c>
      <c r="K22" s="7" t="s">
        <v>41</v>
      </c>
      <c r="L22" s="7" t="s">
        <v>31</v>
      </c>
      <c r="M22" s="7">
        <v>1525</v>
      </c>
      <c r="N22" s="7" t="s">
        <v>42</v>
      </c>
      <c r="P22" s="7" t="s">
        <v>179</v>
      </c>
    </row>
    <row r="23" spans="1:16" s="7" customFormat="1" x14ac:dyDescent="0.3">
      <c r="A23" s="6">
        <v>45931</v>
      </c>
      <c r="B23" s="7" t="s">
        <v>122</v>
      </c>
      <c r="C23" s="7" t="s">
        <v>147</v>
      </c>
      <c r="D23" s="12">
        <v>-25378665.359999999</v>
      </c>
      <c r="E23" s="7" t="s">
        <v>112</v>
      </c>
      <c r="F23" s="7">
        <v>65724</v>
      </c>
      <c r="G23" s="7">
        <v>386.14</v>
      </c>
      <c r="H23" s="7" t="s">
        <v>125</v>
      </c>
      <c r="I23" s="7" t="s">
        <v>126</v>
      </c>
      <c r="J23" s="7" t="s">
        <v>15</v>
      </c>
      <c r="K23" s="7" t="s">
        <v>41</v>
      </c>
      <c r="L23" s="7" t="s">
        <v>31</v>
      </c>
      <c r="M23" s="7">
        <v>1725</v>
      </c>
      <c r="N23" s="7" t="s">
        <v>55</v>
      </c>
      <c r="P23" s="7" t="s">
        <v>179</v>
      </c>
    </row>
    <row r="24" spans="1:16" s="7" customFormat="1" x14ac:dyDescent="0.3">
      <c r="A24" s="6">
        <v>45931</v>
      </c>
      <c r="B24" s="7" t="s">
        <v>122</v>
      </c>
      <c r="C24" s="7" t="s">
        <v>148</v>
      </c>
      <c r="D24" s="12">
        <v>-14799771.300000001</v>
      </c>
      <c r="E24" s="7" t="s">
        <v>113</v>
      </c>
      <c r="F24" s="7">
        <v>43410</v>
      </c>
      <c r="G24" s="7">
        <v>340.93</v>
      </c>
      <c r="H24" s="7" t="s">
        <v>125</v>
      </c>
      <c r="I24" s="7" t="s">
        <v>126</v>
      </c>
      <c r="J24" s="7" t="s">
        <v>15</v>
      </c>
      <c r="K24" s="7" t="s">
        <v>41</v>
      </c>
      <c r="L24" s="7" t="s">
        <v>31</v>
      </c>
      <c r="M24" s="7">
        <v>1525</v>
      </c>
      <c r="N24" s="7" t="s">
        <v>55</v>
      </c>
      <c r="P24" s="7" t="s">
        <v>179</v>
      </c>
    </row>
    <row r="25" spans="1:16" s="7" customFormat="1" x14ac:dyDescent="0.3">
      <c r="A25" s="6">
        <v>45931</v>
      </c>
      <c r="B25" s="7" t="s">
        <v>122</v>
      </c>
      <c r="C25" s="7" t="s">
        <v>149</v>
      </c>
      <c r="D25" s="12">
        <v>-23212261.170000002</v>
      </c>
      <c r="E25" s="7" t="s">
        <v>113</v>
      </c>
      <c r="F25" s="7">
        <v>70569</v>
      </c>
      <c r="G25" s="7">
        <v>328.93</v>
      </c>
      <c r="H25" s="7" t="s">
        <v>125</v>
      </c>
      <c r="I25" s="7" t="s">
        <v>126</v>
      </c>
      <c r="J25" s="7" t="s">
        <v>15</v>
      </c>
      <c r="K25" s="7" t="s">
        <v>41</v>
      </c>
      <c r="L25" s="7" t="s">
        <v>31</v>
      </c>
      <c r="M25" s="7">
        <v>1725</v>
      </c>
      <c r="N25" s="7" t="s">
        <v>55</v>
      </c>
      <c r="P25" s="7" t="s">
        <v>179</v>
      </c>
    </row>
    <row r="26" spans="1:16" s="9" customFormat="1" x14ac:dyDescent="0.3">
      <c r="A26" s="8">
        <v>45931</v>
      </c>
      <c r="B26" s="9" t="s">
        <v>173</v>
      </c>
      <c r="C26" s="9" t="s">
        <v>153</v>
      </c>
      <c r="D26" s="13">
        <v>-9725.01</v>
      </c>
      <c r="E26" s="9" t="s">
        <v>28</v>
      </c>
      <c r="F26" s="9">
        <v>57</v>
      </c>
      <c r="G26" s="9">
        <v>9725.01</v>
      </c>
      <c r="H26" s="9" t="s">
        <v>116</v>
      </c>
      <c r="I26" s="9" t="s">
        <v>151</v>
      </c>
      <c r="J26" s="9" t="s">
        <v>15</v>
      </c>
      <c r="K26" s="9" t="s">
        <v>41</v>
      </c>
      <c r="L26" s="9" t="s">
        <v>31</v>
      </c>
      <c r="M26" s="9">
        <v>1525</v>
      </c>
      <c r="N26" s="9" t="str">
        <f>_xlfn.XLOOKUP(E26,'cco_calzim'!J:J,'cco_calzim'!A:A)</f>
        <v>CC2</v>
      </c>
      <c r="P26" s="9" t="s">
        <v>152</v>
      </c>
    </row>
    <row r="27" spans="1:16" s="9" customFormat="1" x14ac:dyDescent="0.3">
      <c r="A27" s="8">
        <v>45931</v>
      </c>
      <c r="B27" s="9" t="s">
        <v>173</v>
      </c>
      <c r="C27" s="9" t="s">
        <v>154</v>
      </c>
      <c r="D27" s="13">
        <v>-4101.8</v>
      </c>
      <c r="E27" s="9" t="s">
        <v>33</v>
      </c>
      <c r="F27" s="9">
        <v>52</v>
      </c>
      <c r="G27" s="9">
        <v>4101.8</v>
      </c>
      <c r="H27" s="9" t="s">
        <v>117</v>
      </c>
      <c r="I27" s="9" t="s">
        <v>151</v>
      </c>
      <c r="J27" s="9" t="s">
        <v>15</v>
      </c>
      <c r="K27" s="9" t="s">
        <v>41</v>
      </c>
      <c r="L27" s="9" t="s">
        <v>31</v>
      </c>
      <c r="M27" s="9">
        <v>1525</v>
      </c>
      <c r="N27" s="9" t="str">
        <f>_xlfn.XLOOKUP(E27,'cco_calzim'!J:J,'cco_calzim'!A:A)</f>
        <v>CC3</v>
      </c>
      <c r="P27" s="9" t="s">
        <v>152</v>
      </c>
    </row>
    <row r="28" spans="1:16" s="9" customFormat="1" x14ac:dyDescent="0.3">
      <c r="A28" s="8">
        <v>45931</v>
      </c>
      <c r="B28" s="9" t="s">
        <v>173</v>
      </c>
      <c r="C28" s="9" t="s">
        <v>155</v>
      </c>
      <c r="D28" s="13">
        <v>-176.58</v>
      </c>
      <c r="E28" s="9" t="s">
        <v>33</v>
      </c>
      <c r="F28" s="9">
        <v>739</v>
      </c>
      <c r="G28" s="9">
        <v>176.58</v>
      </c>
      <c r="H28" s="9" t="s">
        <v>118</v>
      </c>
      <c r="I28" s="9" t="s">
        <v>151</v>
      </c>
      <c r="J28" s="9" t="s">
        <v>15</v>
      </c>
      <c r="K28" s="9" t="s">
        <v>41</v>
      </c>
      <c r="L28" s="9" t="s">
        <v>31</v>
      </c>
      <c r="M28" s="9">
        <v>1525</v>
      </c>
      <c r="N28" s="9" t="str">
        <f>_xlfn.XLOOKUP(E28,'cco_calzim'!J:J,'cco_calzim'!A:A)</f>
        <v>CC3</v>
      </c>
      <c r="P28" s="9" t="s">
        <v>152</v>
      </c>
    </row>
    <row r="29" spans="1:16" s="9" customFormat="1" x14ac:dyDescent="0.3">
      <c r="A29" s="8">
        <v>45931</v>
      </c>
      <c r="B29" s="9" t="s">
        <v>173</v>
      </c>
      <c r="C29" s="9" t="s">
        <v>156</v>
      </c>
      <c r="D29" s="13">
        <v>-4307.72</v>
      </c>
      <c r="E29" s="9" t="s">
        <v>35</v>
      </c>
      <c r="F29" s="9">
        <v>600</v>
      </c>
      <c r="G29" s="9">
        <v>4307.72</v>
      </c>
      <c r="H29" s="9" t="s">
        <v>118</v>
      </c>
      <c r="I29" s="9" t="s">
        <v>151</v>
      </c>
      <c r="J29" s="9" t="s">
        <v>15</v>
      </c>
      <c r="K29" s="9" t="s">
        <v>41</v>
      </c>
      <c r="L29" s="9" t="s">
        <v>31</v>
      </c>
      <c r="M29" s="9">
        <v>1525</v>
      </c>
      <c r="N29" s="9" t="str">
        <f>_xlfn.XLOOKUP(E29,'cco_calzim'!J:J,'cco_calzim'!A:A)</f>
        <v>CC4</v>
      </c>
      <c r="P29" s="9" t="s">
        <v>152</v>
      </c>
    </row>
    <row r="30" spans="1:16" s="9" customFormat="1" x14ac:dyDescent="0.3">
      <c r="A30" s="8">
        <v>45931</v>
      </c>
      <c r="B30" s="9" t="s">
        <v>173</v>
      </c>
      <c r="C30" s="9" t="s">
        <v>157</v>
      </c>
      <c r="D30" s="13">
        <v>0</v>
      </c>
      <c r="E30" s="9" t="s">
        <v>37</v>
      </c>
      <c r="F30" s="9">
        <v>0</v>
      </c>
      <c r="G30" s="9">
        <v>0</v>
      </c>
      <c r="I30" s="9" t="s">
        <v>151</v>
      </c>
      <c r="J30" s="9" t="s">
        <v>15</v>
      </c>
      <c r="K30" s="9" t="s">
        <v>41</v>
      </c>
      <c r="L30" s="9" t="s">
        <v>31</v>
      </c>
      <c r="M30" s="9">
        <v>1525</v>
      </c>
      <c r="N30" s="9" t="str">
        <f>_xlfn.XLOOKUP(E30,'cco_calzim'!J:J,'cco_calzim'!A:A)</f>
        <v>CC5</v>
      </c>
      <c r="P30" s="9" t="s">
        <v>152</v>
      </c>
    </row>
    <row r="31" spans="1:16" s="9" customFormat="1" x14ac:dyDescent="0.3">
      <c r="A31" s="8">
        <v>45931</v>
      </c>
      <c r="B31" s="9" t="s">
        <v>173</v>
      </c>
      <c r="C31" s="9" t="s">
        <v>158</v>
      </c>
      <c r="D31" s="13">
        <v>-9725.01</v>
      </c>
      <c r="E31" s="9" t="s">
        <v>28</v>
      </c>
      <c r="F31" s="9">
        <v>55</v>
      </c>
      <c r="G31" s="9">
        <v>9725.01</v>
      </c>
      <c r="H31" s="9" t="s">
        <v>116</v>
      </c>
      <c r="I31" s="9" t="s">
        <v>151</v>
      </c>
      <c r="J31" s="9" t="s">
        <v>15</v>
      </c>
      <c r="K31" s="9" t="s">
        <v>41</v>
      </c>
      <c r="L31" s="9" t="s">
        <v>31</v>
      </c>
      <c r="M31" s="9">
        <v>1725</v>
      </c>
      <c r="N31" s="9" t="str">
        <f>_xlfn.XLOOKUP(E31,'cco_calzim'!J:J,'cco_calzim'!A:A)</f>
        <v>CC2</v>
      </c>
      <c r="P31" s="9" t="s">
        <v>152</v>
      </c>
    </row>
    <row r="32" spans="1:16" s="9" customFormat="1" x14ac:dyDescent="0.3">
      <c r="A32" s="8">
        <v>45931</v>
      </c>
      <c r="B32" s="9" t="s">
        <v>173</v>
      </c>
      <c r="C32" s="9" t="s">
        <v>159</v>
      </c>
      <c r="D32" s="13">
        <v>-4101.8</v>
      </c>
      <c r="E32" s="9" t="s">
        <v>33</v>
      </c>
      <c r="F32" s="9">
        <v>46</v>
      </c>
      <c r="G32" s="9">
        <v>4101.8</v>
      </c>
      <c r="H32" s="9" t="s">
        <v>117</v>
      </c>
      <c r="I32" s="9" t="s">
        <v>151</v>
      </c>
      <c r="J32" s="9" t="s">
        <v>15</v>
      </c>
      <c r="K32" s="9" t="s">
        <v>41</v>
      </c>
      <c r="L32" s="9" t="s">
        <v>31</v>
      </c>
      <c r="M32" s="9">
        <v>1725</v>
      </c>
      <c r="N32" s="9" t="str">
        <f>_xlfn.XLOOKUP(E32,'cco_calzim'!J:J,'cco_calzim'!A:A)</f>
        <v>CC3</v>
      </c>
      <c r="P32" s="9" t="s">
        <v>152</v>
      </c>
    </row>
    <row r="33" spans="1:16" s="9" customFormat="1" x14ac:dyDescent="0.3">
      <c r="A33" s="8">
        <v>45931</v>
      </c>
      <c r="B33" s="9" t="s">
        <v>173</v>
      </c>
      <c r="C33" s="9" t="s">
        <v>160</v>
      </c>
      <c r="D33" s="13">
        <v>-176.58</v>
      </c>
      <c r="E33" s="9" t="s">
        <v>33</v>
      </c>
      <c r="F33" s="9">
        <v>610</v>
      </c>
      <c r="G33" s="9">
        <v>176.58</v>
      </c>
      <c r="H33" s="9" t="s">
        <v>118</v>
      </c>
      <c r="I33" s="9" t="s">
        <v>151</v>
      </c>
      <c r="J33" s="9" t="s">
        <v>15</v>
      </c>
      <c r="K33" s="9" t="s">
        <v>41</v>
      </c>
      <c r="L33" s="9" t="s">
        <v>31</v>
      </c>
      <c r="M33" s="9">
        <v>1725</v>
      </c>
      <c r="N33" s="9" t="str">
        <f>_xlfn.XLOOKUP(E33,'cco_calzim'!J:J,'cco_calzim'!A:A)</f>
        <v>CC3</v>
      </c>
      <c r="P33" s="9" t="s">
        <v>152</v>
      </c>
    </row>
    <row r="34" spans="1:16" s="9" customFormat="1" x14ac:dyDescent="0.3">
      <c r="A34" s="8">
        <v>45931</v>
      </c>
      <c r="B34" s="9" t="s">
        <v>173</v>
      </c>
      <c r="C34" s="9" t="s">
        <v>161</v>
      </c>
      <c r="D34" s="13">
        <v>-4307.72</v>
      </c>
      <c r="E34" s="9" t="s">
        <v>35</v>
      </c>
      <c r="F34" s="9">
        <v>556</v>
      </c>
      <c r="G34" s="9">
        <v>4307.72</v>
      </c>
      <c r="H34" s="9" t="s">
        <v>118</v>
      </c>
      <c r="I34" s="9" t="s">
        <v>151</v>
      </c>
      <c r="J34" s="9" t="s">
        <v>15</v>
      </c>
      <c r="K34" s="9" t="s">
        <v>41</v>
      </c>
      <c r="L34" s="9" t="s">
        <v>31</v>
      </c>
      <c r="M34" s="9">
        <v>1725</v>
      </c>
      <c r="N34" s="9" t="str">
        <f>_xlfn.XLOOKUP(E34,'cco_calzim'!J:J,'cco_calzim'!A:A)</f>
        <v>CC4</v>
      </c>
      <c r="P34" s="9" t="s">
        <v>152</v>
      </c>
    </row>
    <row r="35" spans="1:16" s="9" customFormat="1" x14ac:dyDescent="0.3">
      <c r="A35" s="8">
        <v>45931</v>
      </c>
      <c r="B35" s="9" t="s">
        <v>173</v>
      </c>
      <c r="C35" s="9" t="s">
        <v>162</v>
      </c>
      <c r="D35" s="13">
        <v>0</v>
      </c>
      <c r="E35" s="9" t="s">
        <v>37</v>
      </c>
      <c r="F35" s="9">
        <v>0</v>
      </c>
      <c r="G35" s="9">
        <v>0</v>
      </c>
      <c r="I35" s="9" t="s">
        <v>151</v>
      </c>
      <c r="J35" s="9" t="s">
        <v>15</v>
      </c>
      <c r="K35" s="9" t="s">
        <v>41</v>
      </c>
      <c r="L35" s="9" t="s">
        <v>31</v>
      </c>
      <c r="M35" s="9">
        <v>1725</v>
      </c>
      <c r="N35" s="9" t="str">
        <f>_xlfn.XLOOKUP(E35,'cco_calzim'!J:J,'cco_calzim'!A:A)</f>
        <v>CC5</v>
      </c>
      <c r="P35" s="9" t="s">
        <v>152</v>
      </c>
    </row>
    <row r="36" spans="1:16" s="9" customFormat="1" x14ac:dyDescent="0.3">
      <c r="A36" s="8">
        <v>45931</v>
      </c>
      <c r="B36" s="9" t="s">
        <v>173</v>
      </c>
      <c r="C36" s="9" t="s">
        <v>163</v>
      </c>
      <c r="D36" s="13">
        <v>-9725.01</v>
      </c>
      <c r="E36" s="9" t="s">
        <v>28</v>
      </c>
      <c r="F36" s="9">
        <v>57</v>
      </c>
      <c r="G36" s="9">
        <v>9725.01</v>
      </c>
      <c r="H36" s="9" t="s">
        <v>116</v>
      </c>
      <c r="I36" s="9" t="s">
        <v>151</v>
      </c>
      <c r="J36" s="9" t="s">
        <v>15</v>
      </c>
      <c r="K36" s="9" t="s">
        <v>41</v>
      </c>
      <c r="L36" s="9" t="s">
        <v>31</v>
      </c>
      <c r="M36" s="9">
        <v>1525</v>
      </c>
      <c r="N36" s="9" t="str">
        <f>_xlfn.XLOOKUP(E36,'cco_calzim'!J:J,'cco_calzim'!A:A)</f>
        <v>CC2</v>
      </c>
      <c r="P36" s="9" t="s">
        <v>152</v>
      </c>
    </row>
    <row r="37" spans="1:16" s="9" customFormat="1" x14ac:dyDescent="0.3">
      <c r="A37" s="8">
        <v>45931</v>
      </c>
      <c r="B37" s="9" t="s">
        <v>173</v>
      </c>
      <c r="C37" s="9" t="s">
        <v>164</v>
      </c>
      <c r="D37" s="13">
        <v>-4101.8</v>
      </c>
      <c r="E37" s="9" t="s">
        <v>33</v>
      </c>
      <c r="F37" s="9">
        <v>52</v>
      </c>
      <c r="G37" s="9">
        <v>4101.8</v>
      </c>
      <c r="H37" s="9" t="s">
        <v>117</v>
      </c>
      <c r="I37" s="9" t="s">
        <v>151</v>
      </c>
      <c r="J37" s="9" t="s">
        <v>15</v>
      </c>
      <c r="K37" s="9" t="s">
        <v>41</v>
      </c>
      <c r="L37" s="9" t="s">
        <v>31</v>
      </c>
      <c r="M37" s="9">
        <v>1525</v>
      </c>
      <c r="N37" s="9" t="str">
        <f>_xlfn.XLOOKUP(E37,'cco_calzim'!J:J,'cco_calzim'!A:A)</f>
        <v>CC3</v>
      </c>
      <c r="P37" s="9" t="s">
        <v>152</v>
      </c>
    </row>
    <row r="38" spans="1:16" s="9" customFormat="1" x14ac:dyDescent="0.3">
      <c r="A38" s="8">
        <v>45931</v>
      </c>
      <c r="B38" s="9" t="s">
        <v>173</v>
      </c>
      <c r="C38" s="9" t="s">
        <v>165</v>
      </c>
      <c r="D38" s="13">
        <v>-176.58</v>
      </c>
      <c r="E38" s="9" t="s">
        <v>33</v>
      </c>
      <c r="F38" s="9">
        <v>739</v>
      </c>
      <c r="G38" s="9">
        <v>176.58</v>
      </c>
      <c r="H38" s="9" t="s">
        <v>118</v>
      </c>
      <c r="I38" s="9" t="s">
        <v>151</v>
      </c>
      <c r="J38" s="9" t="s">
        <v>15</v>
      </c>
      <c r="K38" s="9" t="s">
        <v>41</v>
      </c>
      <c r="L38" s="9" t="s">
        <v>31</v>
      </c>
      <c r="M38" s="9">
        <v>1525</v>
      </c>
      <c r="N38" s="9" t="str">
        <f>_xlfn.XLOOKUP(E38,'cco_calzim'!J:J,'cco_calzim'!A:A)</f>
        <v>CC3</v>
      </c>
      <c r="P38" s="9" t="s">
        <v>152</v>
      </c>
    </row>
    <row r="39" spans="1:16" s="9" customFormat="1" x14ac:dyDescent="0.3">
      <c r="A39" s="8">
        <v>45931</v>
      </c>
      <c r="B39" s="9" t="s">
        <v>173</v>
      </c>
      <c r="C39" s="9" t="s">
        <v>166</v>
      </c>
      <c r="D39" s="13">
        <v>-4307.72</v>
      </c>
      <c r="E39" s="9" t="s">
        <v>35</v>
      </c>
      <c r="F39" s="9">
        <v>600</v>
      </c>
      <c r="G39" s="9">
        <v>4307.72</v>
      </c>
      <c r="H39" s="9" t="s">
        <v>118</v>
      </c>
      <c r="I39" s="9" t="s">
        <v>151</v>
      </c>
      <c r="J39" s="9" t="s">
        <v>15</v>
      </c>
      <c r="K39" s="9" t="s">
        <v>41</v>
      </c>
      <c r="L39" s="9" t="s">
        <v>31</v>
      </c>
      <c r="M39" s="9">
        <v>1525</v>
      </c>
      <c r="N39" s="9" t="str">
        <f>_xlfn.XLOOKUP(E39,'cco_calzim'!J:J,'cco_calzim'!A:A)</f>
        <v>CC4</v>
      </c>
      <c r="P39" s="9" t="s">
        <v>152</v>
      </c>
    </row>
    <row r="40" spans="1:16" s="9" customFormat="1" x14ac:dyDescent="0.3">
      <c r="A40" s="8">
        <v>45931</v>
      </c>
      <c r="B40" s="9" t="s">
        <v>173</v>
      </c>
      <c r="C40" s="9" t="s">
        <v>167</v>
      </c>
      <c r="D40" s="13">
        <v>0</v>
      </c>
      <c r="E40" s="9" t="s">
        <v>37</v>
      </c>
      <c r="F40" s="9">
        <v>0</v>
      </c>
      <c r="G40" s="9">
        <v>0</v>
      </c>
      <c r="I40" s="9" t="s">
        <v>151</v>
      </c>
      <c r="J40" s="9" t="s">
        <v>15</v>
      </c>
      <c r="K40" s="9" t="s">
        <v>41</v>
      </c>
      <c r="L40" s="9" t="s">
        <v>31</v>
      </c>
      <c r="M40" s="9">
        <v>1525</v>
      </c>
      <c r="N40" s="9" t="str">
        <f>_xlfn.XLOOKUP(E40,'cco_calzim'!J:J,'cco_calzim'!A:A)</f>
        <v>CC5</v>
      </c>
      <c r="P40" s="9" t="s">
        <v>152</v>
      </c>
    </row>
    <row r="41" spans="1:16" s="9" customFormat="1" x14ac:dyDescent="0.3">
      <c r="A41" s="8">
        <v>45931</v>
      </c>
      <c r="B41" s="9" t="s">
        <v>173</v>
      </c>
      <c r="C41" s="9" t="s">
        <v>168</v>
      </c>
      <c r="D41" s="13">
        <v>-9725.01</v>
      </c>
      <c r="E41" s="9" t="s">
        <v>28</v>
      </c>
      <c r="F41" s="9">
        <v>55</v>
      </c>
      <c r="G41" s="9">
        <v>9725.01</v>
      </c>
      <c r="H41" s="9" t="s">
        <v>116</v>
      </c>
      <c r="I41" s="9" t="s">
        <v>151</v>
      </c>
      <c r="J41" s="9" t="s">
        <v>15</v>
      </c>
      <c r="K41" s="9" t="s">
        <v>41</v>
      </c>
      <c r="L41" s="9" t="s">
        <v>31</v>
      </c>
      <c r="M41" s="9">
        <v>1725</v>
      </c>
      <c r="N41" s="9" t="str">
        <f>_xlfn.XLOOKUP(E41,'cco_calzim'!J:J,'cco_calzim'!A:A)</f>
        <v>CC2</v>
      </c>
      <c r="P41" s="9" t="s">
        <v>152</v>
      </c>
    </row>
    <row r="42" spans="1:16" s="9" customFormat="1" x14ac:dyDescent="0.3">
      <c r="A42" s="8">
        <v>45931</v>
      </c>
      <c r="B42" s="9" t="s">
        <v>173</v>
      </c>
      <c r="C42" s="9" t="s">
        <v>169</v>
      </c>
      <c r="D42" s="13">
        <v>-4101.8</v>
      </c>
      <c r="E42" s="9" t="s">
        <v>33</v>
      </c>
      <c r="F42" s="9">
        <v>46</v>
      </c>
      <c r="G42" s="9">
        <v>4101.8</v>
      </c>
      <c r="H42" s="9" t="s">
        <v>117</v>
      </c>
      <c r="I42" s="9" t="s">
        <v>151</v>
      </c>
      <c r="J42" s="9" t="s">
        <v>15</v>
      </c>
      <c r="K42" s="9" t="s">
        <v>41</v>
      </c>
      <c r="L42" s="9" t="s">
        <v>31</v>
      </c>
      <c r="M42" s="9">
        <v>1725</v>
      </c>
      <c r="N42" s="9" t="str">
        <f>_xlfn.XLOOKUP(E42,'cco_calzim'!J:J,'cco_calzim'!A:A)</f>
        <v>CC3</v>
      </c>
      <c r="P42" s="9" t="s">
        <v>152</v>
      </c>
    </row>
    <row r="43" spans="1:16" s="9" customFormat="1" x14ac:dyDescent="0.3">
      <c r="A43" s="8">
        <v>45931</v>
      </c>
      <c r="B43" s="9" t="s">
        <v>173</v>
      </c>
      <c r="C43" s="9" t="s">
        <v>170</v>
      </c>
      <c r="D43" s="13">
        <v>-176.58</v>
      </c>
      <c r="E43" s="9" t="s">
        <v>33</v>
      </c>
      <c r="F43" s="9">
        <v>610</v>
      </c>
      <c r="G43" s="9">
        <v>176.58</v>
      </c>
      <c r="H43" s="9" t="s">
        <v>118</v>
      </c>
      <c r="I43" s="9" t="s">
        <v>151</v>
      </c>
      <c r="J43" s="9" t="s">
        <v>15</v>
      </c>
      <c r="K43" s="9" t="s">
        <v>41</v>
      </c>
      <c r="L43" s="9" t="s">
        <v>31</v>
      </c>
      <c r="M43" s="9">
        <v>1725</v>
      </c>
      <c r="N43" s="9" t="str">
        <f>_xlfn.XLOOKUP(E43,'cco_calzim'!J:J,'cco_calzim'!A:A)</f>
        <v>CC3</v>
      </c>
      <c r="P43" s="9" t="s">
        <v>152</v>
      </c>
    </row>
    <row r="44" spans="1:16" s="9" customFormat="1" x14ac:dyDescent="0.3">
      <c r="A44" s="8">
        <v>45931</v>
      </c>
      <c r="B44" s="9" t="s">
        <v>173</v>
      </c>
      <c r="C44" s="9" t="s">
        <v>171</v>
      </c>
      <c r="D44" s="13">
        <v>-4307.72</v>
      </c>
      <c r="E44" s="9" t="s">
        <v>35</v>
      </c>
      <c r="F44" s="9">
        <v>556</v>
      </c>
      <c r="G44" s="9">
        <v>4307.72</v>
      </c>
      <c r="H44" s="9" t="s">
        <v>118</v>
      </c>
      <c r="I44" s="9" t="s">
        <v>151</v>
      </c>
      <c r="J44" s="9" t="s">
        <v>15</v>
      </c>
      <c r="K44" s="9" t="s">
        <v>41</v>
      </c>
      <c r="L44" s="9" t="s">
        <v>31</v>
      </c>
      <c r="M44" s="9">
        <v>1725</v>
      </c>
      <c r="N44" s="9" t="str">
        <f>_xlfn.XLOOKUP(E44,'cco_calzim'!J:J,'cco_calzim'!A:A)</f>
        <v>CC4</v>
      </c>
      <c r="P44" s="9" t="s">
        <v>152</v>
      </c>
    </row>
    <row r="45" spans="1:16" s="9" customFormat="1" x14ac:dyDescent="0.3">
      <c r="A45" s="8">
        <v>45931</v>
      </c>
      <c r="B45" s="9" t="s">
        <v>173</v>
      </c>
      <c r="C45" s="9" t="s">
        <v>172</v>
      </c>
      <c r="D45" s="13">
        <v>0</v>
      </c>
      <c r="E45" s="9" t="s">
        <v>37</v>
      </c>
      <c r="F45" s="9">
        <v>0</v>
      </c>
      <c r="G45" s="9">
        <v>0</v>
      </c>
      <c r="I45" s="9" t="s">
        <v>151</v>
      </c>
      <c r="J45" s="9" t="s">
        <v>15</v>
      </c>
      <c r="K45" s="9" t="s">
        <v>41</v>
      </c>
      <c r="L45" s="9" t="s">
        <v>31</v>
      </c>
      <c r="M45" s="9">
        <v>1725</v>
      </c>
      <c r="N45" s="9" t="str">
        <f>_xlfn.XLOOKUP(E45,'cco_calzim'!J:J,'cco_calzim'!A:A)</f>
        <v>CC5</v>
      </c>
      <c r="P45" s="9" t="s">
        <v>152</v>
      </c>
    </row>
    <row r="46" spans="1:16" s="11" customFormat="1" x14ac:dyDescent="0.3">
      <c r="A46" s="10">
        <v>45931</v>
      </c>
      <c r="B46" s="11" t="s">
        <v>174</v>
      </c>
      <c r="C46" s="11" t="s">
        <v>175</v>
      </c>
      <c r="D46" s="14">
        <v>-2357337.6</v>
      </c>
      <c r="E46" s="11" t="s">
        <v>28</v>
      </c>
      <c r="F46" s="11">
        <v>136.79999999999998</v>
      </c>
      <c r="G46" s="11">
        <v>17232</v>
      </c>
      <c r="H46" s="11" t="s">
        <v>115</v>
      </c>
      <c r="I46" s="11" t="s">
        <v>177</v>
      </c>
      <c r="J46" s="9" t="s">
        <v>15</v>
      </c>
      <c r="K46" s="9" t="s">
        <v>41</v>
      </c>
      <c r="L46" s="9" t="s">
        <v>31</v>
      </c>
      <c r="M46" s="11">
        <v>1525</v>
      </c>
      <c r="N46" s="11" t="s">
        <v>39</v>
      </c>
      <c r="P46" s="11" t="s">
        <v>178</v>
      </c>
    </row>
    <row r="47" spans="1:16" s="11" customFormat="1" x14ac:dyDescent="0.3">
      <c r="A47" s="10">
        <v>45931</v>
      </c>
      <c r="B47" s="11" t="s">
        <v>174</v>
      </c>
      <c r="C47" s="11" t="s">
        <v>176</v>
      </c>
      <c r="D47" s="14">
        <v>-2274624</v>
      </c>
      <c r="E47" s="11" t="s">
        <v>28</v>
      </c>
      <c r="F47" s="11">
        <v>132</v>
      </c>
      <c r="G47" s="11">
        <v>17232</v>
      </c>
      <c r="H47" s="11" t="s">
        <v>115</v>
      </c>
      <c r="I47" s="11" t="s">
        <v>177</v>
      </c>
      <c r="J47" s="9" t="s">
        <v>15</v>
      </c>
      <c r="K47" s="9" t="s">
        <v>41</v>
      </c>
      <c r="L47" s="9" t="s">
        <v>31</v>
      </c>
      <c r="M47" s="11">
        <v>1725</v>
      </c>
      <c r="N47" s="11" t="s">
        <v>39</v>
      </c>
      <c r="P47" s="11" t="s">
        <v>178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97EFDA-04AD-48D1-959F-13C0E26ABF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</vt:i4>
      </vt:variant>
    </vt:vector>
  </HeadingPairs>
  <TitlesOfParts>
    <vt:vector size="16" baseType="lpstr">
      <vt:lpstr>facturas_ventas</vt:lpstr>
      <vt:lpstr>facturas_gastos</vt:lpstr>
      <vt:lpstr>precios_mp</vt:lpstr>
      <vt:lpstr>formulas</vt:lpstr>
      <vt:lpstr>precios_mp_ac</vt:lpstr>
      <vt:lpstr>formula_ciclos</vt:lpstr>
      <vt:lpstr>genetica_nico </vt:lpstr>
      <vt:lpstr>sanidad_nico</vt:lpstr>
      <vt:lpstr>nutricion_nico</vt:lpstr>
      <vt:lpstr>produccion</vt:lpstr>
      <vt:lpstr>ad_hoc</vt:lpstr>
      <vt:lpstr>cco_calzim</vt:lpstr>
      <vt:lpstr>cco_lote</vt:lpstr>
      <vt:lpstr>CCO_NUT</vt:lpstr>
      <vt:lpstr>agrupado</vt:lpstr>
      <vt:lpstr>precios_internos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Nicolas Capurro</cp:lastModifiedBy>
  <dcterms:created xsi:type="dcterms:W3CDTF">2025-11-20T12:09:23Z</dcterms:created>
  <dcterms:modified xsi:type="dcterms:W3CDTF">2026-07-09T12:38:58Z</dcterms:modified>
</cp:coreProperties>
</file>