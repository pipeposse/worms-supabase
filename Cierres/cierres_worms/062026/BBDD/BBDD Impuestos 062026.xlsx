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62026\BBDD\"/>
    </mc:Choice>
  </mc:AlternateContent>
  <xr:revisionPtr revIDLastSave="0" documentId="13_ncr:1_{D32D9577-DDE6-4C37-BFD7-979EEC1D9949}" xr6:coauthVersionLast="47" xr6:coauthVersionMax="47" xr10:uidLastSave="{00000000-0000-0000-0000-000000000000}"/>
  <bookViews>
    <workbookView xWindow="-108" yWindow="-108" windowWidth="23256" windowHeight="12456" xr2:uid="{BFFCC617-9877-4BFC-911A-A7A853B7B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5" i="1"/>
  <c r="D6" i="1"/>
  <c r="D7" i="1"/>
  <c r="D8" i="1"/>
  <c r="D4" i="1"/>
</calcChain>
</file>

<file path=xl/sharedStrings.xml><?xml version="1.0" encoding="utf-8"?>
<sst xmlns="http://schemas.openxmlformats.org/spreadsheetml/2006/main" count="79" uniqueCount="42">
  <si>
    <t>Fecha de Factura/Recibo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</si>
  <si>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</si>
  <si>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</si>
  <si>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</si>
  <si>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</si>
  <si>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</si>
  <si>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</si>
  <si>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</si>
  <si>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</si>
  <si>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</si>
  <si>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</si>
  <si>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EMPRESA</t>
  </si>
  <si>
    <t>CCO - SECTOR</t>
  </si>
  <si>
    <t>IMPUESTOS</t>
  </si>
  <si>
    <t>IB</t>
  </si>
  <si>
    <t xml:space="preserve"> </t>
  </si>
  <si>
    <t>CC8</t>
  </si>
  <si>
    <t>CC7</t>
  </si>
  <si>
    <t>DREI NFU</t>
  </si>
  <si>
    <t>CC3</t>
  </si>
  <si>
    <t>DREI DISPOSICIÓN FINAL RESIDUOS LIQUIDOS</t>
  </si>
  <si>
    <t>DREI COMPOST &amp; FERTILIZANTES</t>
  </si>
  <si>
    <t>DREI PILETAS</t>
  </si>
  <si>
    <t>CC4</t>
  </si>
  <si>
    <t xml:space="preserve">UN </t>
  </si>
  <si>
    <t>OPEX</t>
  </si>
  <si>
    <t>VARIABLE</t>
  </si>
  <si>
    <t>DIRECTO</t>
  </si>
  <si>
    <t>INDIRECTO</t>
  </si>
  <si>
    <t>CC1</t>
  </si>
  <si>
    <t>GANANCIAS EXPORTACION</t>
  </si>
  <si>
    <t>GASTOS BANCARIOS</t>
  </si>
  <si>
    <t>TC</t>
  </si>
  <si>
    <t>Subrubro</t>
  </si>
  <si>
    <t>imp1</t>
  </si>
  <si>
    <t>imp2</t>
  </si>
  <si>
    <t>imp3</t>
  </si>
  <si>
    <t>imp4</t>
  </si>
  <si>
    <t>imp5</t>
  </si>
  <si>
    <t>imp6</t>
  </si>
  <si>
    <t>imp7</t>
  </si>
  <si>
    <t>CC11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</si>
</sst>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0" fontId="0" fillId="3" borderId="3" xfId="0" applyFill="1" applyBorder="1"/>
    <xf numFmtId="0" fontId="2" fillId="2" borderId="0" xfId="0" applyFont="1" applyFill="1"/>
    <xf numFmtId="4" fontId="0" fillId="3" borderId="2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E5B9-CFCF-4427-A8CB-839DEDA69801}">
  <dimension ref="A1:O9"/>
  <sheetViews>
    <sheetView tabSelected="1" workbookViewId="0">
      <selection activeCell="G10" sqref="G10"/>
    </sheetView>
  </sheetViews>
  <sheetFormatPr baseColWidth="10" defaultColWidth="11.5546875" defaultRowHeight="14.4" x14ac:dyDescent="0.3"/>
  <cols>
    <col min="1" max="1" width="21.77734375" bestFit="1" customWidth="1"/>
    <col min="2" max="2" width="64.33203125" customWidth="1"/>
    <col min="3" max="3" width="15.6640625" bestFit="1" customWidth="1"/>
    <col min="4" max="4" width="14.44140625" bestFit="1" customWidth="1"/>
    <col min="5" max="5" width="26.44140625" bestFit="1" customWidth="1"/>
    <col min="6" max="6" width="12.6640625" customWidth="1"/>
    <col min="7" max="7" width="28.109375" bestFit="1" customWidth="1"/>
    <col min="8" max="8" width="15" customWidth="1"/>
    <col min="9" max="9" width="23.44140625" bestFit="1" customWidth="1"/>
    <col min="10" max="10" width="9" bestFit="1" customWidth="1"/>
    <col min="11" max="12" width="13.5546875" bestFit="1" customWidth="1"/>
    <col min="13" max="13" width="13" bestFit="1" customWidth="1"/>
    <col min="14" max="14" width="12.77734375" bestFit="1" customWidth="1"/>
  </cols>
  <sheetData>
    <row r="1" spans="1:15" x14ac:dyDescent="0.3">
      <c r="A1" s="1" t="s">
        <v>0</v>
      </c>
      <c r="B1" s="2" t="s">
        <v>33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9" t="s">
        <v>32</v>
      </c>
    </row>
    <row r="2" spans="1:15" x14ac:dyDescent="0.3">
      <c r="A2" s="5">
        <v>46203</v>
      </c>
      <c r="B2" s="6" t="s">
        <v>30</v>
      </c>
      <c r="C2" s="6" t="s">
        <v>34</v>
      </c>
      <c r="D2" s="7">
        <f>-G2*F2*O2</f>
        <v>-2453694.6</v>
      </c>
      <c r="E2" s="6" t="s">
        <v>13</v>
      </c>
      <c r="F2" s="6">
        <v>3338.36</v>
      </c>
      <c r="G2" s="6">
        <v>0.5</v>
      </c>
      <c r="H2" s="6" t="s">
        <v>24</v>
      </c>
      <c r="I2" s="6" t="s">
        <v>13</v>
      </c>
      <c r="J2" s="6" t="s">
        <v>25</v>
      </c>
      <c r="K2" s="6" t="s">
        <v>26</v>
      </c>
      <c r="L2" s="6" t="s">
        <v>27</v>
      </c>
      <c r="M2" s="6"/>
      <c r="N2" s="8" t="s">
        <v>41</v>
      </c>
      <c r="O2">
        <v>1470</v>
      </c>
    </row>
    <row r="3" spans="1:15" x14ac:dyDescent="0.3">
      <c r="A3" s="5">
        <v>46203</v>
      </c>
      <c r="B3" s="6" t="s">
        <v>31</v>
      </c>
      <c r="C3" s="6" t="s">
        <v>35</v>
      </c>
      <c r="D3" s="7">
        <f>-G3</f>
        <v>-7758364.4699999997</v>
      </c>
      <c r="E3" s="6" t="s">
        <v>13</v>
      </c>
      <c r="F3" s="6">
        <v>1</v>
      </c>
      <c r="G3" s="10">
        <v>7758364.4699999997</v>
      </c>
      <c r="H3" s="6" t="s">
        <v>24</v>
      </c>
      <c r="I3" s="6" t="s">
        <v>13</v>
      </c>
      <c r="J3" s="6" t="s">
        <v>25</v>
      </c>
      <c r="K3" s="6" t="s">
        <v>26</v>
      </c>
      <c r="L3" s="6" t="s">
        <v>28</v>
      </c>
      <c r="M3" s="6"/>
      <c r="N3" s="8" t="s">
        <v>29</v>
      </c>
    </row>
    <row r="4" spans="1:15" x14ac:dyDescent="0.3">
      <c r="A4" s="5">
        <v>46203</v>
      </c>
      <c r="B4" s="6" t="s">
        <v>14</v>
      </c>
      <c r="C4" s="6" t="s">
        <v>36</v>
      </c>
      <c r="D4" s="7">
        <f>-G4</f>
        <v>-32811.49</v>
      </c>
      <c r="E4" s="6" t="s">
        <v>13</v>
      </c>
      <c r="F4" s="6">
        <v>1</v>
      </c>
      <c r="G4" s="6">
        <v>32811.49</v>
      </c>
      <c r="H4" s="6" t="s">
        <v>24</v>
      </c>
      <c r="I4" s="6" t="s">
        <v>13</v>
      </c>
      <c r="J4" s="6" t="s">
        <v>25</v>
      </c>
      <c r="K4" s="6" t="s">
        <v>26</v>
      </c>
      <c r="L4" s="6" t="s">
        <v>28</v>
      </c>
      <c r="M4" s="6"/>
      <c r="N4" s="8" t="s">
        <v>29</v>
      </c>
    </row>
    <row r="5" spans="1:15" x14ac:dyDescent="0.3">
      <c r="A5" s="5">
        <v>46203</v>
      </c>
      <c r="B5" s="6" t="s">
        <v>20</v>
      </c>
      <c r="C5" s="6" t="s">
        <v>37</v>
      </c>
      <c r="D5" s="7">
        <f t="shared" ref="D5:D8" si="0">-G5</f>
        <v>-1888159.77</v>
      </c>
      <c r="E5" s="6" t="s">
        <v>13</v>
      </c>
      <c r="F5" s="6">
        <v>1</v>
      </c>
      <c r="G5" s="6">
        <v>1888159.77</v>
      </c>
      <c r="H5" s="6" t="s">
        <v>24</v>
      </c>
      <c r="I5" s="6" t="s">
        <v>13</v>
      </c>
      <c r="J5" s="6" t="s">
        <v>25</v>
      </c>
      <c r="K5" s="6" t="s">
        <v>26</v>
      </c>
      <c r="L5" s="6" t="s">
        <v>28</v>
      </c>
      <c r="M5" s="6"/>
      <c r="N5" s="8" t="s">
        <v>19</v>
      </c>
    </row>
    <row r="6" spans="1:15" x14ac:dyDescent="0.3">
      <c r="A6" s="5">
        <v>46203</v>
      </c>
      <c r="B6" s="6" t="s">
        <v>21</v>
      </c>
      <c r="C6" s="6" t="s">
        <v>38</v>
      </c>
      <c r="D6" s="7">
        <f t="shared" si="0"/>
        <v>-92987.9</v>
      </c>
      <c r="E6" s="6" t="s">
        <v>13</v>
      </c>
      <c r="F6" s="6">
        <v>1</v>
      </c>
      <c r="G6" s="6">
        <v>92987.9</v>
      </c>
      <c r="H6" s="6" t="s">
        <v>24</v>
      </c>
      <c r="I6" s="6" t="s">
        <v>13</v>
      </c>
      <c r="J6" s="6" t="s">
        <v>25</v>
      </c>
      <c r="K6" s="6" t="s">
        <v>26</v>
      </c>
      <c r="L6" s="6" t="s">
        <v>28</v>
      </c>
      <c r="M6" s="6"/>
      <c r="N6" s="8" t="s">
        <v>16</v>
      </c>
    </row>
    <row r="7" spans="1:15" x14ac:dyDescent="0.3">
      <c r="A7" s="5">
        <v>46203</v>
      </c>
      <c r="B7" s="6" t="s">
        <v>22</v>
      </c>
      <c r="C7" s="6" t="s">
        <v>39</v>
      </c>
      <c r="D7" s="7">
        <f t="shared" si="0"/>
        <v>-43998.81</v>
      </c>
      <c r="E7" s="6" t="s">
        <v>13</v>
      </c>
      <c r="F7" s="6">
        <v>1</v>
      </c>
      <c r="G7" s="6">
        <v>43998.81</v>
      </c>
      <c r="H7" s="6" t="s">
        <v>24</v>
      </c>
      <c r="I7" s="6" t="s">
        <v>13</v>
      </c>
      <c r="J7" s="6" t="s">
        <v>25</v>
      </c>
      <c r="K7" s="6" t="s">
        <v>26</v>
      </c>
      <c r="L7" s="6" t="s">
        <v>28</v>
      </c>
      <c r="M7" s="6"/>
      <c r="N7" s="8" t="s">
        <v>23</v>
      </c>
    </row>
    <row r="8" spans="1:15" x14ac:dyDescent="0.3">
      <c r="A8" s="5">
        <v>46203</v>
      </c>
      <c r="B8" s="6" t="s">
        <v>18</v>
      </c>
      <c r="C8" s="6" t="s">
        <v>40</v>
      </c>
      <c r="D8" s="7">
        <f t="shared" si="0"/>
        <v>0</v>
      </c>
      <c r="E8" s="6" t="s">
        <v>13</v>
      </c>
      <c r="F8" s="6">
        <v>1</v>
      </c>
      <c r="G8" s="6">
        <v>0</v>
      </c>
      <c r="H8" s="6" t="s">
        <v>24</v>
      </c>
      <c r="I8" s="6" t="s">
        <v>13</v>
      </c>
      <c r="J8" s="6" t="s">
        <v>25</v>
      </c>
      <c r="K8" s="6" t="s">
        <v>26</v>
      </c>
      <c r="L8" s="6" t="s">
        <v>28</v>
      </c>
      <c r="M8" s="6"/>
      <c r="N8" s="8" t="s">
        <v>17</v>
      </c>
    </row>
    <row r="9" spans="1:15" x14ac:dyDescent="0.3">
      <c r="G9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Ainelen Cardozo</dc:creator>
  <cp:lastModifiedBy>Ainelen Cardozo</cp:lastModifiedBy>
  <dcterms:created xsi:type="dcterms:W3CDTF">2025-10-09T17:30:31Z</dcterms:created>
  <dcterms:modified xsi:type="dcterms:W3CDTF">2026-07-14T18:35:14Z</dcterms:modified>
</cp:coreProperties>
</file>