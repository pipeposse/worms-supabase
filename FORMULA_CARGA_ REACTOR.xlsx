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poss\dashboard produccion\worms_supabase\"/>
    </mc:Choice>
  </mc:AlternateContent>
  <xr:revisionPtr revIDLastSave="0" documentId="8_{BF0AA493-2E32-4B6F-AC28-33AEB1B71034}" xr6:coauthVersionLast="47" xr6:coauthVersionMax="47" xr10:uidLastSave="{00000000-0000-0000-0000-000000000000}"/>
  <bookViews>
    <workbookView xWindow="-108" yWindow="-108" windowWidth="23256" windowHeight="12456" xr2:uid="{45920985-2C53-4E30-8659-571024020177}"/>
  </bookViews>
  <sheets>
    <sheet name="formula_inicial" sheetId="2" r:id="rId1"/>
    <sheet name="calculo_glicerina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" i="2" l="1"/>
  <c r="D9" i="1"/>
  <c r="C7" i="1"/>
  <c r="C9" i="1"/>
  <c r="E4" i="1"/>
  <c r="E3" i="1"/>
</calcChain>
</file>

<file path=xl/sharedStrings.xml><?xml version="1.0" encoding="utf-8"?>
<sst xmlns="http://schemas.openxmlformats.org/spreadsheetml/2006/main" count="39" uniqueCount="32">
  <si>
    <t>A</t>
  </si>
  <si>
    <t>G</t>
  </si>
  <si>
    <t>peso molecular del acidos grasos</t>
  </si>
  <si>
    <t>fijo</t>
  </si>
  <si>
    <t>PMg</t>
  </si>
  <si>
    <t>PMa</t>
  </si>
  <si>
    <t>peso molecucular de la glicerina</t>
  </si>
  <si>
    <t>masa de AG a procesar (kg)</t>
  </si>
  <si>
    <t>Q AG</t>
  </si>
  <si>
    <t>Q GLICE (KG)</t>
  </si>
  <si>
    <t>V (L)</t>
  </si>
  <si>
    <t>contenido de glicerol en la glicerina (%)</t>
  </si>
  <si>
    <t>acidez oleico (%)</t>
  </si>
  <si>
    <t xml:space="preserve">Se debe completar la celda que esta en gris.
Valores arrojador por el lab Acidez del AG y contenido de glicerol </t>
  </si>
  <si>
    <t>REACTOR_1</t>
  </si>
  <si>
    <t>REACTOR_2</t>
  </si>
  <si>
    <t>acidez_oleico_pct</t>
  </si>
  <si>
    <t>glicerol_en_glicerina_pct</t>
  </si>
  <si>
    <t>id_reaccion</t>
  </si>
  <si>
    <t>reactor</t>
  </si>
  <si>
    <t>peso_molecular_</t>
  </si>
  <si>
    <t>peso_molecular_aagg</t>
  </si>
  <si>
    <t>densidad_glicerina_k_a_l</t>
  </si>
  <si>
    <t>densidad_aagg_k_a_l</t>
  </si>
  <si>
    <t>consumo_fuel_por_tn</t>
  </si>
  <si>
    <t>consumo_glicerina_por</t>
  </si>
  <si>
    <t>input</t>
  </si>
  <si>
    <t>capacidad_maxima_l</t>
  </si>
  <si>
    <t>calculo_glicerina</t>
  </si>
  <si>
    <t>consumo_naoh</t>
  </si>
  <si>
    <t>consumo_potasio</t>
  </si>
  <si>
    <t>viene_de_la_carga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</si>
</sst>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i/>
      <sz val="10"/>
      <color theme="1"/>
      <name val="Aptos Narrow"/>
      <family val="2"/>
      <scheme val="minor"/>
    </font>
    <font>
      <sz val="7"/>
      <color theme="4" tint="-0.499984740745262"/>
      <name val="Aptos Narrow"/>
      <family val="2"/>
      <scheme val="minor"/>
    </font>
    <font>
      <i/>
      <sz val="7"/>
      <color theme="4" tint="-0.499984740745262"/>
      <name val="Aptos Narrow"/>
      <family val="2"/>
      <scheme val="minor"/>
    </font>
    <font>
      <sz val="7"/>
      <color theme="0"/>
      <name val="Aptos Narrow"/>
      <family val="2"/>
      <scheme val="minor"/>
    </font>
    <font>
      <i/>
      <sz val="10"/>
      <color rgb="FFFF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2" borderId="0" xfId="0" applyFont="1" applyFill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4" fillId="0" borderId="0" xfId="0" applyFont="1"/>
    <xf numFmtId="1" fontId="2" fillId="2" borderId="0" xfId="0" applyNumberFormat="1" applyFont="1" applyFill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1" fontId="7" fillId="2" borderId="0" xfId="0" applyNumberFormat="1" applyFon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8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68EF0F-0777-431F-AF6F-5F9BDD3406C8}">
  <dimension ref="A1:M3"/>
  <sheetViews>
    <sheetView tabSelected="1" workbookViewId="0">
      <selection activeCell="B13" sqref="B13"/>
    </sheetView>
  </sheetViews>
  <sheetFormatPr defaultRowHeight="14.4" x14ac:dyDescent="0.3"/>
  <cols>
    <col min="1" max="1" width="13.109375" customWidth="1"/>
    <col min="2" max="2" width="14.6640625" customWidth="1"/>
    <col min="3" max="3" width="16.6640625" customWidth="1"/>
    <col min="4" max="4" width="16.77734375" customWidth="1"/>
    <col min="5" max="5" width="26.21875" customWidth="1"/>
    <col min="7" max="8" width="21.33203125" customWidth="1"/>
    <col min="9" max="9" width="22.6640625" customWidth="1"/>
    <col min="10" max="10" width="15.6640625" customWidth="1"/>
    <col min="11" max="11" width="16.33203125" customWidth="1"/>
    <col min="12" max="12" width="11.77734375" customWidth="1"/>
  </cols>
  <sheetData>
    <row r="1" spans="1:13" x14ac:dyDescent="0.3">
      <c r="A1" t="s">
        <v>18</v>
      </c>
      <c r="B1" t="s">
        <v>19</v>
      </c>
      <c r="C1" t="s">
        <v>27</v>
      </c>
      <c r="D1" t="s">
        <v>16</v>
      </c>
      <c r="E1" t="s">
        <v>17</v>
      </c>
      <c r="F1" t="s">
        <v>21</v>
      </c>
      <c r="G1" t="s">
        <v>20</v>
      </c>
      <c r="H1" t="s">
        <v>22</v>
      </c>
      <c r="I1" t="s">
        <v>23</v>
      </c>
      <c r="J1" t="s">
        <v>24</v>
      </c>
      <c r="K1" t="s">
        <v>25</v>
      </c>
      <c r="L1" t="s">
        <v>29</v>
      </c>
      <c r="M1" t="s">
        <v>30</v>
      </c>
    </row>
    <row r="2" spans="1:13" x14ac:dyDescent="0.3">
      <c r="A2" t="s">
        <v>31</v>
      </c>
      <c r="B2" t="s">
        <v>14</v>
      </c>
      <c r="C2">
        <v>80000</v>
      </c>
      <c r="D2" t="s">
        <v>26</v>
      </c>
      <c r="E2" t="s">
        <v>26</v>
      </c>
      <c r="F2">
        <v>282</v>
      </c>
      <c r="G2">
        <v>92</v>
      </c>
      <c r="H2">
        <v>1.25</v>
      </c>
      <c r="I2">
        <v>0.9</v>
      </c>
      <c r="J2">
        <v>76.900000000000006</v>
      </c>
      <c r="K2" t="s">
        <v>28</v>
      </c>
      <c r="L2">
        <v>4.4000000000000004</v>
      </c>
      <c r="M2">
        <f>25/8</f>
        <v>3.125</v>
      </c>
    </row>
    <row r="3" spans="1:13" x14ac:dyDescent="0.3">
      <c r="A3" t="s">
        <v>31</v>
      </c>
      <c r="B3" t="s">
        <v>15</v>
      </c>
      <c r="C3">
        <v>50000</v>
      </c>
      <c r="D3" t="s">
        <v>26</v>
      </c>
      <c r="E3" t="s">
        <v>26</v>
      </c>
      <c r="F3">
        <v>282</v>
      </c>
      <c r="G3">
        <v>92</v>
      </c>
      <c r="H3">
        <v>1.25</v>
      </c>
      <c r="I3">
        <v>0.9</v>
      </c>
      <c r="K3" t="s">
        <v>28</v>
      </c>
      <c r="L3">
        <v>4.4000000000000004</v>
      </c>
      <c r="M3">
        <v>3.125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7DFADB-88C3-4C21-B27C-B6172A2BB0ED}">
  <dimension ref="A2:E14"/>
  <sheetViews>
    <sheetView zoomScale="110" zoomScaleNormal="110" workbookViewId="0">
      <selection activeCell="G16" sqref="G16"/>
    </sheetView>
  </sheetViews>
  <sheetFormatPr defaultColWidth="11.5546875" defaultRowHeight="14.4" x14ac:dyDescent="0.3"/>
  <cols>
    <col min="1" max="1" width="7.6640625" customWidth="1"/>
    <col min="2" max="2" width="34" customWidth="1"/>
    <col min="3" max="3" width="4.44140625" style="12" customWidth="1"/>
    <col min="4" max="4" width="10.21875" customWidth="1"/>
    <col min="5" max="5" width="7" style="2" customWidth="1"/>
  </cols>
  <sheetData>
    <row r="2" spans="1:5" x14ac:dyDescent="0.3">
      <c r="C2" s="10" t="s">
        <v>10</v>
      </c>
      <c r="D2" s="8"/>
      <c r="E2" s="9"/>
    </row>
    <row r="3" spans="1:5" x14ac:dyDescent="0.3">
      <c r="A3" s="5" t="s">
        <v>0</v>
      </c>
      <c r="B3" s="6" t="s">
        <v>12</v>
      </c>
      <c r="C3" s="11"/>
      <c r="D3" s="14">
        <v>60</v>
      </c>
      <c r="E3" s="2">
        <f>D3/100</f>
        <v>0.6</v>
      </c>
    </row>
    <row r="4" spans="1:5" x14ac:dyDescent="0.3">
      <c r="A4" s="5" t="s">
        <v>1</v>
      </c>
      <c r="B4" s="6" t="s">
        <v>11</v>
      </c>
      <c r="C4" s="11"/>
      <c r="D4" s="14">
        <v>80</v>
      </c>
      <c r="E4" s="2">
        <f>D4/100</f>
        <v>0.8</v>
      </c>
    </row>
    <row r="5" spans="1:5" x14ac:dyDescent="0.3">
      <c r="A5" s="5" t="s">
        <v>5</v>
      </c>
      <c r="B5" s="6" t="s">
        <v>2</v>
      </c>
      <c r="C5" s="11"/>
      <c r="D5" s="3">
        <v>282</v>
      </c>
      <c r="E5" s="4" t="s">
        <v>3</v>
      </c>
    </row>
    <row r="6" spans="1:5" x14ac:dyDescent="0.3">
      <c r="A6" s="5" t="s">
        <v>4</v>
      </c>
      <c r="B6" s="6" t="s">
        <v>6</v>
      </c>
      <c r="C6" s="11"/>
      <c r="D6" s="3">
        <v>92</v>
      </c>
      <c r="E6" s="4" t="s">
        <v>3</v>
      </c>
    </row>
    <row r="7" spans="1:5" x14ac:dyDescent="0.3">
      <c r="A7" s="5" t="s">
        <v>8</v>
      </c>
      <c r="B7" s="6" t="s">
        <v>7</v>
      </c>
      <c r="C7" s="11">
        <f>D7/0.92</f>
        <v>8000</v>
      </c>
      <c r="D7" s="3">
        <v>7360</v>
      </c>
      <c r="E7" s="4" t="s">
        <v>3</v>
      </c>
    </row>
    <row r="8" spans="1:5" x14ac:dyDescent="0.3">
      <c r="A8" s="5"/>
    </row>
    <row r="9" spans="1:5" x14ac:dyDescent="0.3">
      <c r="A9" s="5"/>
      <c r="B9" s="1" t="s">
        <v>9</v>
      </c>
      <c r="C9" s="13">
        <f>D9/1.25</f>
        <v>792.37446808510663</v>
      </c>
      <c r="D9" s="7">
        <f>((D7*E3)*(D6/(D5*2))*(1/E4)*1.1)</f>
        <v>990.46808510638323</v>
      </c>
    </row>
    <row r="10" spans="1:5" x14ac:dyDescent="0.3">
      <c r="A10" s="5"/>
    </row>
    <row r="11" spans="1:5" x14ac:dyDescent="0.3">
      <c r="A11" s="5"/>
    </row>
    <row r="14" spans="1:5" ht="55.2" x14ac:dyDescent="0.3">
      <c r="B14" s="15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formula_inicial</vt:lpstr>
      <vt:lpstr>calculo_glicerina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Eugenia</dc:creator>
  <cp:lastModifiedBy>Felipe Posse</cp:lastModifiedBy>
  <dcterms:created xsi:type="dcterms:W3CDTF">2026-05-13T12:06:10Z</dcterms:created>
  <dcterms:modified xsi:type="dcterms:W3CDTF">2026-05-18T16:59:39Z</dcterms:modified>
</cp:coreProperties>
</file>